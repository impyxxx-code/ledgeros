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ALL PROSPECTS" sheetId="2" state="visible" r:id="rId2"/>
    <sheet name="VAPE SHOPS" sheetId="3" state="visible" r:id="rId3"/>
    <sheet name="CONVENIENCE" sheetId="4" state="visible" r:id="rId4"/>
    <sheet name="PETROL - FORECOURTS" sheetId="5" state="visible" r:id="rId5"/>
    <sheet name="OFF LICENCES" sheetId="6" state="visible" r:id="rId6"/>
    <sheet name="TOBACCO - SMOKE - SHISHA" sheetId="7" state="visible" r:id="rId7"/>
    <sheet name="SUPERMARKETS" sheetId="8" state="visible" r:id="rId8"/>
    <sheet name="CHAINS - MULTI-SITE" sheetId="9" state="visible" r:id="rId9"/>
    <sheet name="MISSING CONTACT INFO" sheetId="10" state="visible" r:id="rId10"/>
    <sheet name="DUPLICATE REVIEW" sheetId="11" state="visible" r:id="rId11"/>
    <sheet name="SOURCE LOG" sheetId="12" state="visible" r:id="rId12"/>
    <sheet name="CRM - FOLLOW-UP" sheetId="13" state="visible" r:id="rId13"/>
  </sheets>
  <definedNames>
    <definedName name="_xlnm._FilterDatabase" localSheetId="1" hidden="1">'ALL PROSPECTS'!$A$1:$BQ$194</definedName>
    <definedName name="_xlnm._FilterDatabase" localSheetId="2" hidden="1">'VAPE SHOPS'!$A$1:$AB$58</definedName>
    <definedName name="_xlnm._FilterDatabase" localSheetId="3" hidden="1">'CONVENIENCE'!$A$1:$AB$49</definedName>
    <definedName name="_xlnm._FilterDatabase" localSheetId="4" hidden="1">'PETROL - FORECOURTS'!$A$1:$AB$15</definedName>
    <definedName name="_xlnm._FilterDatabase" localSheetId="5" hidden="1">'OFF LICENCES'!$A$1:$AB$25</definedName>
    <definedName name="_xlnm._FilterDatabase" localSheetId="6" hidden="1">'TOBACCO - SMOKE - SHISHA'!$A$1:$AB$12</definedName>
    <definedName name="_xlnm._FilterDatabase" localSheetId="7" hidden="1">'SUPERMARKETS'!$A$1:$AB$39</definedName>
    <definedName name="_xlnm._FilterDatabase" localSheetId="8" hidden="1">'CHAINS - MULTI-SITE'!$A$1:$AB$48</definedName>
    <definedName name="_xlnm._FilterDatabase" localSheetId="9" hidden="1">'MISSING CONTACT INFO'!$A$1:$AB$90</definedName>
    <definedName name="_xlnm._FilterDatabase" localSheetId="10" hidden="1">'DUPLICATE REVIEW'!$A$1:$AB$4</definedName>
    <definedName name="_xlnm._FilterDatabase" localSheetId="11" hidden="1">'SOURCE LOG'!$A$1:$H$425</definedName>
    <definedName name="_xlnm._FilterDatabase" localSheetId="12" hidden="1">'CRM - FOLLOW-UP'!$A$1:$U$194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14"/>
    </font>
    <font>
      <name val="Arial"/>
      <i val="1"/>
      <color rgb="00666666"/>
      <sz val="10"/>
    </font>
    <font>
      <name val="Arial"/>
      <b val="1"/>
      <sz val="11"/>
    </font>
    <font>
      <name val="Arial"/>
      <b val="1"/>
      <color rgb="00808080"/>
      <sz val="9"/>
    </font>
    <font>
      <name val="Arial"/>
      <sz val="10"/>
    </font>
    <font>
      <name val="Arial"/>
      <b val="1"/>
      <sz val="10"/>
    </font>
    <font>
      <name val="Arial"/>
      <color rgb="00808080"/>
      <sz val="10"/>
    </font>
    <font>
      <name val="Arial"/>
      <i val="1"/>
      <color rgb="00808080"/>
      <sz val="9"/>
    </font>
    <font>
      <name val="Arial"/>
      <b val="1"/>
      <color rgb="00FFFFFF"/>
      <sz val="10"/>
    </font>
  </fonts>
  <fills count="4">
    <fill>
      <patternFill/>
    </fill>
    <fill>
      <patternFill patternType="gray125"/>
    </fill>
    <fill>
      <patternFill patternType="solid">
        <fgColor rgb="00F2F6FC"/>
      </patternFill>
    </fill>
    <fill>
      <patternFill patternType="solid">
        <fgColor rgb="001F386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pivotButton="0" quotePrefix="0" xfId="0"/>
    <xf numFmtId="3" fontId="6" fillId="2" borderId="1" pivotButton="0" quotePrefix="0" xfId="0"/>
    <xf numFmtId="3" fontId="7" fillId="2" borderId="1" pivotButton="0" quotePrefix="0" xfId="0"/>
    <xf numFmtId="0" fontId="6" fillId="2" borderId="1" pivotButton="0" quotePrefix="0" xfId="0"/>
    <xf numFmtId="0" fontId="7" fillId="2" borderId="1" pivotButton="0" quotePrefix="0" xfId="0"/>
    <xf numFmtId="0" fontId="5" fillId="0" borderId="1" pivotButton="0" quotePrefix="0" xfId="0"/>
    <xf numFmtId="3" fontId="6" fillId="0" borderId="1" pivotButton="0" quotePrefix="0" xfId="0"/>
    <xf numFmtId="3" fontId="7" fillId="0" borderId="1" pivotButton="0" quotePrefix="0" xfId="0"/>
    <xf numFmtId="0" fontId="6" fillId="0" borderId="1" pivotButton="0" quotePrefix="0" xfId="0"/>
    <xf numFmtId="0" fontId="7" fillId="0" borderId="1" pivotButton="0" quotePrefix="0" xfId="0"/>
    <xf numFmtId="0" fontId="8" fillId="0" borderId="0" pivotButton="0" quotePrefix="0" xfId="0"/>
    <xf numFmtId="0" fontId="9" fillId="3"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L39"/>
  <sheetViews>
    <sheetView showGridLines="0" workbookViewId="0">
      <selection activeCell="A1" sqref="A1"/>
    </sheetView>
  </sheetViews>
  <sheetFormatPr baseColWidth="8" defaultRowHeight="15"/>
  <cols>
    <col width="3" customWidth="1" min="1" max="1"/>
    <col width="34" customWidth="1" min="2" max="2"/>
    <col width="10" customWidth="1" min="3" max="3"/>
    <col width="14" customWidth="1" min="4" max="4"/>
    <col width="3" customWidth="1" min="5" max="5"/>
    <col width="28" customWidth="1" min="6" max="6"/>
    <col width="8" customWidth="1" min="7" max="7"/>
    <col width="12" customWidth="1" min="8" max="8"/>
    <col width="3" customWidth="1" min="9" max="9"/>
    <col width="24" customWidth="1" min="10" max="10"/>
    <col width="8" customWidth="1" min="11" max="11"/>
    <col width="12" customWidth="1" min="12" max="12"/>
  </cols>
  <sheetData>
    <row r="2">
      <c r="B2" s="1" t="inlineStr">
        <is>
          <t>ARKHAM RETAIL - UK RETAIL PROSPECT DATABASE</t>
        </is>
      </c>
    </row>
    <row r="3">
      <c r="B3" s="2" t="inlineStr">
        <is>
          <t>Pilot region: West Yorkshire (Yorkshire &amp; Humber) - generated 2026-09-16</t>
        </is>
      </c>
    </row>
    <row r="5">
      <c r="B5" s="3" t="inlineStr">
        <is>
          <t>KEY METRICS</t>
        </is>
      </c>
      <c r="C5" s="4" t="inlineStr">
        <is>
          <t>LIVE</t>
        </is>
      </c>
      <c r="D5" s="4" t="inlineStr">
        <is>
          <t>SNAPSHOT 2026-09-16</t>
        </is>
      </c>
      <c r="F5" s="3" t="inlineStr">
        <is>
          <t>BY CATEGORY</t>
        </is>
      </c>
      <c r="J5" s="3" t="inlineStr">
        <is>
          <t>BY TOWN / CITY</t>
        </is>
      </c>
    </row>
    <row r="6">
      <c r="B6" s="5" t="inlineStr">
        <is>
          <t>TOTAL PROSPECTS</t>
        </is>
      </c>
      <c r="C6" s="6">
        <f>COUNTA('ALL PROSPECTS'!$A$2:$A$194)</f>
        <v/>
      </c>
      <c r="D6" s="7" t="n">
        <v>193</v>
      </c>
      <c r="F6" s="5" t="inlineStr">
        <is>
          <t>Vape Shop</t>
        </is>
      </c>
      <c r="G6" s="8">
        <f>COUNTIF('ALL PROSPECTS'!$G$2:$G$194,"Vape Shop")</f>
        <v/>
      </c>
      <c r="H6" s="9" t="n">
        <v>57</v>
      </c>
      <c r="J6" s="5" t="inlineStr">
        <is>
          <t>Batley</t>
        </is>
      </c>
      <c r="K6" s="8">
        <f>COUNTIF('ALL PROSPECTS'!$Q$2:$Q$194,"Batley")</f>
        <v/>
      </c>
      <c r="L6" s="9" t="n">
        <v>7</v>
      </c>
    </row>
    <row r="7">
      <c r="B7" s="10" t="inlineStr">
        <is>
          <t>PHONE AVAILABLE</t>
        </is>
      </c>
      <c r="C7" s="11">
        <f>COUNTIF('ALL PROSPECTS'!$V$2:$V$194,"?*")</f>
        <v/>
      </c>
      <c r="D7" s="12" t="n">
        <v>100</v>
      </c>
      <c r="F7" s="10" t="inlineStr">
        <is>
          <t>Convenience Store</t>
        </is>
      </c>
      <c r="G7" s="13">
        <f>COUNTIF('ALL PROSPECTS'!$G$2:$G$194,"Convenience Store")</f>
        <v/>
      </c>
      <c r="H7" s="14" t="n">
        <v>33</v>
      </c>
      <c r="J7" s="10" t="inlineStr">
        <is>
          <t>Bingley</t>
        </is>
      </c>
      <c r="K7" s="13">
        <f>COUNTIF('ALL PROSPECTS'!$Q$2:$Q$194,"Bingley")</f>
        <v/>
      </c>
      <c r="L7" s="14" t="n">
        <v>4</v>
      </c>
    </row>
    <row r="8">
      <c r="B8" s="5" t="inlineStr">
        <is>
          <t>EMAIL AVAILABLE</t>
        </is>
      </c>
      <c r="C8" s="6">
        <f>SUMPRODUCT(--(('ALL PROSPECTS'!$Y$2:$Y$194&lt;&gt;"")+('ALL PROSPECTS'!$Z$2:$Z$194&lt;&gt;"")+('ALL PROSPECTS'!$AA$2:$AA$194&lt;&gt;"")&gt;0))</f>
        <v/>
      </c>
      <c r="D8" s="7" t="n">
        <v>33</v>
      </c>
      <c r="F8" s="5" t="inlineStr">
        <is>
          <t>Petrol Station / Forecourt</t>
        </is>
      </c>
      <c r="G8" s="8">
        <f>COUNTIF('ALL PROSPECTS'!$G$2:$G$194,"Petrol Station / Forecourt")</f>
        <v/>
      </c>
      <c r="H8" s="9" t="n">
        <v>14</v>
      </c>
      <c r="J8" s="5" t="inlineStr">
        <is>
          <t>Bradford</t>
        </is>
      </c>
      <c r="K8" s="8">
        <f>COUNTIF('ALL PROSPECTS'!$Q$2:$Q$194,"Bradford")</f>
        <v/>
      </c>
      <c r="L8" s="9" t="n">
        <v>22</v>
      </c>
    </row>
    <row r="9">
      <c r="B9" s="10" t="inlineStr">
        <is>
          <t>WEBSITE AVAILABLE</t>
        </is>
      </c>
      <c r="C9" s="11">
        <f>COUNTIF('ALL PROSPECTS'!$K$2:$K$194,"?*")</f>
        <v/>
      </c>
      <c r="D9" s="12" t="n">
        <v>77</v>
      </c>
      <c r="F9" s="10" t="inlineStr">
        <is>
          <t>Off-Licence</t>
        </is>
      </c>
      <c r="G9" s="13">
        <f>COUNTIF('ALL PROSPECTS'!$G$2:$G$194,"Off-Licence")</f>
        <v/>
      </c>
      <c r="H9" s="14" t="n">
        <v>24</v>
      </c>
      <c r="J9" s="10" t="inlineStr">
        <is>
          <t>Brighouse</t>
        </is>
      </c>
      <c r="K9" s="13">
        <f>COUNTIF('ALL PROSPECTS'!$Q$2:$Q$194,"Brighouse")</f>
        <v/>
      </c>
      <c r="L9" s="14" t="n">
        <v>5</v>
      </c>
    </row>
    <row r="10">
      <c r="B10" s="5" t="inlineStr">
        <is>
          <t>PHONE VERIFIED (OFFICIAL SITE)</t>
        </is>
      </c>
      <c r="C10" s="6">
        <f>COUNTIF('ALL PROSPECTS'!$AY$2:$AY$194,"Verified on official website")</f>
        <v/>
      </c>
      <c r="D10" s="7" t="n">
        <v>9</v>
      </c>
      <c r="F10" s="5" t="inlineStr">
        <is>
          <t>Tobacco Specialist</t>
        </is>
      </c>
      <c r="G10" s="8">
        <f>COUNTIF('ALL PROSPECTS'!$G$2:$G$194,"Tobacco Specialist")</f>
        <v/>
      </c>
      <c r="H10" s="9" t="n">
        <v>8</v>
      </c>
      <c r="J10" s="5" t="inlineStr">
        <is>
          <t>Castleford</t>
        </is>
      </c>
      <c r="K10" s="8">
        <f>COUNTIF('ALL PROSPECTS'!$Q$2:$Q$194,"Castleford")</f>
        <v/>
      </c>
      <c r="L10" s="9" t="n">
        <v>5</v>
      </c>
    </row>
    <row r="11">
      <c r="B11" s="10" t="inlineStr">
        <is>
          <t>EMAIL PUBLICLY LISTED</t>
        </is>
      </c>
      <c r="C11" s="11">
        <f>COUNTIF('ALL PROSPECTS'!$AZ$2:$AZ$194,"Publicly Listed")+COUNTIF('ALL PROSPECTS'!$AZ$2:$AZ$194,"Verified")</f>
        <v/>
      </c>
      <c r="D11" s="12" t="n">
        <v>10</v>
      </c>
      <c r="F11" s="10" t="inlineStr">
        <is>
          <t>Newsagent</t>
        </is>
      </c>
      <c r="G11" s="13">
        <f>COUNTIF('ALL PROSPECTS'!$G$2:$G$194,"Newsagent")</f>
        <v/>
      </c>
      <c r="H11" s="14" t="n">
        <v>15</v>
      </c>
      <c r="J11" s="10" t="inlineStr">
        <is>
          <t>Cleckheaton</t>
        </is>
      </c>
      <c r="K11" s="13">
        <f>COUNTIF('ALL PROSPECTS'!$Q$2:$Q$194,"Cleckheaton")</f>
        <v/>
      </c>
      <c r="L11" s="14" t="n">
        <v>1</v>
      </c>
    </row>
    <row r="12">
      <c r="B12" s="5" t="inlineStr">
        <is>
          <t>COMPANIES HOUSE VERIFIED</t>
        </is>
      </c>
      <c r="C12" s="6">
        <f>COUNTIF('ALL PROSPECTS'!$AX$2:$AX$194,"Yes")</f>
        <v/>
      </c>
      <c r="D12" s="7" t="n">
        <v>31</v>
      </c>
      <c r="F12" s="5" t="inlineStr">
        <is>
          <t>Independent Supermarket</t>
        </is>
      </c>
      <c r="G12" s="8">
        <f>COUNTIF('ALL PROSPECTS'!$G$2:$G$194,"Independent Supermarket")</f>
        <v/>
      </c>
      <c r="H12" s="9" t="n">
        <v>25</v>
      </c>
      <c r="J12" s="5" t="inlineStr">
        <is>
          <t>Dewsbury</t>
        </is>
      </c>
      <c r="K12" s="8">
        <f>COUNTIF('ALL PROSPECTS'!$Q$2:$Q$194,"Dewsbury")</f>
        <v/>
      </c>
      <c r="L12" s="9" t="n">
        <v>12</v>
      </c>
    </row>
    <row r="13">
      <c r="B13" s="10" t="inlineStr">
        <is>
          <t>REQUIRES VERIFICATION</t>
        </is>
      </c>
      <c r="C13" s="11">
        <f>COUNTIF('ALL PROSPECTS'!$BB$2:$BB$194,"Requires Verification")</f>
        <v/>
      </c>
      <c r="D13" s="12" t="n">
        <v>146</v>
      </c>
      <c r="F13" s="10" t="inlineStr">
        <is>
          <t>Smoke / Shisha Shop</t>
        </is>
      </c>
      <c r="G13" s="13">
        <f>COUNTIF('ALL PROSPECTS'!$G$2:$G$194,"Smoke / Shisha Shop")</f>
        <v/>
      </c>
      <c r="H13" s="14" t="n">
        <v>3</v>
      </c>
      <c r="J13" s="10" t="inlineStr">
        <is>
          <t>Elland</t>
        </is>
      </c>
      <c r="K13" s="13">
        <f>COUNTIF('ALL PROSPECTS'!$Q$2:$Q$194,"Elland")</f>
        <v/>
      </c>
      <c r="L13" s="14" t="n">
        <v>3</v>
      </c>
    </row>
    <row r="14">
      <c r="B14" s="5" t="inlineStr">
        <is>
          <t>DUPLICATE REVIEW REQUIRED</t>
        </is>
      </c>
      <c r="C14" s="6">
        <f>COUNTIF('ALL PROSPECTS'!$BD$2:$BD$194,"?*")</f>
        <v/>
      </c>
      <c r="D14" s="7" t="n">
        <v>3</v>
      </c>
      <c r="F14" s="5" t="inlineStr">
        <is>
          <t>Cash &amp; Carry</t>
        </is>
      </c>
      <c r="G14" s="8">
        <f>COUNTIF('ALL PROSPECTS'!$G$2:$G$194,"Cash &amp; Carry")</f>
        <v/>
      </c>
      <c r="H14" s="9" t="n">
        <v>13</v>
      </c>
      <c r="J14" s="5" t="inlineStr">
        <is>
          <t>Featherstone</t>
        </is>
      </c>
      <c r="K14" s="8">
        <f>COUNTIF('ALL PROSPECTS'!$Q$2:$Q$194,"Featherstone")</f>
        <v/>
      </c>
      <c r="L14" s="9" t="n">
        <v>3</v>
      </c>
    </row>
    <row r="15">
      <c r="B15" s="10" t="inlineStr">
        <is>
          <t>MULTI-SITE LOCATIONS</t>
        </is>
      </c>
      <c r="C15" s="11">
        <f>COUNTIF('ALL PROSPECTS'!$C$2:$C$194,"?*")</f>
        <v/>
      </c>
      <c r="D15" s="12" t="n">
        <v>46</v>
      </c>
      <c r="F15" s="10" t="inlineStr">
        <is>
          <t>Other Relevant Retail</t>
        </is>
      </c>
      <c r="G15" s="13">
        <f>COUNTIF('ALL PROSPECTS'!$G$2:$G$194,"Other Relevant Retail")</f>
        <v/>
      </c>
      <c r="H15" s="14" t="n">
        <v>1</v>
      </c>
      <c r="J15" s="10" t="inlineStr">
        <is>
          <t>Halifax</t>
        </is>
      </c>
      <c r="K15" s="13">
        <f>COUNTIF('ALL PROSPECTS'!$Q$2:$Q$194,"Halifax")</f>
        <v/>
      </c>
      <c r="L15" s="14" t="n">
        <v>18</v>
      </c>
    </row>
    <row r="16">
      <c r="B16" s="5" t="inlineStr">
        <is>
          <t>HIGH PRIORITY LEADS</t>
        </is>
      </c>
      <c r="C16" s="6">
        <f>COUNTIF('ALL PROSPECTS'!$AP$2:$AP$194,"High")</f>
        <v/>
      </c>
      <c r="D16" s="7" t="n">
        <v>43</v>
      </c>
      <c r="J16" s="5" t="inlineStr">
        <is>
          <t>Hebden Bridge</t>
        </is>
      </c>
      <c r="K16" s="8">
        <f>COUNTIF('ALL PROSPECTS'!$Q$2:$Q$194,"Hebden Bridge")</f>
        <v/>
      </c>
      <c r="L16" s="9" t="n">
        <v>1</v>
      </c>
    </row>
    <row r="17">
      <c r="B17" s="10" t="inlineStr">
        <is>
          <t>MEDIUM PRIORITY LEADS</t>
        </is>
      </c>
      <c r="C17" s="11">
        <f>COUNTIF('ALL PROSPECTS'!$AP$2:$AP$194,"Medium")</f>
        <v/>
      </c>
      <c r="D17" s="12" t="n">
        <v>87</v>
      </c>
      <c r="J17" s="10" t="inlineStr">
        <is>
          <t>Heckmondwike</t>
        </is>
      </c>
      <c r="K17" s="13">
        <f>COUNTIF('ALL PROSPECTS'!$Q$2:$Q$194,"Heckmondwike")</f>
        <v/>
      </c>
      <c r="L17" s="14" t="n">
        <v>4</v>
      </c>
    </row>
    <row r="18">
      <c r="J18" s="5" t="inlineStr">
        <is>
          <t>Hemsworth</t>
        </is>
      </c>
      <c r="K18" s="8">
        <f>COUNTIF('ALL PROSPECTS'!$Q$2:$Q$194,"Hemsworth")</f>
        <v/>
      </c>
      <c r="L18" s="9" t="n">
        <v>2</v>
      </c>
    </row>
    <row r="19">
      <c r="B19" s="15" t="inlineStr">
        <is>
          <t>LIVE column recalculates from ALL PROSPECTS when opened in Excel/Sheets; SNAPSHOT is the static count at generation time. If they differ, the data was edited.</t>
        </is>
      </c>
      <c r="J19" s="10" t="inlineStr">
        <is>
          <t>Holmfirth</t>
        </is>
      </c>
      <c r="K19" s="13">
        <f>COUNTIF('ALL PROSPECTS'!$Q$2:$Q$194,"Holmfirth")</f>
        <v/>
      </c>
      <c r="L19" s="14" t="n">
        <v>1</v>
      </c>
    </row>
    <row r="20">
      <c r="J20" s="5" t="inlineStr">
        <is>
          <t>Horbury</t>
        </is>
      </c>
      <c r="K20" s="8">
        <f>COUNTIF('ALL PROSPECTS'!$Q$2:$Q$194,"Horbury")</f>
        <v/>
      </c>
      <c r="L20" s="9" t="n">
        <v>1</v>
      </c>
    </row>
    <row r="21">
      <c r="J21" s="10" t="inlineStr">
        <is>
          <t>Huddersfield</t>
        </is>
      </c>
      <c r="K21" s="13">
        <f>COUNTIF('ALL PROSPECTS'!$Q$2:$Q$194,"Huddersfield")</f>
        <v/>
      </c>
      <c r="L21" s="14" t="n">
        <v>14</v>
      </c>
    </row>
    <row r="22">
      <c r="J22" s="5" t="inlineStr">
        <is>
          <t>Ilkley</t>
        </is>
      </c>
      <c r="K22" s="8">
        <f>COUNTIF('ALL PROSPECTS'!$Q$2:$Q$194,"Ilkley")</f>
        <v/>
      </c>
      <c r="L22" s="9" t="n">
        <v>2</v>
      </c>
    </row>
    <row r="23">
      <c r="J23" s="10" t="inlineStr">
        <is>
          <t>Keighley</t>
        </is>
      </c>
      <c r="K23" s="13">
        <f>COUNTIF('ALL PROSPECTS'!$Q$2:$Q$194,"Keighley")</f>
        <v/>
      </c>
      <c r="L23" s="14" t="n">
        <v>6</v>
      </c>
    </row>
    <row r="24">
      <c r="J24" s="5" t="inlineStr">
        <is>
          <t>Knottingley</t>
        </is>
      </c>
      <c r="K24" s="8">
        <f>COUNTIF('ALL PROSPECTS'!$Q$2:$Q$194,"Knottingley")</f>
        <v/>
      </c>
      <c r="L24" s="9" t="n">
        <v>1</v>
      </c>
    </row>
    <row r="25">
      <c r="J25" s="10" t="inlineStr">
        <is>
          <t>Leeds</t>
        </is>
      </c>
      <c r="K25" s="13">
        <f>COUNTIF('ALL PROSPECTS'!$Q$2:$Q$194,"Leeds")</f>
        <v/>
      </c>
      <c r="L25" s="14" t="n">
        <v>34</v>
      </c>
    </row>
    <row r="26">
      <c r="J26" s="5" t="inlineStr">
        <is>
          <t>Meltham</t>
        </is>
      </c>
      <c r="K26" s="8">
        <f>COUNTIF('ALL PROSPECTS'!$Q$2:$Q$194,"Meltham")</f>
        <v/>
      </c>
      <c r="L26" s="9" t="n">
        <v>1</v>
      </c>
    </row>
    <row r="27">
      <c r="J27" s="10" t="inlineStr">
        <is>
          <t>Mirfield</t>
        </is>
      </c>
      <c r="K27" s="13">
        <f>COUNTIF('ALL PROSPECTS'!$Q$2:$Q$194,"Mirfield")</f>
        <v/>
      </c>
      <c r="L27" s="14" t="n">
        <v>2</v>
      </c>
    </row>
    <row r="28">
      <c r="J28" s="5" t="inlineStr">
        <is>
          <t>Morley</t>
        </is>
      </c>
      <c r="K28" s="8">
        <f>COUNTIF('ALL PROSPECTS'!$Q$2:$Q$194,"Morley")</f>
        <v/>
      </c>
      <c r="L28" s="9" t="n">
        <v>1</v>
      </c>
    </row>
    <row r="29">
      <c r="J29" s="10" t="inlineStr">
        <is>
          <t>Mytholmroyd</t>
        </is>
      </c>
      <c r="K29" s="13">
        <f>COUNTIF('ALL PROSPECTS'!$Q$2:$Q$194,"Mytholmroyd")</f>
        <v/>
      </c>
      <c r="L29" s="14" t="n">
        <v>1</v>
      </c>
    </row>
    <row r="30">
      <c r="J30" s="5" t="inlineStr">
        <is>
          <t>Normanton</t>
        </is>
      </c>
      <c r="K30" s="8">
        <f>COUNTIF('ALL PROSPECTS'!$Q$2:$Q$194,"Normanton")</f>
        <v/>
      </c>
      <c r="L30" s="9" t="n">
        <v>4</v>
      </c>
    </row>
    <row r="31">
      <c r="J31" s="10" t="inlineStr">
        <is>
          <t>Ossett</t>
        </is>
      </c>
      <c r="K31" s="13">
        <f>COUNTIF('ALL PROSPECTS'!$Q$2:$Q$194,"Ossett")</f>
        <v/>
      </c>
      <c r="L31" s="14" t="n">
        <v>1</v>
      </c>
    </row>
    <row r="32">
      <c r="J32" s="5" t="inlineStr">
        <is>
          <t>Otley</t>
        </is>
      </c>
      <c r="K32" s="8">
        <f>COUNTIF('ALL PROSPECTS'!$Q$2:$Q$194,"Otley")</f>
        <v/>
      </c>
      <c r="L32" s="9" t="n">
        <v>1</v>
      </c>
    </row>
    <row r="33">
      <c r="J33" s="10" t="inlineStr">
        <is>
          <t>Pontefract</t>
        </is>
      </c>
      <c r="K33" s="13">
        <f>COUNTIF('ALL PROSPECTS'!$Q$2:$Q$194,"Pontefract")</f>
        <v/>
      </c>
      <c r="L33" s="14" t="n">
        <v>5</v>
      </c>
    </row>
    <row r="34">
      <c r="J34" s="5" t="inlineStr">
        <is>
          <t>Pudsey</t>
        </is>
      </c>
      <c r="K34" s="8">
        <f>COUNTIF('ALL PROSPECTS'!$Q$2:$Q$194,"Pudsey")</f>
        <v/>
      </c>
      <c r="L34" s="9" t="n">
        <v>2</v>
      </c>
    </row>
    <row r="35">
      <c r="J35" s="10" t="inlineStr">
        <is>
          <t>Shipley</t>
        </is>
      </c>
      <c r="K35" s="13">
        <f>COUNTIF('ALL PROSPECTS'!$Q$2:$Q$194,"Shipley")</f>
        <v/>
      </c>
      <c r="L35" s="14" t="n">
        <v>7</v>
      </c>
    </row>
    <row r="36">
      <c r="J36" s="5" t="inlineStr">
        <is>
          <t>Slaithwaite</t>
        </is>
      </c>
      <c r="K36" s="8">
        <f>COUNTIF('ALL PROSPECTS'!$Q$2:$Q$194,"Slaithwaite")</f>
        <v/>
      </c>
      <c r="L36" s="9" t="n">
        <v>1</v>
      </c>
    </row>
    <row r="37">
      <c r="J37" s="10" t="inlineStr">
        <is>
          <t>South Elmsall</t>
        </is>
      </c>
      <c r="K37" s="13">
        <f>COUNTIF('ALL PROSPECTS'!$Q$2:$Q$194,"South Elmsall")</f>
        <v/>
      </c>
      <c r="L37" s="14" t="n">
        <v>2</v>
      </c>
    </row>
    <row r="38">
      <c r="J38" s="5" t="inlineStr">
        <is>
          <t>Sowerby Bridge</t>
        </is>
      </c>
      <c r="K38" s="8">
        <f>COUNTIF('ALL PROSPECTS'!$Q$2:$Q$194,"Sowerby Bridge")</f>
        <v/>
      </c>
      <c r="L38" s="9" t="n">
        <v>2</v>
      </c>
    </row>
    <row r="39">
      <c r="J39" s="10" t="inlineStr">
        <is>
          <t>Todmorden</t>
        </is>
      </c>
      <c r="K39" s="13">
        <f>COUNTIF('ALL PROSPECTS'!$Q$2:$Q$194,"Todmorden")</f>
        <v/>
      </c>
      <c r="L39" s="14" t="n">
        <v>3</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Q19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45" customWidth="1" min="5" max="5"/>
    <col width="45" customWidth="1" min="6" max="6"/>
    <col width="28" customWidth="1" min="7" max="7"/>
    <col width="45" customWidth="1" min="8" max="8"/>
    <col width="26" customWidth="1" min="9" max="9"/>
    <col width="21" customWidth="1" min="10" max="10"/>
    <col width="45" customWidth="1" min="11" max="11"/>
    <col width="45" customWidth="1" min="12" max="12"/>
    <col width="45" customWidth="1" min="13" max="13"/>
    <col width="45" customWidth="1" min="14" max="14"/>
    <col width="45" customWidth="1" min="15" max="15"/>
    <col width="45" customWidth="1" min="16" max="16"/>
    <col width="16" customWidth="1" min="17" max="17"/>
    <col width="16" customWidth="1" min="18" max="18"/>
    <col width="10" customWidth="1" min="19" max="19"/>
    <col width="20" customWidth="1" min="20" max="20"/>
    <col width="10" customWidth="1" min="21" max="21"/>
    <col width="15" customWidth="1" min="22" max="22"/>
    <col width="17" customWidth="1" min="23" max="23"/>
    <col width="10" customWidth="1" min="24" max="24"/>
    <col width="34" customWidth="1" min="25" max="25"/>
    <col width="30" customWidth="1" min="26" max="26"/>
    <col width="18" customWidth="1" min="27" max="27"/>
    <col width="27" customWidth="1" min="28" max="28"/>
    <col width="20" customWidth="1" min="29" max="29"/>
    <col width="45" customWidth="1" min="30" max="30"/>
    <col width="24" customWidth="1" min="31" max="31"/>
    <col width="40" customWidth="1" min="32" max="32"/>
    <col width="45" customWidth="1" min="33" max="33"/>
    <col width="45" customWidth="1" min="34" max="34"/>
    <col width="20" customWidth="1" min="35" max="35"/>
    <col width="45" customWidth="1" min="36" max="36"/>
    <col width="45" customWidth="1" min="37" max="37"/>
    <col width="23" customWidth="1" min="38" max="38"/>
    <col width="28" customWidth="1" min="39" max="39"/>
    <col width="45" customWidth="1" min="40" max="40"/>
    <col width="45" customWidth="1" min="41" max="41"/>
    <col width="15" customWidth="1" min="42" max="42"/>
    <col width="45" customWidth="1" min="43" max="43"/>
    <col width="45" customWidth="1" min="44" max="44"/>
    <col width="45" customWidth="1" min="45" max="45"/>
    <col width="14" customWidth="1" min="46" max="46"/>
    <col width="17" customWidth="1" min="47" max="47"/>
    <col width="15" customWidth="1" min="48" max="48"/>
    <col width="15" customWidth="1" min="49" max="49"/>
    <col width="25" customWidth="1" min="50" max="50"/>
    <col width="30" customWidth="1" min="51" max="51"/>
    <col width="17" customWidth="1" min="52" max="52"/>
    <col width="20" customWidth="1" min="53" max="53"/>
    <col width="38" customWidth="1" min="54" max="54"/>
    <col width="17" customWidth="1" min="55" max="55"/>
    <col width="27" customWidth="1" min="56" max="56"/>
    <col width="16" customWidth="1" min="57" max="57"/>
    <col width="45" customWidth="1" min="58" max="58"/>
    <col width="16" customWidth="1" min="59" max="59"/>
    <col width="16" customWidth="1" min="60" max="60"/>
    <col width="16" customWidth="1" min="61" max="61"/>
    <col width="13" customWidth="1" min="62" max="62"/>
    <col width="12" customWidth="1" min="63" max="63"/>
    <col width="14" customWidth="1" min="64" max="64"/>
    <col width="16" customWidth="1" min="65" max="65"/>
    <col width="16" customWidth="1" min="66" max="66"/>
    <col width="13" customWidth="1" min="67" max="67"/>
    <col width="10" customWidth="1" min="68" max="68"/>
    <col width="11" customWidth="1" min="69" max="69"/>
  </cols>
  <sheetData>
    <row r="1">
      <c r="A1" s="16" t="inlineStr">
        <is>
          <t>Record ID</t>
        </is>
      </c>
      <c r="B1" s="16" t="inlineStr">
        <is>
          <t>Location ID</t>
        </is>
      </c>
      <c r="C1" s="16" t="inlineStr">
        <is>
          <t>Parent Company</t>
        </is>
      </c>
      <c r="D1" s="16" t="inlineStr">
        <is>
          <t>Business Name</t>
        </is>
      </c>
      <c r="E1" s="16" t="inlineStr">
        <is>
          <t>Trading Name</t>
        </is>
      </c>
      <c r="F1" s="16" t="inlineStr">
        <is>
          <t>Legal Company Name</t>
        </is>
      </c>
      <c r="G1" s="16" t="inlineStr">
        <is>
          <t>Business Category</t>
        </is>
      </c>
      <c r="H1" s="16" t="inlineStr">
        <is>
          <t>Business Subcategory</t>
        </is>
      </c>
      <c r="I1" s="16" t="inlineStr">
        <is>
          <t>Independent / Chain</t>
        </is>
      </c>
      <c r="J1" s="16" t="inlineStr">
        <is>
          <t>Number of Locations</t>
        </is>
      </c>
      <c r="K1" s="16" t="inlineStr">
        <is>
          <t>Website</t>
        </is>
      </c>
      <c r="L1" s="16" t="inlineStr">
        <is>
          <t>Facebook</t>
        </is>
      </c>
      <c r="M1" s="16" t="inlineStr">
        <is>
          <t>Instagram</t>
        </is>
      </c>
      <c r="N1" s="16" t="inlineStr">
        <is>
          <t>Other Social Media</t>
        </is>
      </c>
      <c r="O1" s="16" t="inlineStr">
        <is>
          <t>Address Line 1</t>
        </is>
      </c>
      <c r="P1" s="16" t="inlineStr">
        <is>
          <t>Address Line 2</t>
        </is>
      </c>
      <c r="Q1" s="16" t="inlineStr">
        <is>
          <t>Town / City</t>
        </is>
      </c>
      <c r="R1" s="16" t="inlineStr">
        <is>
          <t>County</t>
        </is>
      </c>
      <c r="S1" s="16" t="inlineStr">
        <is>
          <t>Postcode</t>
        </is>
      </c>
      <c r="T1" s="16" t="inlineStr">
        <is>
          <t>Region</t>
        </is>
      </c>
      <c r="U1" s="16" t="inlineStr">
        <is>
          <t>Country</t>
        </is>
      </c>
      <c r="V1" s="16" t="inlineStr">
        <is>
          <t>Main Phone</t>
        </is>
      </c>
      <c r="W1" s="16" t="inlineStr">
        <is>
          <t>Secondary Phone</t>
        </is>
      </c>
      <c r="X1" s="16" t="inlineStr">
        <is>
          <t>Mobile</t>
        </is>
      </c>
      <c r="Y1" s="16" t="inlineStr">
        <is>
          <t>General Email</t>
        </is>
      </c>
      <c r="Z1" s="16" t="inlineStr">
        <is>
          <t>Sales Email</t>
        </is>
      </c>
      <c r="AA1" s="16" t="inlineStr">
        <is>
          <t>Purchasing Email</t>
        </is>
      </c>
      <c r="AB1" s="16" t="inlineStr">
        <is>
          <t>Contact Name</t>
        </is>
      </c>
      <c r="AC1" s="16" t="inlineStr">
        <is>
          <t>Contact Position</t>
        </is>
      </c>
      <c r="AD1" s="16" t="inlineStr">
        <is>
          <t>Contact Source</t>
        </is>
      </c>
      <c r="AE1" s="16" t="inlineStr">
        <is>
          <t>Companies House Number</t>
        </is>
      </c>
      <c r="AF1" s="16" t="inlineStr">
        <is>
          <t>Company Status</t>
        </is>
      </c>
      <c r="AG1" s="16" t="inlineStr">
        <is>
          <t>Registered Company Name</t>
        </is>
      </c>
      <c r="AH1" s="16" t="inlineStr">
        <is>
          <t>Registered Office</t>
        </is>
      </c>
      <c r="AI1" s="16" t="inlineStr">
        <is>
          <t>Incorporation Date</t>
        </is>
      </c>
      <c r="AJ1" s="16" t="inlineStr">
        <is>
          <t>Existing Vape Brands</t>
        </is>
      </c>
      <c r="AK1" s="16" t="inlineStr">
        <is>
          <t>Product Categories</t>
        </is>
      </c>
      <c r="AL1" s="16" t="inlineStr">
        <is>
          <t>Potential Opportunity</t>
        </is>
      </c>
      <c r="AM1" s="16" t="inlineStr">
        <is>
          <t>Estimated Retail Type</t>
        </is>
      </c>
      <c r="AN1" s="16" t="inlineStr">
        <is>
          <t>Supplier Information</t>
        </is>
      </c>
      <c r="AO1" s="16" t="inlineStr">
        <is>
          <t>Sales Notes</t>
        </is>
      </c>
      <c r="AP1" s="16" t="inlineStr">
        <is>
          <t>Lead Priority</t>
        </is>
      </c>
      <c r="AQ1" s="16" t="inlineStr">
        <is>
          <t>Priority Reasons</t>
        </is>
      </c>
      <c r="AR1" s="16" t="inlineStr">
        <is>
          <t>Primary Source</t>
        </is>
      </c>
      <c r="AS1" s="16" t="inlineStr">
        <is>
          <t>Secondary Source</t>
        </is>
      </c>
      <c r="AT1" s="16" t="inlineStr">
        <is>
          <t>Source Count</t>
        </is>
      </c>
      <c r="AU1" s="16" t="inlineStr">
        <is>
          <t>Website Checked</t>
        </is>
      </c>
      <c r="AV1" s="16" t="inlineStr">
        <is>
          <t>Phone Checked</t>
        </is>
      </c>
      <c r="AW1" s="16" t="inlineStr">
        <is>
          <t>Email Checked</t>
        </is>
      </c>
      <c r="AX1" s="16" t="inlineStr">
        <is>
          <t>Companies House Checked</t>
        </is>
      </c>
      <c r="AY1" s="16" t="inlineStr">
        <is>
          <t>Phone Status</t>
        </is>
      </c>
      <c r="AZ1" s="16" t="inlineStr">
        <is>
          <t>Email Status</t>
        </is>
      </c>
      <c r="BA1" s="16" t="inlineStr">
        <is>
          <t>Last Verified Date</t>
        </is>
      </c>
      <c r="BB1" s="16" t="inlineStr">
        <is>
          <t>Verification Status</t>
        </is>
      </c>
      <c r="BC1" s="16" t="inlineStr">
        <is>
          <t>Data Confidence</t>
        </is>
      </c>
      <c r="BD1" s="16" t="inlineStr">
        <is>
          <t>Duplicate Review</t>
        </is>
      </c>
      <c r="BE1" s="16" t="inlineStr">
        <is>
          <t>Contact Type</t>
        </is>
      </c>
      <c r="BF1" s="16" t="inlineStr">
        <is>
          <t>Marketing Legal Basis</t>
        </is>
      </c>
      <c r="BG1" s="16" t="inlineStr">
        <is>
          <t>Opt-Out Status</t>
        </is>
      </c>
      <c r="BH1" s="16" t="inlineStr">
        <is>
          <t>Do Not Contact</t>
        </is>
      </c>
      <c r="BI1" s="16" t="inlineStr">
        <is>
          <t>Date Collected</t>
        </is>
      </c>
      <c r="BJ1" s="16" t="inlineStr">
        <is>
          <t>Lead Status</t>
        </is>
      </c>
      <c r="BK1" s="16" t="inlineStr">
        <is>
          <t>Date Added</t>
        </is>
      </c>
      <c r="BL1" s="16" t="inlineStr">
        <is>
          <t>Last Contact</t>
        </is>
      </c>
      <c r="BM1" s="16" t="inlineStr">
        <is>
          <t>Next Follow-Up</t>
        </is>
      </c>
      <c r="BN1" s="16" t="inlineStr">
        <is>
          <t>Contact Method</t>
        </is>
      </c>
      <c r="BO1" s="16" t="inlineStr">
        <is>
          <t>Salesperson</t>
        </is>
      </c>
      <c r="BP1" s="16" t="inlineStr">
        <is>
          <t>Outcome</t>
        </is>
      </c>
      <c r="BQ1" s="16" t="inlineStr">
        <is>
          <t>CRM Notes</t>
        </is>
      </c>
    </row>
    <row r="2">
      <c r="A2" s="5" t="inlineStr">
        <is>
          <t>WY-0001</t>
        </is>
      </c>
      <c r="B2" s="5" t="inlineStr">
        <is>
          <t>1865CIGARS-01</t>
        </is>
      </c>
      <c r="C2" s="5" t="inlineStr">
        <is>
          <t>1865 Cigars</t>
        </is>
      </c>
      <c r="D2" s="5" t="inlineStr">
        <is>
          <t>1865 Cigars (Huddersfield)</t>
        </is>
      </c>
      <c r="E2" s="5" t="inlineStr">
        <is>
          <t>1865 Cigars</t>
        </is>
      </c>
      <c r="F2" s="5" t="inlineStr"/>
      <c r="G2" s="5" t="inlineStr">
        <is>
          <t>Tobacco Specialist</t>
        </is>
      </c>
      <c r="H2" s="5" t="inlineStr">
        <is>
          <t>Cigar and tobacco specialist</t>
        </is>
      </c>
      <c r="I2" s="5" t="inlineStr">
        <is>
          <t>Regional Chain</t>
        </is>
      </c>
      <c r="J2" s="5" t="inlineStr">
        <is>
          <t>7</t>
        </is>
      </c>
      <c r="K2" s="5" t="inlineStr">
        <is>
          <t>https://1865cigars.com/</t>
        </is>
      </c>
      <c r="L2" s="5" t="inlineStr">
        <is>
          <t>https://www.facebook.com/p/1865Cigars-61555796965999/</t>
        </is>
      </c>
      <c r="M2" s="5" t="inlineStr">
        <is>
          <t>https://www.instagram.com/1865.cigars/</t>
        </is>
      </c>
      <c r="N2" s="5" t="inlineStr"/>
      <c r="O2" s="5" t="inlineStr">
        <is>
          <t>Sheffield House, 13 Cross Church Street</t>
        </is>
      </c>
      <c r="P2" s="5" t="inlineStr">
        <is>
          <t>Town Centre</t>
        </is>
      </c>
      <c r="Q2" s="5" t="inlineStr">
        <is>
          <t>Huddersfield</t>
        </is>
      </c>
      <c r="R2" s="5" t="inlineStr">
        <is>
          <t>West Yorkshire</t>
        </is>
      </c>
      <c r="S2" s="5" t="inlineStr">
        <is>
          <t>HD1 2PY</t>
        </is>
      </c>
      <c r="T2" s="5" t="inlineStr">
        <is>
          <t>Yorkshire &amp; Humber</t>
        </is>
      </c>
      <c r="U2" s="5" t="inlineStr">
        <is>
          <t>England</t>
        </is>
      </c>
      <c r="V2" s="5" t="inlineStr">
        <is>
          <t>01484 530457</t>
        </is>
      </c>
      <c r="W2" s="5" t="inlineStr"/>
      <c r="X2" s="5" t="inlineStr"/>
      <c r="Y2" s="5" t="inlineStr">
        <is>
          <t>sales@1865cigars.com</t>
        </is>
      </c>
      <c r="Z2" s="5" t="inlineStr">
        <is>
          <t>sales@1865cigars.com</t>
        </is>
      </c>
      <c r="AA2" s="5" t="inlineStr"/>
      <c r="AB2" s="5" t="inlineStr"/>
      <c r="AC2" s="5" t="inlineStr"/>
      <c r="AD2" s="5" t="inlineStr"/>
      <c r="AE2" s="5" t="inlineStr"/>
      <c r="AF2" s="5" t="inlineStr"/>
      <c r="AG2" s="5" t="inlineStr"/>
      <c r="AH2" s="5" t="inlineStr"/>
      <c r="AI2" s="5" t="inlineStr"/>
      <c r="AJ2" s="5" t="inlineStr"/>
      <c r="AK2" s="5" t="inlineStr">
        <is>
          <t>cigars; pipe tobacco; cigarillos; smoking accessories</t>
        </is>
      </c>
      <c r="AL2" s="5" t="inlineStr"/>
      <c r="AM2" s="5" t="inlineStr">
        <is>
          <t>Tobacco Specialist</t>
        </is>
      </c>
      <c r="AN2" s="5" t="inlineStr">
        <is>
          <t>Stocks 70+ cigar brands including Cuban and New World cigars</t>
        </is>
      </c>
      <c r="AO2" s="5" t="inlineStr">
        <is>
          <t>Yorkshire/North West cigar retail group with location pages for Sheffield, Manchester, Pudsey, Rotherham, Oldham and Halifax as well as Huddersfield; location count approximate from site location pages. Phone and email shown on the business's own web pages surfaced in search results.</t>
        </is>
      </c>
      <c r="AP2" s="5" t="inlineStr">
        <is>
          <t>High</t>
        </is>
      </c>
      <c r="AQ2" s="5" t="inlineStr">
        <is>
          <t>Multi-site retailer; Core relevant category; Public trade/sales contact; Active website; Social presence; Phone verified on official website</t>
        </is>
      </c>
      <c r="AR2" s="5" t="inlineStr">
        <is>
          <t>https://1865cigars.com/locations/sheffield/tobacconist-in-sheffield/</t>
        </is>
      </c>
      <c r="AS2" s="5" t="inlineStr">
        <is>
          <t>https://www.facebook.com/p/1865Cigars-61555796965999/</t>
        </is>
      </c>
      <c r="AT2" s="5" t="inlineStr">
        <is>
          <t>3</t>
        </is>
      </c>
      <c r="AU2" s="5" t="inlineStr">
        <is>
          <t>No</t>
        </is>
      </c>
      <c r="AV2" s="5" t="inlineStr">
        <is>
          <t>No</t>
        </is>
      </c>
      <c r="AW2" s="5" t="inlineStr">
        <is>
          <t>No</t>
        </is>
      </c>
      <c r="AX2" s="5" t="inlineStr">
        <is>
          <t>No</t>
        </is>
      </c>
      <c r="AY2" s="5" t="inlineStr">
        <is>
          <t>Verified on official website</t>
        </is>
      </c>
      <c r="AZ2" s="5" t="inlineStr">
        <is>
          <t>Publicly Listed</t>
        </is>
      </c>
      <c r="BA2" s="5" t="inlineStr">
        <is>
          <t>2026-09-16</t>
        </is>
      </c>
      <c r="BB2" s="5" t="inlineStr">
        <is>
          <t>Requires Verification</t>
        </is>
      </c>
      <c r="BC2" s="5" t="inlineStr">
        <is>
          <t>Medium</t>
        </is>
      </c>
      <c r="BD2" s="5" t="inlineStr"/>
      <c r="BE2" s="5" t="inlineStr">
        <is>
          <t>Business (B2B)</t>
        </is>
      </c>
      <c r="BF2" s="5" t="inlineStr">
        <is>
          <t>Legitimate interest (B2B) - assess per campaign; PECR: corporate subscribers</t>
        </is>
      </c>
      <c r="BG2" s="5" t="inlineStr"/>
      <c r="BH2" s="5" t="inlineStr">
        <is>
          <t>No</t>
        </is>
      </c>
      <c r="BI2" s="5" t="inlineStr">
        <is>
          <t>2026-09-16</t>
        </is>
      </c>
      <c r="BJ2" s="5" t="inlineStr">
        <is>
          <t>New</t>
        </is>
      </c>
      <c r="BK2" s="5" t="inlineStr">
        <is>
          <t>2026-09-16</t>
        </is>
      </c>
      <c r="BL2" s="5" t="inlineStr"/>
      <c r="BM2" s="5" t="inlineStr"/>
      <c r="BN2" s="5" t="inlineStr"/>
      <c r="BO2" s="5" t="inlineStr"/>
      <c r="BP2" s="5" t="inlineStr"/>
      <c r="BQ2" s="5" t="inlineStr"/>
    </row>
    <row r="3">
      <c r="A3" s="10" t="inlineStr">
        <is>
          <t>WY-0002</t>
        </is>
      </c>
      <c r="B3" s="10" t="inlineStr">
        <is>
          <t>420VAPESHO-01</t>
        </is>
      </c>
      <c r="C3" s="10" t="inlineStr">
        <is>
          <t>420 Vape Shop</t>
        </is>
      </c>
      <c r="D3" s="10" t="inlineStr">
        <is>
          <t>420 Vape Shop (Leeds Road, Shipley)</t>
        </is>
      </c>
      <c r="E3" s="10" t="inlineStr">
        <is>
          <t>4:20 Vape Shop</t>
        </is>
      </c>
      <c r="F3" s="10" t="inlineStr"/>
      <c r="G3" s="10" t="inlineStr">
        <is>
          <t>Vape Shop</t>
        </is>
      </c>
      <c r="H3" s="10" t="inlineStr">
        <is>
          <t>Vape hardware, e-liquids, disposables &amp; CBD</t>
        </is>
      </c>
      <c r="I3" s="10" t="inlineStr">
        <is>
          <t>Multi-Site Independent</t>
        </is>
      </c>
      <c r="J3" s="10" t="inlineStr">
        <is>
          <t>3</t>
        </is>
      </c>
      <c r="K3" s="10" t="inlineStr">
        <is>
          <t>https://420vapeshop.co.uk/</t>
        </is>
      </c>
      <c r="L3" s="10" t="inlineStr">
        <is>
          <t>https://www.facebook.com/420vapeshopBD4/</t>
        </is>
      </c>
      <c r="M3" s="10" t="inlineStr">
        <is>
          <t>https://www.instagram.com/420vapeshopuk/</t>
        </is>
      </c>
      <c r="N3" s="10" t="inlineStr"/>
      <c r="O3" s="10" t="inlineStr">
        <is>
          <t>206 Leeds Road</t>
        </is>
      </c>
      <c r="P3" s="10" t="inlineStr"/>
      <c r="Q3" s="10" t="inlineStr">
        <is>
          <t>Shipley</t>
        </is>
      </c>
      <c r="R3" s="10" t="inlineStr">
        <is>
          <t>West Yorkshire</t>
        </is>
      </c>
      <c r="S3" s="10" t="inlineStr">
        <is>
          <t>BD18 1EA</t>
        </is>
      </c>
      <c r="T3" s="10" t="inlineStr">
        <is>
          <t>Yorkshire &amp; Humber</t>
        </is>
      </c>
      <c r="U3" s="10" t="inlineStr">
        <is>
          <t>England</t>
        </is>
      </c>
      <c r="V3" s="10" t="inlineStr">
        <is>
          <t>01274 011507</t>
        </is>
      </c>
      <c r="W3" s="10" t="inlineStr"/>
      <c r="X3" s="10" t="inlineStr"/>
      <c r="Y3" s="10" t="inlineStr"/>
      <c r="Z3" s="10" t="inlineStr"/>
      <c r="AA3" s="10" t="inlineStr"/>
      <c r="AB3" s="10" t="inlineStr"/>
      <c r="AC3" s="10" t="inlineStr"/>
      <c r="AD3" s="10" t="inlineStr"/>
      <c r="AE3" s="10" t="inlineStr"/>
      <c r="AF3" s="10" t="inlineStr"/>
      <c r="AG3" s="10" t="inlineStr"/>
      <c r="AH3" s="10" t="inlineStr"/>
      <c r="AI3" s="10" t="inlineStr"/>
      <c r="AJ3" s="10" t="inlineStr"/>
      <c r="AK3" s="10" t="inlineStr">
        <is>
          <t>vape kits; e-liquids; nic salts; disposables; pods &amp; coils; CBD</t>
        </is>
      </c>
      <c r="AL3" s="10" t="inlineStr"/>
      <c r="AM3" s="10" t="inlineStr">
        <is>
          <t>Vape Shop</t>
        </is>
      </c>
      <c r="AN3" s="10" t="inlineStr"/>
      <c r="AO3" s="10" t="inlineStr">
        <is>
          <t>One of 3 stores of the 420 Vape Shop chain (see Tong Street record for company-level notes). Hours: Mon-Fri 08:00-19:00, Sat 09:00-17:00, Sun closed. Store details published on the brand's own contact page, obtained via search-engine extraction (direct fetch blocked by network policy).</t>
        </is>
      </c>
      <c r="AP3" s="10" t="inlineStr">
        <is>
          <t>High</t>
        </is>
      </c>
      <c r="AQ3" s="10" t="inlineStr">
        <is>
          <t>Multi-site retailer; Independent retailer; Core relevant category; Active website; Social presence; Phone verified on official website</t>
        </is>
      </c>
      <c r="AR3" s="10" t="inlineStr">
        <is>
          <t>https://420vapeshop.co.uk/pages/contact</t>
        </is>
      </c>
      <c r="AS3" s="10" t="inlineStr">
        <is>
          <t>https://ecigdirectory.co.uk/vape-shop/listing/420-vape-shop</t>
        </is>
      </c>
      <c r="AT3" s="10" t="inlineStr">
        <is>
          <t>2</t>
        </is>
      </c>
      <c r="AU3" s="10" t="inlineStr">
        <is>
          <t>Yes</t>
        </is>
      </c>
      <c r="AV3" s="10" t="inlineStr">
        <is>
          <t>No</t>
        </is>
      </c>
      <c r="AW3" s="10" t="inlineStr">
        <is>
          <t>No</t>
        </is>
      </c>
      <c r="AX3" s="10" t="inlineStr">
        <is>
          <t>Yes</t>
        </is>
      </c>
      <c r="AY3" s="10" t="inlineStr">
        <is>
          <t>Verified on official website</t>
        </is>
      </c>
      <c r="AZ3" s="10" t="inlineStr">
        <is>
          <t>Website Found</t>
        </is>
      </c>
      <c r="BA3" s="10" t="inlineStr">
        <is>
          <t>2026-09-16</t>
        </is>
      </c>
      <c r="BB3" s="10" t="inlineStr">
        <is>
          <t>Verified (website + Companies House)</t>
        </is>
      </c>
      <c r="BC3" s="10" t="inlineStr">
        <is>
          <t>Medium</t>
        </is>
      </c>
      <c r="BD3" s="10" t="inlineStr"/>
      <c r="BE3" s="10" t="inlineStr">
        <is>
          <t>Business (B2B)</t>
        </is>
      </c>
      <c r="BF3" s="10" t="inlineStr">
        <is>
          <t>Legitimate interest (B2B) - assess per campaign; PECR: corporate subscribers</t>
        </is>
      </c>
      <c r="BG3" s="10" t="inlineStr"/>
      <c r="BH3" s="10" t="inlineStr">
        <is>
          <t>No</t>
        </is>
      </c>
      <c r="BI3" s="10" t="inlineStr">
        <is>
          <t>2026-09-16</t>
        </is>
      </c>
      <c r="BJ3" s="10" t="inlineStr">
        <is>
          <t>New</t>
        </is>
      </c>
      <c r="BK3" s="10" t="inlineStr">
        <is>
          <t>2026-09-16</t>
        </is>
      </c>
      <c r="BL3" s="10" t="inlineStr"/>
      <c r="BM3" s="10" t="inlineStr"/>
      <c r="BN3" s="10" t="inlineStr"/>
      <c r="BO3" s="10" t="inlineStr"/>
      <c r="BP3" s="10" t="inlineStr"/>
      <c r="BQ3" s="10" t="inlineStr"/>
    </row>
    <row r="4">
      <c r="A4" s="5" t="inlineStr">
        <is>
          <t>WY-0003</t>
        </is>
      </c>
      <c r="B4" s="5" t="inlineStr">
        <is>
          <t>420VAPESHO-02</t>
        </is>
      </c>
      <c r="C4" s="5" t="inlineStr">
        <is>
          <t>420 Vape Shop</t>
        </is>
      </c>
      <c r="D4" s="5" t="inlineStr">
        <is>
          <t>420 Vape Shop (Tong Street, Bradford)</t>
        </is>
      </c>
      <c r="E4" s="5" t="inlineStr">
        <is>
          <t>4:20 Vape Shop</t>
        </is>
      </c>
      <c r="F4" s="5" t="inlineStr"/>
      <c r="G4" s="5" t="inlineStr">
        <is>
          <t>Vape Shop</t>
        </is>
      </c>
      <c r="H4" s="5" t="inlineStr">
        <is>
          <t>Vape hardware, e-liquids, disposables &amp; CBD</t>
        </is>
      </c>
      <c r="I4" s="5" t="inlineStr">
        <is>
          <t>Multi-Site Independent</t>
        </is>
      </c>
      <c r="J4" s="5" t="inlineStr">
        <is>
          <t>3</t>
        </is>
      </c>
      <c r="K4" s="5" t="inlineStr">
        <is>
          <t>https://420vapeshop.co.uk/</t>
        </is>
      </c>
      <c r="L4" s="5" t="inlineStr">
        <is>
          <t>https://www.facebook.com/420vapeshopBD4/</t>
        </is>
      </c>
      <c r="M4" s="5" t="inlineStr">
        <is>
          <t>https://www.instagram.com/420vapeshopuk/</t>
        </is>
      </c>
      <c r="N4" s="5" t="inlineStr"/>
      <c r="O4" s="5" t="inlineStr">
        <is>
          <t>104 Tong Street</t>
        </is>
      </c>
      <c r="P4" s="5" t="inlineStr">
        <is>
          <t>Dudley Hill</t>
        </is>
      </c>
      <c r="Q4" s="5" t="inlineStr">
        <is>
          <t>Bradford</t>
        </is>
      </c>
      <c r="R4" s="5" t="inlineStr">
        <is>
          <t>West Yorkshire</t>
        </is>
      </c>
      <c r="S4" s="5" t="inlineStr">
        <is>
          <t>BD4 6HD</t>
        </is>
      </c>
      <c r="T4" s="5" t="inlineStr">
        <is>
          <t>Yorkshire &amp; Humber</t>
        </is>
      </c>
      <c r="U4" s="5" t="inlineStr">
        <is>
          <t>England</t>
        </is>
      </c>
      <c r="V4" s="5" t="inlineStr">
        <is>
          <t>01274 962277</t>
        </is>
      </c>
      <c r="W4" s="5" t="inlineStr"/>
      <c r="X4" s="5" t="inlineStr"/>
      <c r="Y4" s="5" t="inlineStr"/>
      <c r="Z4" s="5" t="inlineStr"/>
      <c r="AA4" s="5" t="inlineStr"/>
      <c r="AB4" s="5" t="inlineStr"/>
      <c r="AC4" s="5" t="inlineStr"/>
      <c r="AD4" s="5" t="inlineStr"/>
      <c r="AE4" s="5" t="inlineStr"/>
      <c r="AF4" s="5" t="inlineStr"/>
      <c r="AG4" s="5" t="inlineStr"/>
      <c r="AH4" s="5" t="inlineStr"/>
      <c r="AI4" s="5" t="inlineStr"/>
      <c r="AJ4" s="5" t="inlineStr"/>
      <c r="AK4" s="5" t="inlineStr">
        <is>
          <t>vape kits; e-liquids; nic salts; disposables; pods &amp; coils; CBD</t>
        </is>
      </c>
      <c r="AL4" s="5" t="inlineStr"/>
      <c r="AM4" s="5" t="inlineStr">
        <is>
          <t>Vape Shop</t>
        </is>
      </c>
      <c r="AN4" s="5" t="inlineStr"/>
      <c r="AO4" s="5" t="inlineStr">
        <is>
          <t>3-store West Yorkshire vape chain (2x Bradford, 1x Pudsey/Leeds). Award-winning store per directory listing. A related entity '420 VAPE WHOLESALE LTD' (Companies House no. 14931262, 100 Rock Hill Lane, Bradford BD4 6DW, incorporated 12 Jun 2023) was dissolved 4 Mar 2025 - current trading entity not identified, so Companies House fields left blank. Store details (address/phone/hours) published on the brand's own contact page, obtained via search-engine extraction (direct fetch blocked by network policy). Hours: Mon-Fri 10:30-18:30, Sat 11:00-17:00, Sun closed.</t>
        </is>
      </c>
      <c r="AP4" s="5" t="inlineStr">
        <is>
          <t>High</t>
        </is>
      </c>
      <c r="AQ4" s="5" t="inlineStr">
        <is>
          <t>Multi-site retailer; Independent retailer; Core relevant category; Active website; Social presence; Phone verified on official website</t>
        </is>
      </c>
      <c r="AR4" s="5" t="inlineStr">
        <is>
          <t>https://420vapeshop.co.uk/pages/contact</t>
        </is>
      </c>
      <c r="AS4" s="5" t="inlineStr">
        <is>
          <t>https://find-and-update.company-information.service.gov.uk/company/14931262</t>
        </is>
      </c>
      <c r="AT4" s="5" t="inlineStr">
        <is>
          <t>4</t>
        </is>
      </c>
      <c r="AU4" s="5" t="inlineStr">
        <is>
          <t>Yes</t>
        </is>
      </c>
      <c r="AV4" s="5" t="inlineStr">
        <is>
          <t>No</t>
        </is>
      </c>
      <c r="AW4" s="5" t="inlineStr">
        <is>
          <t>No</t>
        </is>
      </c>
      <c r="AX4" s="5" t="inlineStr">
        <is>
          <t>Yes</t>
        </is>
      </c>
      <c r="AY4" s="5" t="inlineStr">
        <is>
          <t>Verified on official website</t>
        </is>
      </c>
      <c r="AZ4" s="5" t="inlineStr">
        <is>
          <t>Website Found</t>
        </is>
      </c>
      <c r="BA4" s="5" t="inlineStr">
        <is>
          <t>2026-09-16</t>
        </is>
      </c>
      <c r="BB4" s="5" t="inlineStr">
        <is>
          <t>Verified (website + Companies House)</t>
        </is>
      </c>
      <c r="BC4" s="5" t="inlineStr">
        <is>
          <t>Medium</t>
        </is>
      </c>
      <c r="BD4" s="5" t="inlineStr"/>
      <c r="BE4" s="5" t="inlineStr">
        <is>
          <t>Business (B2B)</t>
        </is>
      </c>
      <c r="BF4" s="5" t="inlineStr">
        <is>
          <t>Legitimate interest (B2B) - assess per campaign; PECR: corporate subscribers</t>
        </is>
      </c>
      <c r="BG4" s="5" t="inlineStr"/>
      <c r="BH4" s="5" t="inlineStr">
        <is>
          <t>No</t>
        </is>
      </c>
      <c r="BI4" s="5" t="inlineStr">
        <is>
          <t>2026-09-16</t>
        </is>
      </c>
      <c r="BJ4" s="5" t="inlineStr">
        <is>
          <t>New</t>
        </is>
      </c>
      <c r="BK4" s="5" t="inlineStr">
        <is>
          <t>2026-09-16</t>
        </is>
      </c>
      <c r="BL4" s="5" t="inlineStr"/>
      <c r="BM4" s="5" t="inlineStr"/>
      <c r="BN4" s="5" t="inlineStr"/>
      <c r="BO4" s="5" t="inlineStr"/>
      <c r="BP4" s="5" t="inlineStr"/>
      <c r="BQ4" s="5" t="inlineStr"/>
    </row>
    <row r="5">
      <c r="A5" s="10" t="inlineStr">
        <is>
          <t>WY-0004</t>
        </is>
      </c>
      <c r="B5" s="10" t="inlineStr">
        <is>
          <t>420VAPESHO-03</t>
        </is>
      </c>
      <c r="C5" s="10" t="inlineStr">
        <is>
          <t>420 Vape Shop</t>
        </is>
      </c>
      <c r="D5" s="10" t="inlineStr">
        <is>
          <t>420 Vape Shop (Town Street, Stanningley)</t>
        </is>
      </c>
      <c r="E5" s="10" t="inlineStr">
        <is>
          <t>4:20 Vape Shop</t>
        </is>
      </c>
      <c r="F5" s="10" t="inlineStr"/>
      <c r="G5" s="10" t="inlineStr">
        <is>
          <t>Vape Shop</t>
        </is>
      </c>
      <c r="H5" s="10" t="inlineStr">
        <is>
          <t>Vape hardware, e-liquids, disposables &amp; CBD</t>
        </is>
      </c>
      <c r="I5" s="10" t="inlineStr">
        <is>
          <t>Multi-Site Independent</t>
        </is>
      </c>
      <c r="J5" s="10" t="inlineStr">
        <is>
          <t>3</t>
        </is>
      </c>
      <c r="K5" s="10" t="inlineStr">
        <is>
          <t>https://420vapeshop.co.uk/</t>
        </is>
      </c>
      <c r="L5" s="10" t="inlineStr">
        <is>
          <t>https://www.facebook.com/420vapeshopBD4/</t>
        </is>
      </c>
      <c r="M5" s="10" t="inlineStr">
        <is>
          <t>https://www.instagram.com/420vapeshopuk/</t>
        </is>
      </c>
      <c r="N5" s="10" t="inlineStr"/>
      <c r="O5" s="10" t="inlineStr">
        <is>
          <t>145 Town Street</t>
        </is>
      </c>
      <c r="P5" s="10" t="inlineStr">
        <is>
          <t>Stanningley</t>
        </is>
      </c>
      <c r="Q5" s="10" t="inlineStr">
        <is>
          <t>Pudsey</t>
        </is>
      </c>
      <c r="R5" s="10" t="inlineStr">
        <is>
          <t>West Yorkshire</t>
        </is>
      </c>
      <c r="S5" s="10" t="inlineStr">
        <is>
          <t>LS28 6ES</t>
        </is>
      </c>
      <c r="T5" s="10" t="inlineStr">
        <is>
          <t>Yorkshire &amp; Humber</t>
        </is>
      </c>
      <c r="U5" s="10" t="inlineStr">
        <is>
          <t>England</t>
        </is>
      </c>
      <c r="V5" s="10" t="inlineStr">
        <is>
          <t>07551 009824</t>
        </is>
      </c>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is>
          <t>vape kits; e-liquids; nic salts; disposables; pods &amp; coils; CBD</t>
        </is>
      </c>
      <c r="AL5" s="10" t="inlineStr"/>
      <c r="AM5" s="10" t="inlineStr">
        <is>
          <t>Vape Shop</t>
        </is>
      </c>
      <c r="AN5" s="10" t="inlineStr"/>
      <c r="AO5" s="10" t="inlineStr">
        <is>
          <t>One of 3 stores of the 420 Vape Shop chain (see Tong Street record for company-level notes). Hours: Mon-Fri 10:00-18:30, Sat 10:30-17:00, Sun closed. Store details published on the brand's own contact page, obtained via search-engine extraction (direct fetch blocked by network policy).</t>
        </is>
      </c>
      <c r="AP5" s="10" t="inlineStr">
        <is>
          <t>High</t>
        </is>
      </c>
      <c r="AQ5" s="10" t="inlineStr">
        <is>
          <t>Multi-site retailer; Independent retailer; Core relevant category; Active website; Social presence; Phone verified on official website</t>
        </is>
      </c>
      <c r="AR5" s="10" t="inlineStr">
        <is>
          <t>https://420vapeshop.co.uk/pages/contact</t>
        </is>
      </c>
      <c r="AS5" s="10" t="inlineStr">
        <is>
          <t>https://ecigdirectory.co.uk/vape-shop/listing/420-vape-shop</t>
        </is>
      </c>
      <c r="AT5" s="10" t="inlineStr">
        <is>
          <t>2</t>
        </is>
      </c>
      <c r="AU5" s="10" t="inlineStr">
        <is>
          <t>Yes</t>
        </is>
      </c>
      <c r="AV5" s="10" t="inlineStr">
        <is>
          <t>No</t>
        </is>
      </c>
      <c r="AW5" s="10" t="inlineStr">
        <is>
          <t>No</t>
        </is>
      </c>
      <c r="AX5" s="10" t="inlineStr">
        <is>
          <t>Yes</t>
        </is>
      </c>
      <c r="AY5" s="10" t="inlineStr">
        <is>
          <t>Verified on official website</t>
        </is>
      </c>
      <c r="AZ5" s="10" t="inlineStr">
        <is>
          <t>Website Found</t>
        </is>
      </c>
      <c r="BA5" s="10" t="inlineStr">
        <is>
          <t>2026-09-16</t>
        </is>
      </c>
      <c r="BB5" s="10" t="inlineStr">
        <is>
          <t>Verified (website + Companies House)</t>
        </is>
      </c>
      <c r="BC5" s="10" t="inlineStr">
        <is>
          <t>Medium</t>
        </is>
      </c>
      <c r="BD5" s="10" t="inlineStr"/>
      <c r="BE5" s="10" t="inlineStr">
        <is>
          <t>Business (B2B)</t>
        </is>
      </c>
      <c r="BF5" s="10" t="inlineStr">
        <is>
          <t>Legitimate interest (B2B) - assess per campaign; PECR: corporate subscribers</t>
        </is>
      </c>
      <c r="BG5" s="10" t="inlineStr"/>
      <c r="BH5" s="10" t="inlineStr">
        <is>
          <t>No</t>
        </is>
      </c>
      <c r="BI5" s="10" t="inlineStr">
        <is>
          <t>2026-09-16</t>
        </is>
      </c>
      <c r="BJ5" s="10" t="inlineStr">
        <is>
          <t>New</t>
        </is>
      </c>
      <c r="BK5" s="10" t="inlineStr">
        <is>
          <t>2026-09-16</t>
        </is>
      </c>
      <c r="BL5" s="10" t="inlineStr"/>
      <c r="BM5" s="10" t="inlineStr"/>
      <c r="BN5" s="10" t="inlineStr"/>
      <c r="BO5" s="10" t="inlineStr"/>
      <c r="BP5" s="10" t="inlineStr"/>
      <c r="BQ5" s="10" t="inlineStr"/>
    </row>
    <row r="6">
      <c r="A6" s="5" t="inlineStr">
        <is>
          <t>WY-0005</t>
        </is>
      </c>
      <c r="B6" s="5" t="inlineStr">
        <is>
          <t>AGPARFETTS-01</t>
        </is>
      </c>
      <c r="C6" s="5" t="inlineStr">
        <is>
          <t>A G Parfett &amp; Sons Ltd</t>
        </is>
      </c>
      <c r="D6" s="5" t="inlineStr">
        <is>
          <t>Parfetts Cash &amp; Carry (Halifax)</t>
        </is>
      </c>
      <c r="E6" s="5" t="inlineStr">
        <is>
          <t>Parfetts</t>
        </is>
      </c>
      <c r="F6" s="5" t="inlineStr">
        <is>
          <t>A G Parfett &amp; Sons Ltd</t>
        </is>
      </c>
      <c r="G6" s="5" t="inlineStr">
        <is>
          <t>Cash &amp; Carry</t>
        </is>
      </c>
      <c r="H6" s="5" t="inlineStr">
        <is>
          <t>Delivered &amp; cash-and-carry grocery wholesale depot</t>
        </is>
      </c>
      <c r="I6" s="5" t="inlineStr">
        <is>
          <t>Regional Chain</t>
        </is>
      </c>
      <c r="J6" s="5" t="inlineStr"/>
      <c r="K6" s="5" t="inlineStr">
        <is>
          <t>https://www.parfetts.co.uk/</t>
        </is>
      </c>
      <c r="L6" s="5" t="inlineStr">
        <is>
          <t>https://www.facebook.com/pages/parfetts-cash-carry-Halifax/253069908059088</t>
        </is>
      </c>
      <c r="M6" s="5" t="inlineStr"/>
      <c r="N6" s="5" t="inlineStr"/>
      <c r="O6" s="5" t="inlineStr">
        <is>
          <t>Shay Lane</t>
        </is>
      </c>
      <c r="P6" s="5" t="inlineStr">
        <is>
          <t>Holmfield</t>
        </is>
      </c>
      <c r="Q6" s="5" t="inlineStr">
        <is>
          <t>Halifax</t>
        </is>
      </c>
      <c r="R6" s="5" t="inlineStr">
        <is>
          <t>West Yorkshire</t>
        </is>
      </c>
      <c r="S6" s="5" t="inlineStr">
        <is>
          <t>HX3 6RA</t>
        </is>
      </c>
      <c r="T6" s="5" t="inlineStr">
        <is>
          <t>Yorkshire &amp; Humber</t>
        </is>
      </c>
      <c r="U6" s="5" t="inlineStr">
        <is>
          <t>England</t>
        </is>
      </c>
      <c r="V6" s="5" t="inlineStr">
        <is>
          <t>01422 363167</t>
        </is>
      </c>
      <c r="W6" s="5" t="inlineStr"/>
      <c r="X6" s="5" t="inlineStr"/>
      <c r="Y6" s="5" t="inlineStr"/>
      <c r="Z6" s="5" t="inlineStr"/>
      <c r="AA6" s="5" t="inlineStr"/>
      <c r="AB6" s="5" t="inlineStr"/>
      <c r="AC6" s="5" t="inlineStr"/>
      <c r="AD6" s="5" t="inlineStr"/>
      <c r="AE6" s="5" t="inlineStr"/>
      <c r="AF6" s="5" t="inlineStr"/>
      <c r="AG6" s="5" t="inlineStr"/>
      <c r="AH6" s="5" t="inlineStr"/>
      <c r="AI6" s="5" t="inlineStr"/>
      <c r="AJ6" s="5" t="inlineStr"/>
      <c r="AK6" s="5" t="inlineStr">
        <is>
          <t>grocery; beer wine &amp; spirits; tobacco &amp; vape; soft drinks; confectionery (full-range wholesale)</t>
        </is>
      </c>
      <c r="AL6" s="5" t="inlineStr"/>
      <c r="AM6" s="5" t="inlineStr">
        <is>
          <t>Cash &amp; Carry</t>
        </is>
      </c>
      <c r="AN6" s="5" t="inlineStr">
        <is>
          <t>Employee-owned wholesaler; supplies independent retailers incl. Go Local symbol group</t>
        </is>
      </c>
      <c r="AO6" s="5" t="inlineStr">
        <is>
          <t>West Yorkshire (Calderdale) depot of A G Parfett &amp; Sons Ltd (Parfetts), the employee-owned regional wholesaler headquartered in Stockport with multiple depots across the North of England - only the Halifax depot is in West Yorkshire. Total depot count and Companies House number not captured before search budget was exhausted; number_of_locations left null.</t>
        </is>
      </c>
      <c r="AP6" s="5" t="inlineStr">
        <is>
          <t>High</t>
        </is>
      </c>
      <c r="AQ6" s="5" t="inlineStr">
        <is>
          <t>Multi-site retailer; Core relevant category; Active website; Social presence</t>
        </is>
      </c>
      <c r="AR6" s="5" t="inlineStr">
        <is>
          <t>https://www.facebook.com/pages/parfetts-cash-carry-Halifax/253069908059088</t>
        </is>
      </c>
      <c r="AS6" s="5" t="inlineStr">
        <is>
          <t>https://www.thomsonlocal.com/search/cash-carry-wholesalers/halifax-brighouse-calderdale/a-g-parfett-sons-ltd/270236/01422363167</t>
        </is>
      </c>
      <c r="AT6" s="5" t="inlineStr">
        <is>
          <t>4</t>
        </is>
      </c>
      <c r="AU6" s="5" t="inlineStr">
        <is>
          <t>No</t>
        </is>
      </c>
      <c r="AV6" s="5" t="inlineStr">
        <is>
          <t>No</t>
        </is>
      </c>
      <c r="AW6" s="5" t="inlineStr">
        <is>
          <t>No</t>
        </is>
      </c>
      <c r="AX6" s="5" t="inlineStr">
        <is>
          <t>No</t>
        </is>
      </c>
      <c r="AY6" s="5" t="inlineStr">
        <is>
          <t>Verified directory</t>
        </is>
      </c>
      <c r="AZ6" s="5" t="inlineStr">
        <is>
          <t>Website Found</t>
        </is>
      </c>
      <c r="BA6" s="5" t="inlineStr">
        <is>
          <t>2026-09-16</t>
        </is>
      </c>
      <c r="BB6" s="5" t="inlineStr">
        <is>
          <t>Requires Verification</t>
        </is>
      </c>
      <c r="BC6" s="5" t="inlineStr">
        <is>
          <t>Medium</t>
        </is>
      </c>
      <c r="BD6" s="5" t="inlineStr"/>
      <c r="BE6" s="5" t="inlineStr">
        <is>
          <t>Business (B2B)</t>
        </is>
      </c>
      <c r="BF6" s="5" t="inlineStr">
        <is>
          <t>Legitimate interest (B2B) - assess per campaign; PECR: corporate subscribers</t>
        </is>
      </c>
      <c r="BG6" s="5" t="inlineStr"/>
      <c r="BH6" s="5" t="inlineStr">
        <is>
          <t>No</t>
        </is>
      </c>
      <c r="BI6" s="5" t="inlineStr">
        <is>
          <t>2026-09-16</t>
        </is>
      </c>
      <c r="BJ6" s="5" t="inlineStr">
        <is>
          <t>New</t>
        </is>
      </c>
      <c r="BK6" s="5" t="inlineStr">
        <is>
          <t>2026-09-16</t>
        </is>
      </c>
      <c r="BL6" s="5" t="inlineStr"/>
      <c r="BM6" s="5" t="inlineStr"/>
      <c r="BN6" s="5" t="inlineStr"/>
      <c r="BO6" s="5" t="inlineStr"/>
      <c r="BP6" s="5" t="inlineStr"/>
      <c r="BQ6" s="5" t="inlineStr"/>
    </row>
    <row r="7">
      <c r="A7" s="10" t="inlineStr">
        <is>
          <t>WY-0006</t>
        </is>
      </c>
      <c r="B7" s="10" t="inlineStr">
        <is>
          <t>ABUBAKRGRO-01</t>
        </is>
      </c>
      <c r="C7" s="10" t="inlineStr">
        <is>
          <t>Abu Bakr Group</t>
        </is>
      </c>
      <c r="D7" s="10" t="inlineStr">
        <is>
          <t>Abu Bakr Supermarket (Batley)</t>
        </is>
      </c>
      <c r="E7" s="10" t="inlineStr">
        <is>
          <t>Abu Bakr Supermarket</t>
        </is>
      </c>
      <c r="F7" s="10" t="inlineStr">
        <is>
          <t>Abu Bakar (Batley) Ltd</t>
        </is>
      </c>
      <c r="G7" s="10" t="inlineStr">
        <is>
          <t>Independent Supermarket</t>
        </is>
      </c>
      <c r="H7" s="10" t="inlineStr">
        <is>
          <t>Halal / world foods supermarket with retail &amp; wholesale supply</t>
        </is>
      </c>
      <c r="I7" s="10" t="inlineStr">
        <is>
          <t>Multi-Site Independent</t>
        </is>
      </c>
      <c r="J7" s="10" t="inlineStr">
        <is>
          <t>5</t>
        </is>
      </c>
      <c r="K7" s="10" t="inlineStr">
        <is>
          <t>https://www.abubakrgroup.com/</t>
        </is>
      </c>
      <c r="L7" s="10" t="inlineStr">
        <is>
          <t>https://www.facebook.com/abubakrsupermarketsleeds/</t>
        </is>
      </c>
      <c r="M7" s="10" t="inlineStr">
        <is>
          <t>https://www.instagram.com/abubakrsupermarket/</t>
        </is>
      </c>
      <c r="N7" s="10" t="inlineStr"/>
      <c r="O7" s="10" t="inlineStr">
        <is>
          <t>Unit A, Blakeridge Mill Shopping Centre</t>
        </is>
      </c>
      <c r="P7" s="10" t="inlineStr"/>
      <c r="Q7" s="10" t="inlineStr">
        <is>
          <t>Batley</t>
        </is>
      </c>
      <c r="R7" s="10" t="inlineStr">
        <is>
          <t>West Yorkshire</t>
        </is>
      </c>
      <c r="S7" s="10" t="inlineStr">
        <is>
          <t>WF17 8FU</t>
        </is>
      </c>
      <c r="T7" s="10" t="inlineStr">
        <is>
          <t>Yorkshire &amp; Humber</t>
        </is>
      </c>
      <c r="U7" s="10" t="inlineStr">
        <is>
          <t>England</t>
        </is>
      </c>
      <c r="V7" s="10" t="inlineStr">
        <is>
          <t>01924 950730</t>
        </is>
      </c>
      <c r="W7" s="10" t="inlineStr"/>
      <c r="X7" s="10" t="inlineStr"/>
      <c r="Y7" s="10" t="inlineStr"/>
      <c r="Z7" s="10" t="inlineStr"/>
      <c r="AA7" s="10" t="inlineStr"/>
      <c r="AB7" s="10" t="inlineStr"/>
      <c r="AC7" s="10" t="inlineStr"/>
      <c r="AD7" s="10" t="inlineStr"/>
      <c r="AE7" s="10" t="inlineStr">
        <is>
          <t>15303931</t>
        </is>
      </c>
      <c r="AF7" s="10" t="inlineStr">
        <is>
          <t>Active</t>
        </is>
      </c>
      <c r="AG7" s="10" t="inlineStr">
        <is>
          <t>ABU BAKAR (BATLEY) LTD</t>
        </is>
      </c>
      <c r="AH7" s="10" t="inlineStr">
        <is>
          <t>21 Hyde Park Road, Leeds, England, LS6 1PY</t>
        </is>
      </c>
      <c r="AI7" s="10" t="inlineStr">
        <is>
          <t>2023-11-22</t>
        </is>
      </c>
      <c r="AJ7" s="10" t="inlineStr"/>
      <c r="AK7" s="10" t="inlineStr">
        <is>
          <t>halal meat &amp; poultry; world foods; fresh produce; groceries; hot food</t>
        </is>
      </c>
      <c r="AL7" s="10" t="inlineStr"/>
      <c r="AM7" s="10" t="inlineStr">
        <is>
          <t>Independent Supermarket</t>
        </is>
      </c>
      <c r="AN7" s="10" t="inlineStr">
        <is>
          <t>Leading supplier of retail and wholesale halal products</t>
        </is>
      </c>
      <c r="AO7" s="10" t="inlineStr">
        <is>
          <t>12,000 sq ft flagship store opened October 2024 in a custom-renovated unit at Blakeridge Mill Shopping Centre with own customer parking (WF17 area - full postcode not confirmed, left blank). Operated via ABU BAKAR (BATLEY) LTD (15303931). Part of 5-store Abu Bakr Group.</t>
        </is>
      </c>
      <c r="AP7" s="10" t="inlineStr">
        <is>
          <t>High</t>
        </is>
      </c>
      <c r="AQ7" s="10" t="inlineStr">
        <is>
          <t>Multi-site retailer; Independent retailer; Relevant category; Active website; Social presence</t>
        </is>
      </c>
      <c r="AR7" s="10" t="inlineStr">
        <is>
          <t>https://find-and-update.company-information.service.gov.uk/company/15303931</t>
        </is>
      </c>
      <c r="AS7" s="10" t="inlineStr">
        <is>
          <t>https://www.yorkshire.com/batley/shopping/supermarkets/abu-bakr-supermarket-1</t>
        </is>
      </c>
      <c r="AT7" s="10" t="inlineStr">
        <is>
          <t>4</t>
        </is>
      </c>
      <c r="AU7" s="10" t="inlineStr">
        <is>
          <t>Yes</t>
        </is>
      </c>
      <c r="AV7" s="10" t="inlineStr">
        <is>
          <t>No</t>
        </is>
      </c>
      <c r="AW7" s="10" t="inlineStr">
        <is>
          <t>No</t>
        </is>
      </c>
      <c r="AX7" s="10" t="inlineStr">
        <is>
          <t>Yes</t>
        </is>
      </c>
      <c r="AY7" s="10" t="inlineStr">
        <is>
          <t>Verified directory</t>
        </is>
      </c>
      <c r="AZ7" s="10" t="inlineStr">
        <is>
          <t>Website Found</t>
        </is>
      </c>
      <c r="BA7" s="10" t="inlineStr">
        <is>
          <t>2026-09-16</t>
        </is>
      </c>
      <c r="BB7" s="10" t="inlineStr">
        <is>
          <t>Verified (website + Companies House)</t>
        </is>
      </c>
      <c r="BC7" s="10" t="inlineStr">
        <is>
          <t>Medium</t>
        </is>
      </c>
      <c r="BD7" s="10" t="inlineStr"/>
      <c r="BE7" s="10" t="inlineStr">
        <is>
          <t>Business (B2B)</t>
        </is>
      </c>
      <c r="BF7" s="10" t="inlineStr">
        <is>
          <t>Legitimate interest (B2B) - assess per campaign; PECR: corporate subscribers</t>
        </is>
      </c>
      <c r="BG7" s="10" t="inlineStr"/>
      <c r="BH7" s="10" t="inlineStr">
        <is>
          <t>No</t>
        </is>
      </c>
      <c r="BI7" s="10" t="inlineStr">
        <is>
          <t>2026-09-16</t>
        </is>
      </c>
      <c r="BJ7" s="10" t="inlineStr">
        <is>
          <t>New</t>
        </is>
      </c>
      <c r="BK7" s="10" t="inlineStr">
        <is>
          <t>2026-09-16</t>
        </is>
      </c>
      <c r="BL7" s="10" t="inlineStr"/>
      <c r="BM7" s="10" t="inlineStr"/>
      <c r="BN7" s="10" t="inlineStr"/>
      <c r="BO7" s="10" t="inlineStr"/>
      <c r="BP7" s="10" t="inlineStr"/>
      <c r="BQ7" s="10" t="inlineStr"/>
    </row>
    <row r="8">
      <c r="A8" s="5" t="inlineStr">
        <is>
          <t>WY-0007</t>
        </is>
      </c>
      <c r="B8" s="5" t="inlineStr">
        <is>
          <t>ABUBAKRGRO-02</t>
        </is>
      </c>
      <c r="C8" s="5" t="inlineStr">
        <is>
          <t>Abu Bakr Group</t>
        </is>
      </c>
      <c r="D8" s="5" t="inlineStr">
        <is>
          <t>Abu Bakr Supermarket (Dewsbury Road, Beeston, Leeds)</t>
        </is>
      </c>
      <c r="E8" s="5" t="inlineStr">
        <is>
          <t>Abu Bakr Supermarket</t>
        </is>
      </c>
      <c r="F8" s="5" t="inlineStr"/>
      <c r="G8" s="5" t="inlineStr">
        <is>
          <t>Independent Supermarket</t>
        </is>
      </c>
      <c r="H8" s="5" t="inlineStr">
        <is>
          <t>Halal / world foods supermarket with retail &amp; wholesale supply</t>
        </is>
      </c>
      <c r="I8" s="5" t="inlineStr">
        <is>
          <t>Multi-Site Independent</t>
        </is>
      </c>
      <c r="J8" s="5" t="inlineStr">
        <is>
          <t>5</t>
        </is>
      </c>
      <c r="K8" s="5" t="inlineStr">
        <is>
          <t>https://www.abubakrgroup.com/</t>
        </is>
      </c>
      <c r="L8" s="5" t="inlineStr">
        <is>
          <t>https://www.facebook.com/abubakrsupermarketsleeds/</t>
        </is>
      </c>
      <c r="M8" s="5" t="inlineStr">
        <is>
          <t>https://www.instagram.com/abubakrleeds/</t>
        </is>
      </c>
      <c r="N8" s="5" t="inlineStr">
        <is>
          <t>https://x.com/abubakrleeds</t>
        </is>
      </c>
      <c r="O8" s="5" t="inlineStr">
        <is>
          <t>Dewsbury Road</t>
        </is>
      </c>
      <c r="P8" s="5" t="inlineStr">
        <is>
          <t>Beeston</t>
        </is>
      </c>
      <c r="Q8" s="5" t="inlineStr">
        <is>
          <t>Leeds</t>
        </is>
      </c>
      <c r="R8" s="5" t="inlineStr">
        <is>
          <t>West Yorkshire</t>
        </is>
      </c>
      <c r="S8" s="5" t="inlineStr">
        <is>
          <t>LS11 5HY</t>
        </is>
      </c>
      <c r="T8" s="5" t="inlineStr">
        <is>
          <t>Yorkshire &amp; Humber</t>
        </is>
      </c>
      <c r="U8" s="5" t="inlineStr">
        <is>
          <t>England</t>
        </is>
      </c>
      <c r="V8" s="5" t="inlineStr"/>
      <c r="W8" s="5" t="inlineStr"/>
      <c r="X8" s="5" t="inlineStr"/>
      <c r="Y8" s="5" t="inlineStr"/>
      <c r="Z8" s="5" t="inlineStr"/>
      <c r="AA8" s="5" t="inlineStr"/>
      <c r="AB8" s="5" t="inlineStr"/>
      <c r="AC8" s="5" t="inlineStr"/>
      <c r="AD8" s="5" t="inlineStr"/>
      <c r="AE8" s="5" t="inlineStr"/>
      <c r="AF8" s="5" t="inlineStr"/>
      <c r="AG8" s="5" t="inlineStr"/>
      <c r="AH8" s="5" t="inlineStr"/>
      <c r="AI8" s="5" t="inlineStr"/>
      <c r="AJ8" s="5" t="inlineStr"/>
      <c r="AK8" s="5" t="inlineStr">
        <is>
          <t>halal meat &amp; poultry; world foods; fresh produce; groceries</t>
        </is>
      </c>
      <c r="AL8" s="5" t="inlineStr"/>
      <c r="AM8" s="5" t="inlineStr">
        <is>
          <t>Independent Supermarket</t>
        </is>
      </c>
      <c r="AN8" s="5" t="inlineStr">
        <is>
          <t>Leading supplier of retail and wholesale halal products</t>
        </is>
      </c>
      <c r="AO8" s="5" t="inlineStr">
        <is>
          <t>Beeston store opened 2015 (LS11 area). Street number and postcode not confirmed - left blank per no-guessing rule. Part of 5-store Abu Bakr Group (see Queens Road record).</t>
        </is>
      </c>
      <c r="AP8" s="5" t="inlineStr">
        <is>
          <t>High</t>
        </is>
      </c>
      <c r="AQ8" s="5" t="inlineStr">
        <is>
          <t>Multi-site retailer; Independent retailer; Relevant category; Active website; Social presence</t>
        </is>
      </c>
      <c r="AR8" s="5" t="inlineStr">
        <is>
          <t>https://www.abubakrgroup.com/</t>
        </is>
      </c>
      <c r="AS8" s="5" t="inlineStr">
        <is>
          <t>https://en.halalguide.me/leeds/produktoviy-magazin/abu-bakr</t>
        </is>
      </c>
      <c r="AT8" s="5" t="inlineStr">
        <is>
          <t>4</t>
        </is>
      </c>
      <c r="AU8" s="5" t="inlineStr">
        <is>
          <t>Yes</t>
        </is>
      </c>
      <c r="AV8" s="5" t="inlineStr">
        <is>
          <t>No</t>
        </is>
      </c>
      <c r="AW8" s="5" t="inlineStr">
        <is>
          <t>No</t>
        </is>
      </c>
      <c r="AX8" s="5" t="inlineStr">
        <is>
          <t>No</t>
        </is>
      </c>
      <c r="AY8" s="5" t="inlineStr">
        <is>
          <t>Not Found</t>
        </is>
      </c>
      <c r="AZ8" s="5" t="inlineStr">
        <is>
          <t>Website Found</t>
        </is>
      </c>
      <c r="BA8" s="5" t="inlineStr">
        <is>
          <t>2026-09-16</t>
        </is>
      </c>
      <c r="BB8" s="5" t="inlineStr">
        <is>
          <t>Duplicate Review Required</t>
        </is>
      </c>
      <c r="BC8" s="5" t="inlineStr">
        <is>
          <t>Medium</t>
        </is>
      </c>
      <c r="BD8" s="5" t="inlineStr">
        <is>
          <t>Duplicate Review Required</t>
        </is>
      </c>
      <c r="BE8" s="5" t="inlineStr">
        <is>
          <t>Business (B2B)</t>
        </is>
      </c>
      <c r="BF8" s="5" t="inlineStr">
        <is>
          <t>Legitimate interest (B2B) - assess per campaign; PECR: corporate subscribers</t>
        </is>
      </c>
      <c r="BG8" s="5" t="inlineStr"/>
      <c r="BH8" s="5" t="inlineStr">
        <is>
          <t>No</t>
        </is>
      </c>
      <c r="BI8" s="5" t="inlineStr">
        <is>
          <t>2026-09-16</t>
        </is>
      </c>
      <c r="BJ8" s="5" t="inlineStr">
        <is>
          <t>New</t>
        </is>
      </c>
      <c r="BK8" s="5" t="inlineStr">
        <is>
          <t>2026-09-16</t>
        </is>
      </c>
      <c r="BL8" s="5" t="inlineStr"/>
      <c r="BM8" s="5" t="inlineStr"/>
      <c r="BN8" s="5" t="inlineStr"/>
      <c r="BO8" s="5" t="inlineStr"/>
      <c r="BP8" s="5" t="inlineStr"/>
      <c r="BQ8" s="5" t="inlineStr"/>
    </row>
    <row r="9">
      <c r="A9" s="10" t="inlineStr">
        <is>
          <t>WY-0008</t>
        </is>
      </c>
      <c r="B9" s="10" t="inlineStr">
        <is>
          <t>ABUBAKRGRO-03</t>
        </is>
      </c>
      <c r="C9" s="10" t="inlineStr">
        <is>
          <t>Abu Bakr Group</t>
        </is>
      </c>
      <c r="D9" s="10" t="inlineStr">
        <is>
          <t>Abu Bakr Supermarket (Kirkstall Road, Leeds)</t>
        </is>
      </c>
      <c r="E9" s="10" t="inlineStr">
        <is>
          <t>Abu Bakr Supermarket</t>
        </is>
      </c>
      <c r="F9" s="10" t="inlineStr"/>
      <c r="G9" s="10" t="inlineStr">
        <is>
          <t>Independent Supermarket</t>
        </is>
      </c>
      <c r="H9" s="10" t="inlineStr">
        <is>
          <t>Halal / world foods supermarket with retail &amp; wholesale supply</t>
        </is>
      </c>
      <c r="I9" s="10" t="inlineStr">
        <is>
          <t>Multi-Site Independent</t>
        </is>
      </c>
      <c r="J9" s="10" t="inlineStr">
        <is>
          <t>5</t>
        </is>
      </c>
      <c r="K9" s="10" t="inlineStr">
        <is>
          <t>https://www.abubakrgroup.com/</t>
        </is>
      </c>
      <c r="L9" s="10" t="inlineStr">
        <is>
          <t>https://www.facebook.com/abubakrsupermarketsleeds/</t>
        </is>
      </c>
      <c r="M9" s="10" t="inlineStr">
        <is>
          <t>https://www.instagram.com/abubakrleeds/</t>
        </is>
      </c>
      <c r="N9" s="10" t="inlineStr">
        <is>
          <t>https://x.com/abubakrleeds</t>
        </is>
      </c>
      <c r="O9" s="10" t="inlineStr">
        <is>
          <t>Kirkstall Road</t>
        </is>
      </c>
      <c r="P9" s="10" t="inlineStr">
        <is>
          <t>Burley</t>
        </is>
      </c>
      <c r="Q9" s="10" t="inlineStr">
        <is>
          <t>Leeds</t>
        </is>
      </c>
      <c r="R9" s="10" t="inlineStr">
        <is>
          <t>West Yorkshire</t>
        </is>
      </c>
      <c r="S9" s="10" t="inlineStr">
        <is>
          <t>LS4 2DN</t>
        </is>
      </c>
      <c r="T9" s="10" t="inlineStr">
        <is>
          <t>Yorkshire &amp; Humber</t>
        </is>
      </c>
      <c r="U9" s="10" t="inlineStr">
        <is>
          <t>England</t>
        </is>
      </c>
      <c r="V9" s="10" t="inlineStr"/>
      <c r="W9" s="10" t="inlineStr"/>
      <c r="X9" s="10" t="inlineStr"/>
      <c r="Y9" s="10" t="inlineStr"/>
      <c r="Z9" s="10" t="inlineStr"/>
      <c r="AA9" s="10" t="inlineStr"/>
      <c r="AB9" s="10" t="inlineStr"/>
      <c r="AC9" s="10" t="inlineStr"/>
      <c r="AD9" s="10" t="inlineStr"/>
      <c r="AE9" s="10" t="inlineStr"/>
      <c r="AF9" s="10" t="inlineStr"/>
      <c r="AG9" s="10" t="inlineStr"/>
      <c r="AH9" s="10" t="inlineStr"/>
      <c r="AI9" s="10" t="inlineStr"/>
      <c r="AJ9" s="10" t="inlineStr"/>
      <c r="AK9" s="10" t="inlineStr">
        <is>
          <t>halal meat &amp; poultry; world foods; fresh produce; groceries</t>
        </is>
      </c>
      <c r="AL9" s="10" t="inlineStr"/>
      <c r="AM9" s="10" t="inlineStr">
        <is>
          <t>Independent Supermarket</t>
        </is>
      </c>
      <c r="AN9" s="10" t="inlineStr">
        <is>
          <t>Leading supplier of retail and wholesale halal products</t>
        </is>
      </c>
      <c r="AO9" s="10" t="inlineStr">
        <is>
          <t>Flagship site opened March 2022 on Kirkstall Road (LS4 area) per Asian Express coverage. Street number and postcode not confirmed - left blank per no-guessing rule. Part of 5-store Abu Bakr Group (see Queens Road record).</t>
        </is>
      </c>
      <c r="AP9" s="10" t="inlineStr">
        <is>
          <t>High</t>
        </is>
      </c>
      <c r="AQ9" s="10" t="inlineStr">
        <is>
          <t>Multi-site retailer; Independent retailer; Relevant category; Active website; Social presence</t>
        </is>
      </c>
      <c r="AR9" s="10" t="inlineStr">
        <is>
          <t>https://www.abubakrgroup.com/</t>
        </is>
      </c>
      <c r="AS9" s="10" t="inlineStr">
        <is>
          <t>https://abu-bakr-supermarket-kirkstall-road.wheree.com/</t>
        </is>
      </c>
      <c r="AT9" s="10" t="inlineStr">
        <is>
          <t>4</t>
        </is>
      </c>
      <c r="AU9" s="10" t="inlineStr">
        <is>
          <t>Yes</t>
        </is>
      </c>
      <c r="AV9" s="10" t="inlineStr">
        <is>
          <t>No</t>
        </is>
      </c>
      <c r="AW9" s="10" t="inlineStr">
        <is>
          <t>No</t>
        </is>
      </c>
      <c r="AX9" s="10" t="inlineStr">
        <is>
          <t>No</t>
        </is>
      </c>
      <c r="AY9" s="10" t="inlineStr">
        <is>
          <t>Not Found</t>
        </is>
      </c>
      <c r="AZ9" s="10" t="inlineStr">
        <is>
          <t>Website Found</t>
        </is>
      </c>
      <c r="BA9" s="10" t="inlineStr">
        <is>
          <t>2026-09-16</t>
        </is>
      </c>
      <c r="BB9" s="10" t="inlineStr">
        <is>
          <t>Duplicate Review Required</t>
        </is>
      </c>
      <c r="BC9" s="10" t="inlineStr">
        <is>
          <t>Medium</t>
        </is>
      </c>
      <c r="BD9" s="10" t="inlineStr">
        <is>
          <t>Duplicate Review Required</t>
        </is>
      </c>
      <c r="BE9" s="10" t="inlineStr">
        <is>
          <t>Business (B2B)</t>
        </is>
      </c>
      <c r="BF9" s="10" t="inlineStr">
        <is>
          <t>Legitimate interest (B2B) - assess per campaign; PECR: corporate subscribers</t>
        </is>
      </c>
      <c r="BG9" s="10" t="inlineStr"/>
      <c r="BH9" s="10" t="inlineStr">
        <is>
          <t>No</t>
        </is>
      </c>
      <c r="BI9" s="10" t="inlineStr">
        <is>
          <t>2026-09-16</t>
        </is>
      </c>
      <c r="BJ9" s="10" t="inlineStr">
        <is>
          <t>New</t>
        </is>
      </c>
      <c r="BK9" s="10" t="inlineStr">
        <is>
          <t>2026-09-16</t>
        </is>
      </c>
      <c r="BL9" s="10" t="inlineStr"/>
      <c r="BM9" s="10" t="inlineStr"/>
      <c r="BN9" s="10" t="inlineStr"/>
      <c r="BO9" s="10" t="inlineStr"/>
      <c r="BP9" s="10" t="inlineStr"/>
      <c r="BQ9" s="10" t="inlineStr"/>
    </row>
    <row r="10">
      <c r="A10" s="5" t="inlineStr">
        <is>
          <t>WY-0009</t>
        </is>
      </c>
      <c r="B10" s="5" t="inlineStr">
        <is>
          <t>ABUBAKRGRO-04</t>
        </is>
      </c>
      <c r="C10" s="5" t="inlineStr">
        <is>
          <t>Abu Bakr Group</t>
        </is>
      </c>
      <c r="D10" s="5" t="inlineStr">
        <is>
          <t>Abu Bakr Supermarket (Queens Road, Leeds)</t>
        </is>
      </c>
      <c r="E10" s="5" t="inlineStr">
        <is>
          <t>Abu Bakr Supermarket</t>
        </is>
      </c>
      <c r="F10" s="5" t="inlineStr"/>
      <c r="G10" s="5" t="inlineStr">
        <is>
          <t>Independent Supermarket</t>
        </is>
      </c>
      <c r="H10" s="5" t="inlineStr">
        <is>
          <t>Halal / world foods supermarket with retail &amp; wholesale supply</t>
        </is>
      </c>
      <c r="I10" s="5" t="inlineStr">
        <is>
          <t>Multi-Site Independent</t>
        </is>
      </c>
      <c r="J10" s="5" t="inlineStr">
        <is>
          <t>5</t>
        </is>
      </c>
      <c r="K10" s="5" t="inlineStr">
        <is>
          <t>https://www.abubakrgroup.com/</t>
        </is>
      </c>
      <c r="L10" s="5" t="inlineStr">
        <is>
          <t>https://www.facebook.com/abubakrsupermarketsleeds/</t>
        </is>
      </c>
      <c r="M10" s="5" t="inlineStr">
        <is>
          <t>https://www.instagram.com/abubakrleeds/</t>
        </is>
      </c>
      <c r="N10" s="5" t="inlineStr">
        <is>
          <t>https://www.instagram.com/abubakrsupermarket/</t>
        </is>
      </c>
      <c r="O10" s="5" t="inlineStr">
        <is>
          <t>37 Queens Road</t>
        </is>
      </c>
      <c r="P10" s="5" t="inlineStr">
        <is>
          <t>Burley</t>
        </is>
      </c>
      <c r="Q10" s="5" t="inlineStr">
        <is>
          <t>Leeds</t>
        </is>
      </c>
      <c r="R10" s="5" t="inlineStr">
        <is>
          <t>West Yorkshire</t>
        </is>
      </c>
      <c r="S10" s="5" t="inlineStr">
        <is>
          <t>LS6 1NY</t>
        </is>
      </c>
      <c r="T10" s="5" t="inlineStr">
        <is>
          <t>Yorkshire &amp; Humber</t>
        </is>
      </c>
      <c r="U10" s="5" t="inlineStr">
        <is>
          <t>England</t>
        </is>
      </c>
      <c r="V10" s="5" t="inlineStr"/>
      <c r="W10" s="5" t="inlineStr"/>
      <c r="X10" s="5" t="inlineStr"/>
      <c r="Y10" s="5" t="inlineStr"/>
      <c r="Z10" s="5" t="inlineStr"/>
      <c r="AA10" s="5" t="inlineStr"/>
      <c r="AB10" s="5" t="inlineStr"/>
      <c r="AC10" s="5" t="inlineStr"/>
      <c r="AD10" s="5" t="inlineStr"/>
      <c r="AE10" s="5" t="inlineStr"/>
      <c r="AF10" s="5" t="inlineStr"/>
      <c r="AG10" s="5" t="inlineStr"/>
      <c r="AH10" s="5" t="inlineStr"/>
      <c r="AI10" s="5" t="inlineStr"/>
      <c r="AJ10" s="5" t="inlineStr"/>
      <c r="AK10" s="5" t="inlineStr">
        <is>
          <t>halal meat &amp; poultry; world foods; fresh produce; groceries</t>
        </is>
      </c>
      <c r="AL10" s="5" t="inlineStr"/>
      <c r="AM10" s="5" t="inlineStr">
        <is>
          <t>Independent Supermarket</t>
        </is>
      </c>
      <c r="AN10" s="5" t="inlineStr">
        <is>
          <t>Leading supplier of retail and wholesale halal products</t>
        </is>
      </c>
      <c r="AO10" s="5" t="inlineStr">
        <is>
          <t>Store opened 2002; Abu Bakr Group ('serving families since 1981') runs five supermarkets across West Yorkshire (Queens Road, Roundhay Road, Kirkstall Road, Dewsbury Road in Leeds, plus Batley flagship). Historic entity ABU BAKAR SUPERMARKETS LIMITED (04530917, reg. office 37 Queens Road LS6 1NY, inc. 10 Sep 2002) is shown as dissolved; current entity for the Leeds stores not conclusively identified, so CH fields left blank here (see Batley record for the active Batley company).</t>
        </is>
      </c>
      <c r="AP10" s="5" t="inlineStr">
        <is>
          <t>High</t>
        </is>
      </c>
      <c r="AQ10" s="5" t="inlineStr">
        <is>
          <t>Multi-site retailer; Independent retailer; Relevant category; Active website; Social presence</t>
        </is>
      </c>
      <c r="AR10" s="5" t="inlineStr">
        <is>
          <t>https://www.abubakrgroup.com/</t>
        </is>
      </c>
      <c r="AS10" s="5" t="inlineStr">
        <is>
          <t>http://companycheck.co.uk/company/04530917/ABU-BAKAR-SUPERMARKETS-LIMITED</t>
        </is>
      </c>
      <c r="AT10" s="5" t="inlineStr">
        <is>
          <t>5</t>
        </is>
      </c>
      <c r="AU10" s="5" t="inlineStr">
        <is>
          <t>Yes</t>
        </is>
      </c>
      <c r="AV10" s="5" t="inlineStr">
        <is>
          <t>No</t>
        </is>
      </c>
      <c r="AW10" s="5" t="inlineStr">
        <is>
          <t>No</t>
        </is>
      </c>
      <c r="AX10" s="5" t="inlineStr">
        <is>
          <t>Yes</t>
        </is>
      </c>
      <c r="AY10" s="5" t="inlineStr">
        <is>
          <t>Not Found</t>
        </is>
      </c>
      <c r="AZ10" s="5" t="inlineStr">
        <is>
          <t>Website Found</t>
        </is>
      </c>
      <c r="BA10" s="5" t="inlineStr">
        <is>
          <t>2026-09-16</t>
        </is>
      </c>
      <c r="BB10" s="5" t="inlineStr">
        <is>
          <t>Duplicate Review Required</t>
        </is>
      </c>
      <c r="BC10" s="5" t="inlineStr">
        <is>
          <t>Medium</t>
        </is>
      </c>
      <c r="BD10" s="5" t="inlineStr">
        <is>
          <t>Duplicate Review Required</t>
        </is>
      </c>
      <c r="BE10" s="5" t="inlineStr">
        <is>
          <t>Business (B2B)</t>
        </is>
      </c>
      <c r="BF10" s="5" t="inlineStr">
        <is>
          <t>Legitimate interest (B2B) - assess per campaign; PECR: corporate subscribers</t>
        </is>
      </c>
      <c r="BG10" s="5" t="inlineStr"/>
      <c r="BH10" s="5" t="inlineStr">
        <is>
          <t>No</t>
        </is>
      </c>
      <c r="BI10" s="5" t="inlineStr">
        <is>
          <t>2026-09-16</t>
        </is>
      </c>
      <c r="BJ10" s="5" t="inlineStr">
        <is>
          <t>New</t>
        </is>
      </c>
      <c r="BK10" s="5" t="inlineStr">
        <is>
          <t>2026-09-16</t>
        </is>
      </c>
      <c r="BL10" s="5" t="inlineStr"/>
      <c r="BM10" s="5" t="inlineStr"/>
      <c r="BN10" s="5" t="inlineStr"/>
      <c r="BO10" s="5" t="inlineStr"/>
      <c r="BP10" s="5" t="inlineStr"/>
      <c r="BQ10" s="5" t="inlineStr"/>
    </row>
    <row r="11">
      <c r="A11" s="10" t="inlineStr">
        <is>
          <t>WY-0010</t>
        </is>
      </c>
      <c r="B11" s="10" t="inlineStr">
        <is>
          <t>ABUBAKRGRO-05</t>
        </is>
      </c>
      <c r="C11" s="10" t="inlineStr">
        <is>
          <t>Abu Bakr Group</t>
        </is>
      </c>
      <c r="D11" s="10" t="inlineStr">
        <is>
          <t>Abu Bakr Supermarket (Roundhay Road, Leeds)</t>
        </is>
      </c>
      <c r="E11" s="10" t="inlineStr">
        <is>
          <t>Abu Bakr Supermarket</t>
        </is>
      </c>
      <c r="F11" s="10" t="inlineStr"/>
      <c r="G11" s="10" t="inlineStr">
        <is>
          <t>Independent Supermarket</t>
        </is>
      </c>
      <c r="H11" s="10" t="inlineStr">
        <is>
          <t>Halal / world foods supermarket with retail &amp; wholesale supply</t>
        </is>
      </c>
      <c r="I11" s="10" t="inlineStr">
        <is>
          <t>Multi-Site Independent</t>
        </is>
      </c>
      <c r="J11" s="10" t="inlineStr">
        <is>
          <t>5</t>
        </is>
      </c>
      <c r="K11" s="10" t="inlineStr">
        <is>
          <t>https://www.abubakrgroup.com/</t>
        </is>
      </c>
      <c r="L11" s="10" t="inlineStr">
        <is>
          <t>https://www.facebook.com/abubakrsupermarketsleeds/</t>
        </is>
      </c>
      <c r="M11" s="10" t="inlineStr">
        <is>
          <t>https://www.instagram.com/abubakrleeds/</t>
        </is>
      </c>
      <c r="N11" s="10" t="inlineStr">
        <is>
          <t>https://x.com/abubakrleeds</t>
        </is>
      </c>
      <c r="O11" s="10" t="inlineStr">
        <is>
          <t>215 Roundhay Road</t>
        </is>
      </c>
      <c r="P11" s="10" t="inlineStr">
        <is>
          <t>Harehills</t>
        </is>
      </c>
      <c r="Q11" s="10" t="inlineStr">
        <is>
          <t>Leeds</t>
        </is>
      </c>
      <c r="R11" s="10" t="inlineStr">
        <is>
          <t>West Yorkshire</t>
        </is>
      </c>
      <c r="S11" s="10" t="inlineStr"/>
      <c r="T11" s="10" t="inlineStr">
        <is>
          <t>Yorkshire &amp; Humber</t>
        </is>
      </c>
      <c r="U11" s="10" t="inlineStr">
        <is>
          <t>England</t>
        </is>
      </c>
      <c r="V11" s="10" t="inlineStr"/>
      <c r="W11" s="10" t="inlineStr"/>
      <c r="X11" s="10" t="inlineStr"/>
      <c r="Y11" s="10" t="inlineStr"/>
      <c r="Z11" s="10" t="inlineStr"/>
      <c r="AA11" s="10" t="inlineStr"/>
      <c r="AB11" s="10" t="inlineStr"/>
      <c r="AC11" s="10" t="inlineStr"/>
      <c r="AD11" s="10" t="inlineStr"/>
      <c r="AE11" s="10" t="inlineStr"/>
      <c r="AF11" s="10" t="inlineStr"/>
      <c r="AG11" s="10" t="inlineStr"/>
      <c r="AH11" s="10" t="inlineStr"/>
      <c r="AI11" s="10" t="inlineStr"/>
      <c r="AJ11" s="10" t="inlineStr"/>
      <c r="AK11" s="10" t="inlineStr">
        <is>
          <t>halal meat &amp; poultry; world foods; fresh produce; groceries</t>
        </is>
      </c>
      <c r="AL11" s="10" t="inlineStr"/>
      <c r="AM11" s="10" t="inlineStr">
        <is>
          <t>Independent Supermarket</t>
        </is>
      </c>
      <c r="AN11" s="10" t="inlineStr">
        <is>
          <t>Leading supplier of retail and wholesale halal products</t>
        </is>
      </c>
      <c r="AO11" s="10" t="inlineStr">
        <is>
          <t>Store opened 2004 (LS8 / Harehills-Chapel Allerton area). Street number 215 per Yelp listing; full postcode not confirmed - left blank per no-guessing rule. Part of 5-store Abu Bakr Group (see Queens Road record).</t>
        </is>
      </c>
      <c r="AP11" s="10" t="inlineStr">
        <is>
          <t>High</t>
        </is>
      </c>
      <c r="AQ11" s="10" t="inlineStr">
        <is>
          <t>Multi-site retailer; Independent retailer; Relevant category; Active website; Social presence</t>
        </is>
      </c>
      <c r="AR11" s="10" t="inlineStr">
        <is>
          <t>https://www.abubakrgroup.com/</t>
        </is>
      </c>
      <c r="AS11" s="10" t="inlineStr">
        <is>
          <t>https://www.yelp.com/biz/abubakar-supermarkets-leeds</t>
        </is>
      </c>
      <c r="AT11" s="10" t="inlineStr">
        <is>
          <t>3</t>
        </is>
      </c>
      <c r="AU11" s="10" t="inlineStr">
        <is>
          <t>Yes</t>
        </is>
      </c>
      <c r="AV11" s="10" t="inlineStr">
        <is>
          <t>No</t>
        </is>
      </c>
      <c r="AW11" s="10" t="inlineStr">
        <is>
          <t>No</t>
        </is>
      </c>
      <c r="AX11" s="10" t="inlineStr">
        <is>
          <t>No</t>
        </is>
      </c>
      <c r="AY11" s="10" t="inlineStr">
        <is>
          <t>Not Found</t>
        </is>
      </c>
      <c r="AZ11" s="10" t="inlineStr">
        <is>
          <t>Website Found</t>
        </is>
      </c>
      <c r="BA11" s="10" t="inlineStr">
        <is>
          <t>2026-09-16</t>
        </is>
      </c>
      <c r="BB11" s="10" t="inlineStr">
        <is>
          <t>Partially Verified</t>
        </is>
      </c>
      <c r="BC11" s="10" t="inlineStr">
        <is>
          <t>Medium</t>
        </is>
      </c>
      <c r="BD11" s="10" t="inlineStr"/>
      <c r="BE11" s="10" t="inlineStr">
        <is>
          <t>Business (B2B)</t>
        </is>
      </c>
      <c r="BF11" s="10" t="inlineStr">
        <is>
          <t>Legitimate interest (B2B) - assess per campaign; PECR: corporate subscribers</t>
        </is>
      </c>
      <c r="BG11" s="10" t="inlineStr"/>
      <c r="BH11" s="10" t="inlineStr">
        <is>
          <t>No</t>
        </is>
      </c>
      <c r="BI11" s="10" t="inlineStr">
        <is>
          <t>2026-09-16</t>
        </is>
      </c>
      <c r="BJ11" s="10" t="inlineStr">
        <is>
          <t>New</t>
        </is>
      </c>
      <c r="BK11" s="10" t="inlineStr">
        <is>
          <t>2026-09-16</t>
        </is>
      </c>
      <c r="BL11" s="10" t="inlineStr"/>
      <c r="BM11" s="10" t="inlineStr"/>
      <c r="BN11" s="10" t="inlineStr"/>
      <c r="BO11" s="10" t="inlineStr"/>
      <c r="BP11" s="10" t="inlineStr"/>
      <c r="BQ11" s="10" t="inlineStr"/>
    </row>
    <row r="12">
      <c r="A12" s="5" t="inlineStr">
        <is>
          <t>WY-0011</t>
        </is>
      </c>
      <c r="B12" s="5" t="inlineStr">
        <is>
          <t>CHEAPASMOK-01</t>
        </is>
      </c>
      <c r="C12" s="5" t="inlineStr">
        <is>
          <t>Cheapasmokes</t>
        </is>
      </c>
      <c r="D12" s="5" t="inlineStr">
        <is>
          <t>Cheapasmokes</t>
        </is>
      </c>
      <c r="E12" s="5" t="inlineStr">
        <is>
          <t>Cheapasmokes Halifax</t>
        </is>
      </c>
      <c r="F12" s="5" t="inlineStr"/>
      <c r="G12" s="5" t="inlineStr">
        <is>
          <t>Tobacco Specialist</t>
        </is>
      </c>
      <c r="H12" s="5" t="inlineStr">
        <is>
          <t>Cut-price cigarette, tobacco and cigar specialist</t>
        </is>
      </c>
      <c r="I12" s="5" t="inlineStr">
        <is>
          <t>Regional Chain</t>
        </is>
      </c>
      <c r="J12" s="5" t="inlineStr"/>
      <c r="K12" s="5" t="inlineStr">
        <is>
          <t>https://www.cheapasmokes.com/pages/cheapasmokes-halifax</t>
        </is>
      </c>
      <c r="L12" s="5" t="inlineStr"/>
      <c r="M12" s="5" t="inlineStr"/>
      <c r="N12" s="5" t="inlineStr"/>
      <c r="O12" s="5" t="inlineStr">
        <is>
          <t>Unit 24, Borough Market</t>
        </is>
      </c>
      <c r="P12" s="5" t="inlineStr"/>
      <c r="Q12" s="5" t="inlineStr">
        <is>
          <t>Halifax</t>
        </is>
      </c>
      <c r="R12" s="5" t="inlineStr">
        <is>
          <t>West Yorkshire</t>
        </is>
      </c>
      <c r="S12" s="5" t="inlineStr">
        <is>
          <t>HX1 1DZ</t>
        </is>
      </c>
      <c r="T12" s="5" t="inlineStr">
        <is>
          <t>Yorkshire &amp; Humber</t>
        </is>
      </c>
      <c r="U12" s="5" t="inlineStr">
        <is>
          <t>England</t>
        </is>
      </c>
      <c r="V12" s="5" t="inlineStr">
        <is>
          <t>01422 355554</t>
        </is>
      </c>
      <c r="W12" s="5" t="inlineStr"/>
      <c r="X12" s="5" t="inlineStr"/>
      <c r="Y12" s="5" t="inlineStr"/>
      <c r="Z12" s="5" t="inlineStr">
        <is>
          <t>sales@cheapasmokes.com</t>
        </is>
      </c>
      <c r="AA12" s="5" t="inlineStr"/>
      <c r="AB12" s="5" t="inlineStr"/>
      <c r="AC12" s="5" t="inlineStr"/>
      <c r="AD12" s="5" t="inlineStr"/>
      <c r="AE12" s="5" t="inlineStr"/>
      <c r="AF12" s="5" t="inlineStr"/>
      <c r="AG12" s="5" t="inlineStr"/>
      <c r="AH12" s="5" t="inlineStr"/>
      <c r="AI12" s="5" t="inlineStr"/>
      <c r="AJ12" s="5" t="inlineStr"/>
      <c r="AK12" s="5" t="inlineStr">
        <is>
          <t>cigarettes; tobacco; cigars; vapes</t>
        </is>
      </c>
      <c r="AL12" s="5" t="inlineStr"/>
      <c r="AM12" s="5" t="inlineStr">
        <is>
          <t>Tobacco Specialist</t>
        </is>
      </c>
      <c r="AN12" s="5" t="inlineStr">
        <is>
          <t>Hunters &amp; Frankau stockist (cigars.co.uk location listing)</t>
        </is>
      </c>
      <c r="AO12" s="5" t="inlineStr">
        <is>
          <t>Physical shop inside Halifax Borough Market; part of the Cheapasmokes group which runs several shops plus a national online tobacconist (cheapasmokes.com).</t>
        </is>
      </c>
      <c r="AP12" s="5" t="inlineStr">
        <is>
          <t>High</t>
        </is>
      </c>
      <c r="AQ12" s="5" t="inlineStr">
        <is>
          <t>Multi-site retailer; Core relevant category; Public trade/sales contact; Active website</t>
        </is>
      </c>
      <c r="AR12" s="5" t="inlineStr">
        <is>
          <t>https://www.cheapasmokes.com/pages/cheapasmokes-halifax</t>
        </is>
      </c>
      <c r="AS12" s="5" t="inlineStr">
        <is>
          <t>https://www.cheapasmokes.com/pages/contact-us</t>
        </is>
      </c>
      <c r="AT12" s="5" t="inlineStr">
        <is>
          <t>4</t>
        </is>
      </c>
      <c r="AU12" s="5" t="inlineStr">
        <is>
          <t>No</t>
        </is>
      </c>
      <c r="AV12" s="5" t="inlineStr">
        <is>
          <t>No</t>
        </is>
      </c>
      <c r="AW12" s="5" t="inlineStr">
        <is>
          <t>Yes</t>
        </is>
      </c>
      <c r="AX12" s="5" t="inlineStr">
        <is>
          <t>No</t>
        </is>
      </c>
      <c r="AY12" s="5" t="inlineStr">
        <is>
          <t>Verified directory</t>
        </is>
      </c>
      <c r="AZ12" s="5" t="inlineStr">
        <is>
          <t>Website Found</t>
        </is>
      </c>
      <c r="BA12" s="5" t="inlineStr">
        <is>
          <t>2026-09-16</t>
        </is>
      </c>
      <c r="BB12" s="5" t="inlineStr">
        <is>
          <t>Partially Verified</t>
        </is>
      </c>
      <c r="BC12" s="5" t="inlineStr">
        <is>
          <t>Medium</t>
        </is>
      </c>
      <c r="BD12" s="5" t="inlineStr"/>
      <c r="BE12" s="5" t="inlineStr">
        <is>
          <t>Business (B2B)</t>
        </is>
      </c>
      <c r="BF12" s="5" t="inlineStr">
        <is>
          <t>Legitimate interest (B2B) - assess per campaign; PECR: corporate subscribers</t>
        </is>
      </c>
      <c r="BG12" s="5" t="inlineStr"/>
      <c r="BH12" s="5" t="inlineStr">
        <is>
          <t>No</t>
        </is>
      </c>
      <c r="BI12" s="5" t="inlineStr">
        <is>
          <t>2026-09-16</t>
        </is>
      </c>
      <c r="BJ12" s="5" t="inlineStr">
        <is>
          <t>New</t>
        </is>
      </c>
      <c r="BK12" s="5" t="inlineStr">
        <is>
          <t>2026-09-16</t>
        </is>
      </c>
      <c r="BL12" s="5" t="inlineStr"/>
      <c r="BM12" s="5" t="inlineStr"/>
      <c r="BN12" s="5" t="inlineStr"/>
      <c r="BO12" s="5" t="inlineStr"/>
      <c r="BP12" s="5" t="inlineStr"/>
      <c r="BQ12" s="5" t="inlineStr"/>
    </row>
    <row r="13">
      <c r="A13" s="10" t="inlineStr">
        <is>
          <t>WY-0012</t>
        </is>
      </c>
      <c r="B13" s="10" t="inlineStr">
        <is>
          <t>DOMINIQUEL-01</t>
        </is>
      </c>
      <c r="C13" s="10" t="inlineStr">
        <is>
          <t>Dominique London Group / C.Gars Ltd</t>
        </is>
      </c>
      <c r="D13" s="10" t="inlineStr">
        <is>
          <t>C.Gars Leeds (Dominique London)</t>
        </is>
      </c>
      <c r="E13" s="10" t="inlineStr">
        <is>
          <t>C.Gars Leeds</t>
        </is>
      </c>
      <c r="F13" s="10" t="inlineStr"/>
      <c r="G13" s="10" t="inlineStr">
        <is>
          <t>Tobacco Specialist</t>
        </is>
      </c>
      <c r="H13" s="10" t="inlineStr">
        <is>
          <t>Havana cigar specialist - cigars, whisky, accessories</t>
        </is>
      </c>
      <c r="I13" s="10" t="inlineStr">
        <is>
          <t>National Chain</t>
        </is>
      </c>
      <c r="J13" s="10" t="inlineStr"/>
      <c r="K13" s="10" t="inlineStr">
        <is>
          <t>https://www.cgarsltd.co.uk/</t>
        </is>
      </c>
      <c r="L13" s="10" t="inlineStr">
        <is>
          <t>https://www.facebook.com/DominiqueLDN/</t>
        </is>
      </c>
      <c r="M13" s="10" t="inlineStr"/>
      <c r="N13" s="10" t="inlineStr"/>
      <c r="O13" s="10" t="inlineStr">
        <is>
          <t>22 Thornton's Arcade</t>
        </is>
      </c>
      <c r="P13" s="10" t="inlineStr">
        <is>
          <t>City Centre</t>
        </is>
      </c>
      <c r="Q13" s="10" t="inlineStr">
        <is>
          <t>Leeds</t>
        </is>
      </c>
      <c r="R13" s="10" t="inlineStr">
        <is>
          <t>West Yorkshire</t>
        </is>
      </c>
      <c r="S13" s="10" t="inlineStr">
        <is>
          <t>LS1 6LQ</t>
        </is>
      </c>
      <c r="T13" s="10" t="inlineStr">
        <is>
          <t>Yorkshire &amp; Humber</t>
        </is>
      </c>
      <c r="U13" s="10" t="inlineStr">
        <is>
          <t>England</t>
        </is>
      </c>
      <c r="V13" s="10" t="inlineStr">
        <is>
          <t>0113 244 5556</t>
        </is>
      </c>
      <c r="W13" s="10" t="inlineStr"/>
      <c r="X13" s="10" t="inlineStr"/>
      <c r="Y13" s="10" t="inlineStr"/>
      <c r="Z13" s="10" t="inlineStr"/>
      <c r="AA13" s="10" t="inlineStr"/>
      <c r="AB13" s="10" t="inlineStr"/>
      <c r="AC13" s="10" t="inlineStr"/>
      <c r="AD13" s="10" t="inlineStr"/>
      <c r="AE13" s="10" t="inlineStr"/>
      <c r="AF13" s="10" t="inlineStr"/>
      <c r="AG13" s="10" t="inlineStr"/>
      <c r="AH13" s="10" t="inlineStr"/>
      <c r="AI13" s="10" t="inlineStr"/>
      <c r="AJ13" s="10" t="inlineStr"/>
      <c r="AK13" s="10" t="inlineStr">
        <is>
          <t>Cuban cigars; New World cigars; single malt whisky; humidors; accessories</t>
        </is>
      </c>
      <c r="AL13" s="10" t="inlineStr"/>
      <c r="AM13" s="10" t="inlineStr">
        <is>
          <t>Tobacco Specialist</t>
        </is>
      </c>
      <c r="AN13" s="10" t="inlineStr">
        <is>
          <t>Hunters &amp; Frankau (Havana cigar UK distributor) announced the opening</t>
        </is>
      </c>
      <c r="AO13" s="10" t="inlineStr">
        <is>
          <t>Havana Cigar Specialist boutique in Thornton's Arcade with sampling lounge and client lockers; part of the Dominique London / C.Gars group of cigar boutiques (UK-wide chain, so head office is not local).</t>
        </is>
      </c>
      <c r="AP13" s="10" t="inlineStr">
        <is>
          <t>High</t>
        </is>
      </c>
      <c r="AQ13" s="10" t="inlineStr">
        <is>
          <t>Multi-site retailer; Core relevant category; Active website; Social presence</t>
        </is>
      </c>
      <c r="AR13" s="10" t="inlineStr">
        <is>
          <t>https://www.cgarsltd.co.uk/new-cgars-ltd-store-leeds-a-521.html</t>
        </is>
      </c>
      <c r="AS13" s="10" t="inlineStr">
        <is>
          <t>https://www.cgarsltd.co.uk/cigar-shops/CGars_Leeds_1.html</t>
        </is>
      </c>
      <c r="AT13" s="10" t="inlineStr">
        <is>
          <t>3</t>
        </is>
      </c>
      <c r="AU13" s="10" t="inlineStr">
        <is>
          <t>No</t>
        </is>
      </c>
      <c r="AV13" s="10" t="inlineStr">
        <is>
          <t>No</t>
        </is>
      </c>
      <c r="AW13" s="10" t="inlineStr">
        <is>
          <t>No</t>
        </is>
      </c>
      <c r="AX13" s="10" t="inlineStr">
        <is>
          <t>No</t>
        </is>
      </c>
      <c r="AY13" s="10" t="inlineStr">
        <is>
          <t>Verified directory</t>
        </is>
      </c>
      <c r="AZ13" s="10" t="inlineStr">
        <is>
          <t>Website Found</t>
        </is>
      </c>
      <c r="BA13" s="10" t="inlineStr">
        <is>
          <t>2026-09-16</t>
        </is>
      </c>
      <c r="BB13" s="10" t="inlineStr">
        <is>
          <t>Requires Verification</t>
        </is>
      </c>
      <c r="BC13" s="10" t="inlineStr">
        <is>
          <t>Medium</t>
        </is>
      </c>
      <c r="BD13" s="10" t="inlineStr"/>
      <c r="BE13" s="10" t="inlineStr">
        <is>
          <t>Business (B2B)</t>
        </is>
      </c>
      <c r="BF13" s="10" t="inlineStr">
        <is>
          <t>Legitimate interest (B2B) - assess per campaign; PECR: corporate subscribers</t>
        </is>
      </c>
      <c r="BG13" s="10" t="inlineStr"/>
      <c r="BH13" s="10" t="inlineStr">
        <is>
          <t>No</t>
        </is>
      </c>
      <c r="BI13" s="10" t="inlineStr">
        <is>
          <t>2026-09-16</t>
        </is>
      </c>
      <c r="BJ13" s="10" t="inlineStr">
        <is>
          <t>New</t>
        </is>
      </c>
      <c r="BK13" s="10" t="inlineStr">
        <is>
          <t>2026-09-16</t>
        </is>
      </c>
      <c r="BL13" s="10" t="inlineStr"/>
      <c r="BM13" s="10" t="inlineStr"/>
      <c r="BN13" s="10" t="inlineStr"/>
      <c r="BO13" s="10" t="inlineStr"/>
      <c r="BP13" s="10" t="inlineStr"/>
      <c r="BQ13" s="10" t="inlineStr"/>
    </row>
    <row r="14">
      <c r="A14" s="5" t="inlineStr">
        <is>
          <t>WY-0013</t>
        </is>
      </c>
      <c r="B14" s="5" t="inlineStr">
        <is>
          <t>ECIGNVAPE-01</t>
        </is>
      </c>
      <c r="C14" s="5" t="inlineStr">
        <is>
          <t>Ecig N Vape</t>
        </is>
      </c>
      <c r="D14" s="5" t="inlineStr">
        <is>
          <t>Ecig N Vape South Elmsall</t>
        </is>
      </c>
      <c r="E14" s="5" t="inlineStr">
        <is>
          <t>Ecig N Vape</t>
        </is>
      </c>
      <c r="F14" s="5" t="inlineStr">
        <is>
          <t>Ecig N Vape South Elmsall Ltd</t>
        </is>
      </c>
      <c r="G14" s="5" t="inlineStr">
        <is>
          <t>Vape Shop</t>
        </is>
      </c>
      <c r="H14" s="5" t="inlineStr">
        <is>
          <t>Vape retailer</t>
        </is>
      </c>
      <c r="I14" s="5" t="inlineStr">
        <is>
          <t>Multi-Site Independent</t>
        </is>
      </c>
      <c r="J14" s="5" t="inlineStr">
        <is>
          <t>2</t>
        </is>
      </c>
      <c r="K14" s="5" t="inlineStr"/>
      <c r="L14" s="5" t="inlineStr">
        <is>
          <t>https://www.facebook.com/Ecignvapesouthelmsall/</t>
        </is>
      </c>
      <c r="M14" s="5" t="inlineStr"/>
      <c r="N14" s="5" t="inlineStr"/>
      <c r="O14" s="5" t="inlineStr">
        <is>
          <t>13 Barnsley Road</t>
        </is>
      </c>
      <c r="P14" s="5" t="inlineStr"/>
      <c r="Q14" s="5" t="inlineStr">
        <is>
          <t>South Elmsall</t>
        </is>
      </c>
      <c r="R14" s="5" t="inlineStr">
        <is>
          <t>West Yorkshire</t>
        </is>
      </c>
      <c r="S14" s="5" t="inlineStr">
        <is>
          <t>WF9 2RJ</t>
        </is>
      </c>
      <c r="T14" s="5" t="inlineStr">
        <is>
          <t>Yorkshire &amp; Humber</t>
        </is>
      </c>
      <c r="U14" s="5" t="inlineStr">
        <is>
          <t>England</t>
        </is>
      </c>
      <c r="V14" s="5" t="inlineStr">
        <is>
          <t>01977 647267</t>
        </is>
      </c>
      <c r="W14" s="5" t="inlineStr"/>
      <c r="X14" s="5" t="inlineStr"/>
      <c r="Y14" s="5" t="inlineStr"/>
      <c r="Z14" s="5" t="inlineStr"/>
      <c r="AA14" s="5" t="inlineStr"/>
      <c r="AB14" s="5" t="inlineStr"/>
      <c r="AC14" s="5" t="inlineStr"/>
      <c r="AD14" s="5" t="inlineStr"/>
      <c r="AE14" s="5" t="inlineStr">
        <is>
          <t>12772350</t>
        </is>
      </c>
      <c r="AF14" s="5" t="inlineStr"/>
      <c r="AG14" s="5" t="inlineStr">
        <is>
          <t>ECIG N VAPE SOUTH ELMSALL LTD</t>
        </is>
      </c>
      <c r="AH14" s="5" t="inlineStr"/>
      <c r="AI14" s="5" t="inlineStr"/>
      <c r="AJ14" s="5" t="inlineStr"/>
      <c r="AK14" s="5" t="inlineStr">
        <is>
          <t>vape hardware; e-liquids; disposables</t>
        </is>
      </c>
      <c r="AL14" s="5" t="inlineStr"/>
      <c r="AM14" s="5" t="inlineStr">
        <is>
          <t>Vape Shop</t>
        </is>
      </c>
      <c r="AN14" s="5" t="inlineStr"/>
      <c r="AO14" s="5" t="inlineStr">
        <is>
          <t>Facebook posts announce a second 'Woodlands' shop at 256 Great North Road (Woodlands is over the Doncaster border - outside this batch's district). Companies House number found via search; full CH record (status/incorporation) not yet retrieved.</t>
        </is>
      </c>
      <c r="AP14" s="5" t="inlineStr">
        <is>
          <t>High</t>
        </is>
      </c>
      <c r="AQ14" s="5" t="inlineStr">
        <is>
          <t>Multi-site retailer; Independent retailer; Core relevant category; Social presence</t>
        </is>
      </c>
      <c r="AR14" s="5" t="inlineStr">
        <is>
          <t>https://find-and-update.company-information.service.gov.uk/company/12772350</t>
        </is>
      </c>
      <c r="AS14" s="5" t="inlineStr">
        <is>
          <t>https://www.facebook.com/Ecignvapesouthelmsall/</t>
        </is>
      </c>
      <c r="AT14" s="5" t="inlineStr">
        <is>
          <t>3</t>
        </is>
      </c>
      <c r="AU14" s="5" t="inlineStr">
        <is>
          <t>No</t>
        </is>
      </c>
      <c r="AV14" s="5" t="inlineStr">
        <is>
          <t>No</t>
        </is>
      </c>
      <c r="AW14" s="5" t="inlineStr">
        <is>
          <t>No</t>
        </is>
      </c>
      <c r="AX14" s="5" t="inlineStr">
        <is>
          <t>No</t>
        </is>
      </c>
      <c r="AY14" s="5" t="inlineStr">
        <is>
          <t>Verified directory</t>
        </is>
      </c>
      <c r="AZ14" s="5" t="inlineStr">
        <is>
          <t>Not Found</t>
        </is>
      </c>
      <c r="BA14" s="5" t="inlineStr">
        <is>
          <t>2026-09-16</t>
        </is>
      </c>
      <c r="BB14" s="5" t="inlineStr">
        <is>
          <t>Requires Verification</t>
        </is>
      </c>
      <c r="BC14" s="5" t="inlineStr">
        <is>
          <t>Medium</t>
        </is>
      </c>
      <c r="BD14" s="5" t="inlineStr"/>
      <c r="BE14" s="5" t="inlineStr">
        <is>
          <t>Business (B2B)</t>
        </is>
      </c>
      <c r="BF14" s="5" t="inlineStr">
        <is>
          <t>Legitimate interest (B2B) - assess per campaign; PECR: corporate subscribers</t>
        </is>
      </c>
      <c r="BG14" s="5" t="inlineStr"/>
      <c r="BH14" s="5" t="inlineStr">
        <is>
          <t>No</t>
        </is>
      </c>
      <c r="BI14" s="5" t="inlineStr">
        <is>
          <t>2026-09-16</t>
        </is>
      </c>
      <c r="BJ14" s="5" t="inlineStr">
        <is>
          <t>New</t>
        </is>
      </c>
      <c r="BK14" s="5" t="inlineStr">
        <is>
          <t>2026-09-16</t>
        </is>
      </c>
      <c r="BL14" s="5" t="inlineStr"/>
      <c r="BM14" s="5" t="inlineStr"/>
      <c r="BN14" s="5" t="inlineStr"/>
      <c r="BO14" s="5" t="inlineStr"/>
      <c r="BP14" s="5" t="inlineStr"/>
      <c r="BQ14" s="5" t="inlineStr"/>
    </row>
    <row r="15">
      <c r="A15" s="10" t="inlineStr">
        <is>
          <t>WY-0014</t>
        </is>
      </c>
      <c r="B15" s="10" t="inlineStr">
        <is>
          <t>GTNEWS-01</t>
        </is>
      </c>
      <c r="C15" s="10" t="inlineStr">
        <is>
          <t>GT News</t>
        </is>
      </c>
      <c r="D15" s="10" t="inlineStr">
        <is>
          <t>GT News (White Rose Shopping Centre)</t>
        </is>
      </c>
      <c r="E15" s="10" t="inlineStr">
        <is>
          <t>GT News</t>
        </is>
      </c>
      <c r="F15" s="10" t="inlineStr"/>
      <c r="G15" s="10" t="inlineStr">
        <is>
          <t>Newsagent</t>
        </is>
      </c>
      <c r="H15" s="10" t="inlineStr">
        <is>
          <t>Shopping-centre newsagent and convenience kiosk</t>
        </is>
      </c>
      <c r="I15" s="10" t="inlineStr">
        <is>
          <t>Multi-Site Independent</t>
        </is>
      </c>
      <c r="J15" s="10" t="inlineStr">
        <is>
          <t>2</t>
        </is>
      </c>
      <c r="K15" s="10" t="inlineStr">
        <is>
          <t>http://www.gtnews.co.uk/</t>
        </is>
      </c>
      <c r="L15" s="10" t="inlineStr"/>
      <c r="M15" s="10" t="inlineStr"/>
      <c r="N15" s="10" t="inlineStr"/>
      <c r="O15" s="10" t="inlineStr">
        <is>
          <t>Unit 28E Lower Level, White Rose Shopping Centre</t>
        </is>
      </c>
      <c r="P15" s="10" t="inlineStr">
        <is>
          <t>Dewsbury Road</t>
        </is>
      </c>
      <c r="Q15" s="10" t="inlineStr">
        <is>
          <t>Leeds</t>
        </is>
      </c>
      <c r="R15" s="10" t="inlineStr">
        <is>
          <t>West Yorkshire</t>
        </is>
      </c>
      <c r="S15" s="10" t="inlineStr">
        <is>
          <t>LS11 8LU</t>
        </is>
      </c>
      <c r="T15" s="10" t="inlineStr">
        <is>
          <t>Yorkshire &amp; Humber</t>
        </is>
      </c>
      <c r="U15" s="10" t="inlineStr">
        <is>
          <t>England</t>
        </is>
      </c>
      <c r="V15" s="10" t="inlineStr">
        <is>
          <t>0113 228 6446</t>
        </is>
      </c>
      <c r="W15" s="10" t="inlineStr"/>
      <c r="X15" s="10" t="inlineStr"/>
      <c r="Y15" s="10" t="inlineStr"/>
      <c r="Z15" s="10" t="inlineStr"/>
      <c r="AA15" s="10" t="inlineStr"/>
      <c r="AB15" s="10" t="inlineStr"/>
      <c r="AC15" s="10" t="inlineStr"/>
      <c r="AD15" s="10" t="inlineStr"/>
      <c r="AE15" s="10" t="inlineStr"/>
      <c r="AF15" s="10" t="inlineStr"/>
      <c r="AG15" s="10" t="inlineStr"/>
      <c r="AH15" s="10" t="inlineStr"/>
      <c r="AI15" s="10" t="inlineStr"/>
      <c r="AJ15" s="10" t="inlineStr"/>
      <c r="AK15" s="10" t="inlineStr">
        <is>
          <t>newspapers; magazines; lottery; mobile top-ups; tobacco; sweets; drinks</t>
        </is>
      </c>
      <c r="AL15" s="10" t="inlineStr"/>
      <c r="AM15" s="10" t="inlineStr">
        <is>
          <t>Newsagent</t>
        </is>
      </c>
      <c r="AN15" s="10" t="inlineStr"/>
      <c r="AO15" s="10" t="inlineStr">
        <is>
          <t>Operates at least two units in the White Rose Shopping Centre (28E Lower Level and U102 Upper Level); multi-site newsagent operator.</t>
        </is>
      </c>
      <c r="AP15" s="10" t="inlineStr">
        <is>
          <t>Medium</t>
        </is>
      </c>
      <c r="AQ15" s="10" t="inlineStr">
        <is>
          <t>Multi-site retailer; Independent retailer; Relevant category; Active website</t>
        </is>
      </c>
      <c r="AR15" s="10" t="inlineStr">
        <is>
          <t>https://www.leedsonline.co.uk/info/17974/</t>
        </is>
      </c>
      <c r="AS15" s="10" t="inlineStr">
        <is>
          <t>https://www.misterwhat.co.uk/company/2740902-gt-news-leeds</t>
        </is>
      </c>
      <c r="AT15" s="10" t="inlineStr">
        <is>
          <t>2</t>
        </is>
      </c>
      <c r="AU15" s="10" t="inlineStr">
        <is>
          <t>No</t>
        </is>
      </c>
      <c r="AV15" s="10" t="inlineStr">
        <is>
          <t>No</t>
        </is>
      </c>
      <c r="AW15" s="10" t="inlineStr">
        <is>
          <t>No</t>
        </is>
      </c>
      <c r="AX15" s="10" t="inlineStr">
        <is>
          <t>No</t>
        </is>
      </c>
      <c r="AY15" s="10" t="inlineStr">
        <is>
          <t>Verified directory</t>
        </is>
      </c>
      <c r="AZ15" s="10" t="inlineStr">
        <is>
          <t>Website Found</t>
        </is>
      </c>
      <c r="BA15" s="10" t="inlineStr">
        <is>
          <t>2026-09-16</t>
        </is>
      </c>
      <c r="BB15" s="10" t="inlineStr">
        <is>
          <t>Requires Verification</t>
        </is>
      </c>
      <c r="BC15" s="10" t="inlineStr">
        <is>
          <t>Medium</t>
        </is>
      </c>
      <c r="BD15" s="10" t="inlineStr"/>
      <c r="BE15" s="10" t="inlineStr">
        <is>
          <t>Business (B2B)</t>
        </is>
      </c>
      <c r="BF15" s="10" t="inlineStr">
        <is>
          <t>Legitimate interest (B2B) - assess per campaign; PECR: corporate subscribers</t>
        </is>
      </c>
      <c r="BG15" s="10" t="inlineStr"/>
      <c r="BH15" s="10" t="inlineStr">
        <is>
          <t>No</t>
        </is>
      </c>
      <c r="BI15" s="10" t="inlineStr">
        <is>
          <t>2026-09-16</t>
        </is>
      </c>
      <c r="BJ15" s="10" t="inlineStr">
        <is>
          <t>New</t>
        </is>
      </c>
      <c r="BK15" s="10" t="inlineStr">
        <is>
          <t>2026-09-16</t>
        </is>
      </c>
      <c r="BL15" s="10" t="inlineStr"/>
      <c r="BM15" s="10" t="inlineStr"/>
      <c r="BN15" s="10" t="inlineStr"/>
      <c r="BO15" s="10" t="inlineStr"/>
      <c r="BP15" s="10" t="inlineStr"/>
      <c r="BQ15" s="10" t="inlineStr"/>
    </row>
    <row r="16">
      <c r="A16" s="5" t="inlineStr">
        <is>
          <t>WY-0015</t>
        </is>
      </c>
      <c r="B16" s="5" t="inlineStr">
        <is>
          <t>KPMVAPES-01</t>
        </is>
      </c>
      <c r="C16" s="5" t="inlineStr">
        <is>
          <t>KPM Vapes</t>
        </is>
      </c>
      <c r="D16" s="5" t="inlineStr">
        <is>
          <t>KPM Vapes</t>
        </is>
      </c>
      <c r="E16" s="5" t="inlineStr">
        <is>
          <t>KPM Vapes</t>
        </is>
      </c>
      <c r="F16" s="5" t="inlineStr"/>
      <c r="G16" s="5" t="inlineStr">
        <is>
          <t>Vape Shop</t>
        </is>
      </c>
      <c r="H16" s="5" t="inlineStr">
        <is>
          <t>Vape retail and wholesale</t>
        </is>
      </c>
      <c r="I16" s="5" t="inlineStr">
        <is>
          <t>Multi-Site Independent</t>
        </is>
      </c>
      <c r="J16" s="5" t="inlineStr">
        <is>
          <t>2</t>
        </is>
      </c>
      <c r="K16" s="5" t="inlineStr"/>
      <c r="L16" s="5" t="inlineStr">
        <is>
          <t>https://www.facebook.com/people/KPM-Vapes/61556161391449/</t>
        </is>
      </c>
      <c r="M16" s="5" t="inlineStr">
        <is>
          <t>https://www.instagram.com/kpmvapes/</t>
        </is>
      </c>
      <c r="N16" s="5" t="inlineStr"/>
      <c r="O16" s="5" t="inlineStr">
        <is>
          <t>87/89 Wakefield Road</t>
        </is>
      </c>
      <c r="P16" s="5" t="inlineStr">
        <is>
          <t>Moldgreen</t>
        </is>
      </c>
      <c r="Q16" s="5" t="inlineStr">
        <is>
          <t>Huddersfield</t>
        </is>
      </c>
      <c r="R16" s="5" t="inlineStr">
        <is>
          <t>West Yorkshire</t>
        </is>
      </c>
      <c r="S16" s="5" t="inlineStr">
        <is>
          <t>HD5 9AB</t>
        </is>
      </c>
      <c r="T16" s="5" t="inlineStr">
        <is>
          <t>Yorkshire &amp; Humber</t>
        </is>
      </c>
      <c r="U16" s="5" t="inlineStr">
        <is>
          <t>England</t>
        </is>
      </c>
      <c r="V16" s="5" t="inlineStr">
        <is>
          <t>07463 530406</t>
        </is>
      </c>
      <c r="W16" s="5" t="inlineStr"/>
      <c r="X16" s="5" t="inlineStr"/>
      <c r="Y16" s="5" t="inlineStr">
        <is>
          <t>kpmvapes@outlook.com</t>
        </is>
      </c>
      <c r="Z16" s="5" t="inlineStr"/>
      <c r="AA16" s="5" t="inlineStr"/>
      <c r="AB16" s="5" t="inlineStr"/>
      <c r="AC16" s="5" t="inlineStr"/>
      <c r="AD16" s="5" t="inlineStr"/>
      <c r="AE16" s="5" t="inlineStr"/>
      <c r="AF16" s="5" t="inlineStr"/>
      <c r="AG16" s="5" t="inlineStr"/>
      <c r="AH16" s="5" t="inlineStr"/>
      <c r="AI16" s="5" t="inlineStr"/>
      <c r="AJ16" s="5" t="inlineStr"/>
      <c r="AK16" s="5" t="inlineStr">
        <is>
          <t>vape hardware; e-liquids; disposable vapes; wholesale vape supplies</t>
        </is>
      </c>
      <c r="AL16" s="5" t="inlineStr"/>
      <c r="AM16" s="5" t="inlineStr">
        <is>
          <t>Vape Shop</t>
        </is>
      </c>
      <c r="AN16" s="5" t="inlineStr">
        <is>
          <t>Offers wholesale as well as retail</t>
        </is>
      </c>
      <c r="AO16" s="5" t="inlineStr">
        <is>
          <t>Second branch at 289 Tong Street, Bradford BD4 9QS (outside Kirklees). Email seen in Yellowtom directory listing, not on an owned page, so marked Unverified. Alternative phone 07774 002629 also listed.</t>
        </is>
      </c>
      <c r="AP16" s="5" t="inlineStr">
        <is>
          <t>High</t>
        </is>
      </c>
      <c r="AQ16" s="5" t="inlineStr">
        <is>
          <t>Multi-site retailer; Independent retailer; Core relevant category; Public email available; Social presence</t>
        </is>
      </c>
      <c r="AR16" s="5" t="inlineStr">
        <is>
          <t>https://www.facebook.com/people/KPM-Vapes/61556161391449/</t>
        </is>
      </c>
      <c r="AS16" s="5" t="inlineStr">
        <is>
          <t>https://www.instagram.com/kpmvapes/</t>
        </is>
      </c>
      <c r="AT16" s="5" t="inlineStr">
        <is>
          <t>3</t>
        </is>
      </c>
      <c r="AU16" s="5" t="inlineStr">
        <is>
          <t>No</t>
        </is>
      </c>
      <c r="AV16" s="5" t="inlineStr">
        <is>
          <t>No</t>
        </is>
      </c>
      <c r="AW16" s="5" t="inlineStr">
        <is>
          <t>No</t>
        </is>
      </c>
      <c r="AX16" s="5" t="inlineStr">
        <is>
          <t>No</t>
        </is>
      </c>
      <c r="AY16" s="5" t="inlineStr">
        <is>
          <t>Verified directory</t>
        </is>
      </c>
      <c r="AZ16" s="5" t="inlineStr">
        <is>
          <t>Unverified</t>
        </is>
      </c>
      <c r="BA16" s="5" t="inlineStr">
        <is>
          <t>2026-09-16</t>
        </is>
      </c>
      <c r="BB16" s="5" t="inlineStr">
        <is>
          <t>Requires Verification</t>
        </is>
      </c>
      <c r="BC16" s="5" t="inlineStr">
        <is>
          <t>Medium</t>
        </is>
      </c>
      <c r="BD16" s="5" t="inlineStr"/>
      <c r="BE16" s="5" t="inlineStr">
        <is>
          <t>Business (B2B)</t>
        </is>
      </c>
      <c r="BF16" s="5" t="inlineStr">
        <is>
          <t>Legitimate interest (B2B) - assess per campaign; PECR: corporate subscribers</t>
        </is>
      </c>
      <c r="BG16" s="5" t="inlineStr"/>
      <c r="BH16" s="5" t="inlineStr">
        <is>
          <t>No</t>
        </is>
      </c>
      <c r="BI16" s="5" t="inlineStr">
        <is>
          <t>2026-09-16</t>
        </is>
      </c>
      <c r="BJ16" s="5" t="inlineStr">
        <is>
          <t>New</t>
        </is>
      </c>
      <c r="BK16" s="5" t="inlineStr">
        <is>
          <t>2026-09-16</t>
        </is>
      </c>
      <c r="BL16" s="5" t="inlineStr"/>
      <c r="BM16" s="5" t="inlineStr"/>
      <c r="BN16" s="5" t="inlineStr"/>
      <c r="BO16" s="5" t="inlineStr"/>
      <c r="BP16" s="5" t="inlineStr"/>
      <c r="BQ16" s="5" t="inlineStr"/>
    </row>
    <row r="17">
      <c r="A17" s="10" t="inlineStr">
        <is>
          <t>WY-0016</t>
        </is>
      </c>
      <c r="B17" s="10" t="inlineStr">
        <is>
          <t>KARANRETAI-01</t>
        </is>
      </c>
      <c r="C17" s="10" t="inlineStr">
        <is>
          <t>Karan Retail Ltd</t>
        </is>
      </c>
      <c r="D17" s="10" t="inlineStr">
        <is>
          <t>Chidswell Service Station (Karan Retail)</t>
        </is>
      </c>
      <c r="E17" s="10" t="inlineStr">
        <is>
          <t>Chidswell Service Station</t>
        </is>
      </c>
      <c r="F17" s="10" t="inlineStr">
        <is>
          <t>Karan Retail Ltd</t>
        </is>
      </c>
      <c r="G17" s="10" t="inlineStr">
        <is>
          <t>Petrol Station / Forecourt</t>
        </is>
      </c>
      <c r="H17" s="10" t="inlineStr">
        <is>
          <t>Forecourt with convenience store</t>
        </is>
      </c>
      <c r="I17" s="10" t="inlineStr">
        <is>
          <t>Multi-Site Independent</t>
        </is>
      </c>
      <c r="J17" s="10" t="inlineStr"/>
      <c r="K17" s="10" t="inlineStr"/>
      <c r="L17" s="10" t="inlineStr"/>
      <c r="M17" s="10" t="inlineStr"/>
      <c r="N17" s="10" t="inlineStr"/>
      <c r="O17" s="10" t="inlineStr">
        <is>
          <t>Off A653 (Chidswell)</t>
        </is>
      </c>
      <c r="P17" s="10" t="inlineStr"/>
      <c r="Q17" s="10" t="inlineStr">
        <is>
          <t>Dewsbury</t>
        </is>
      </c>
      <c r="R17" s="10" t="inlineStr">
        <is>
          <t>West Yorkshire</t>
        </is>
      </c>
      <c r="S17" s="10" t="inlineStr"/>
      <c r="T17" s="10" t="inlineStr">
        <is>
          <t>Yorkshire &amp; Humber</t>
        </is>
      </c>
      <c r="U17" s="10" t="inlineStr">
        <is>
          <t>England</t>
        </is>
      </c>
      <c r="V17" s="10" t="inlineStr"/>
      <c r="W17" s="10" t="inlineStr"/>
      <c r="X17" s="10" t="inlineStr"/>
      <c r="Y17" s="10" t="inlineStr"/>
      <c r="Z17" s="10" t="inlineStr"/>
      <c r="AA17" s="10" t="inlineStr"/>
      <c r="AB17" s="10" t="inlineStr"/>
      <c r="AC17" s="10" t="inlineStr"/>
      <c r="AD17" s="10" t="inlineStr"/>
      <c r="AE17" s="10" t="inlineStr"/>
      <c r="AF17" s="10" t="inlineStr"/>
      <c r="AG17" s="10" t="inlineStr"/>
      <c r="AH17" s="10" t="inlineStr"/>
      <c r="AI17" s="10" t="inlineStr"/>
      <c r="AJ17" s="10" t="inlineStr"/>
      <c r="AK17" s="10" t="inlineStr">
        <is>
          <t>fuel; convenience retail</t>
        </is>
      </c>
      <c r="AL17" s="10" t="inlineStr"/>
      <c r="AM17" s="10" t="inlineStr">
        <is>
          <t>Petrol Station / Forecourt</t>
        </is>
      </c>
      <c r="AN17" s="10" t="inlineStr"/>
      <c r="AO17" s="10" t="inlineStr">
        <is>
          <t>Karan Retail acquired Chidswell Service Station, situated just off the A653 in West Yorkshire's commuter belt with connectivity to Leeds, Wakefield, Huddersfield and Bradford (Asian Trader, trade press). Group size, full address, postcode and Companies House details not captured before search budget was exhausted - follow up. Recorded as a genuine West Yorkshire multi-site forecourt operator lead.</t>
        </is>
      </c>
      <c r="AP17" s="10" t="inlineStr">
        <is>
          <t>Medium</t>
        </is>
      </c>
      <c r="AQ17" s="10" t="inlineStr">
        <is>
          <t>Multi-site retailer; Independent retailer; Relevant category</t>
        </is>
      </c>
      <c r="AR17" s="10" t="inlineStr">
        <is>
          <t>https://www.asiantrader.biz/karan-retail-chidswell-service-station-acquisition</t>
        </is>
      </c>
      <c r="AS17" s="10" t="inlineStr"/>
      <c r="AT17" s="10" t="inlineStr">
        <is>
          <t>1</t>
        </is>
      </c>
      <c r="AU17" s="10" t="inlineStr">
        <is>
          <t>No</t>
        </is>
      </c>
      <c r="AV17" s="10" t="inlineStr">
        <is>
          <t>No</t>
        </is>
      </c>
      <c r="AW17" s="10" t="inlineStr">
        <is>
          <t>No</t>
        </is>
      </c>
      <c r="AX17" s="10" t="inlineStr">
        <is>
          <t>No</t>
        </is>
      </c>
      <c r="AY17" s="10" t="inlineStr">
        <is>
          <t>Not Found</t>
        </is>
      </c>
      <c r="AZ17" s="10" t="inlineStr">
        <is>
          <t>Not Found</t>
        </is>
      </c>
      <c r="BA17" s="10" t="inlineStr">
        <is>
          <t>2026-09-16</t>
        </is>
      </c>
      <c r="BB17" s="10" t="inlineStr">
        <is>
          <t>Requires Verification</t>
        </is>
      </c>
      <c r="BC17" s="10" t="inlineStr">
        <is>
          <t>Low</t>
        </is>
      </c>
      <c r="BD17" s="10" t="inlineStr"/>
      <c r="BE17" s="10" t="inlineStr">
        <is>
          <t>Business (B2B)</t>
        </is>
      </c>
      <c r="BF17" s="10" t="inlineStr">
        <is>
          <t>Legitimate interest (B2B) - assess per campaign; PECR: corporate subscribers</t>
        </is>
      </c>
      <c r="BG17" s="10" t="inlineStr"/>
      <c r="BH17" s="10" t="inlineStr">
        <is>
          <t>No</t>
        </is>
      </c>
      <c r="BI17" s="10" t="inlineStr">
        <is>
          <t>2026-09-16</t>
        </is>
      </c>
      <c r="BJ17" s="10" t="inlineStr">
        <is>
          <t>New</t>
        </is>
      </c>
      <c r="BK17" s="10" t="inlineStr">
        <is>
          <t>2026-09-16</t>
        </is>
      </c>
      <c r="BL17" s="10" t="inlineStr"/>
      <c r="BM17" s="10" t="inlineStr"/>
      <c r="BN17" s="10" t="inlineStr"/>
      <c r="BO17" s="10" t="inlineStr"/>
      <c r="BP17" s="10" t="inlineStr"/>
      <c r="BQ17" s="10" t="inlineStr"/>
    </row>
    <row r="18">
      <c r="A18" s="5" t="inlineStr">
        <is>
          <t>WY-0017</t>
        </is>
      </c>
      <c r="B18" s="5" t="inlineStr">
        <is>
          <t>MANCHESTER-01</t>
        </is>
      </c>
      <c r="C18" s="5" t="inlineStr">
        <is>
          <t>Manchester Super Stores</t>
        </is>
      </c>
      <c r="D18" s="5" t="inlineStr">
        <is>
          <t>Manchester Superstore (Wakefield)</t>
        </is>
      </c>
      <c r="E18" s="5" t="inlineStr">
        <is>
          <t>Manchester Superstore</t>
        </is>
      </c>
      <c r="F18" s="5" t="inlineStr">
        <is>
          <t>Manchester Super Store (Wakefield) Ltd</t>
        </is>
      </c>
      <c r="G18" s="5" t="inlineStr">
        <is>
          <t>Independent Supermarket</t>
        </is>
      </c>
      <c r="H18" s="5" t="inlineStr">
        <is>
          <t>Ethnic / Asian supermarket with halal meat</t>
        </is>
      </c>
      <c r="I18" s="5" t="inlineStr">
        <is>
          <t>Regional Chain</t>
        </is>
      </c>
      <c r="J18" s="5" t="inlineStr"/>
      <c r="K18" s="5" t="inlineStr">
        <is>
          <t>https://manchestersuperstores.co.uk/store-locations/manchester-super-stores-in-wakefield/</t>
        </is>
      </c>
      <c r="L18" s="5" t="inlineStr">
        <is>
          <t>https://www.facebook.com/p/Manchester-superstore-100067793681757/</t>
        </is>
      </c>
      <c r="M18" s="5" t="inlineStr"/>
      <c r="N18" s="5" t="inlineStr"/>
      <c r="O18" s="5" t="inlineStr">
        <is>
          <t>38 Park Lodge Lane</t>
        </is>
      </c>
      <c r="P18" s="5" t="inlineStr"/>
      <c r="Q18" s="5" t="inlineStr">
        <is>
          <t>Wakefield</t>
        </is>
      </c>
      <c r="R18" s="5" t="inlineStr">
        <is>
          <t>West Yorkshire</t>
        </is>
      </c>
      <c r="S18" s="5" t="inlineStr">
        <is>
          <t>WF1 4NL</t>
        </is>
      </c>
      <c r="T18" s="5" t="inlineStr">
        <is>
          <t>Yorkshire &amp; Humber</t>
        </is>
      </c>
      <c r="U18" s="5" t="inlineStr">
        <is>
          <t>England</t>
        </is>
      </c>
      <c r="V18" s="5" t="inlineStr">
        <is>
          <t>01924 369105</t>
        </is>
      </c>
      <c r="W18" s="5" t="inlineStr"/>
      <c r="X18" s="5" t="inlineStr"/>
      <c r="Y18" s="5" t="inlineStr"/>
      <c r="Z18" s="5" t="inlineStr"/>
      <c r="AA18" s="5" t="inlineStr"/>
      <c r="AB18" s="5" t="inlineStr"/>
      <c r="AC18" s="5" t="inlineStr"/>
      <c r="AD18" s="5" t="inlineStr"/>
      <c r="AE18" s="5" t="inlineStr">
        <is>
          <t>08447369</t>
        </is>
      </c>
      <c r="AF18" s="5" t="inlineStr"/>
      <c r="AG18" s="5" t="inlineStr">
        <is>
          <t>MANCHESTER SUPER STORE (WAKEFIELD) LTD</t>
        </is>
      </c>
      <c r="AH18" s="5" t="inlineStr"/>
      <c r="AI18" s="5" t="inlineStr"/>
      <c r="AJ18" s="5" t="inlineStr"/>
      <c r="AK18" s="5" t="inlineStr">
        <is>
          <t>halal meat; fish; spices; exotic fruit and veg; ethnic grocery brands; toiletries</t>
        </is>
      </c>
      <c r="AL18" s="5" t="inlineStr"/>
      <c r="AM18" s="5" t="inlineStr">
        <is>
          <t>Independent Supermarket</t>
        </is>
      </c>
      <c r="AN18" s="5" t="inlineStr"/>
      <c r="AO18" s="5" t="inlineStr">
        <is>
          <t>Wakefield branch of the award-winning Manchester Super Stores group (BBC Food &amp; Farming Awards, Asian Food &amp; Restaurant Awards). Own dedicated store page on group website. Full Companies House record (status/incorporation) not yet retrieved.</t>
        </is>
      </c>
      <c r="AP18" s="5" t="inlineStr">
        <is>
          <t>Medium</t>
        </is>
      </c>
      <c r="AQ18" s="5" t="inlineStr">
        <is>
          <t>Multi-site retailer; Relevant category; Active website; Social presence</t>
        </is>
      </c>
      <c r="AR18" s="5" t="inlineStr">
        <is>
          <t>https://manchestersuperstores.co.uk/store-locations/manchester-super-stores-in-wakefield/</t>
        </is>
      </c>
      <c r="AS18" s="5" t="inlineStr">
        <is>
          <t>https://find-and-update.company-information.service.gov.uk/company/08447369</t>
        </is>
      </c>
      <c r="AT18" s="5" t="inlineStr">
        <is>
          <t>3</t>
        </is>
      </c>
      <c r="AU18" s="5" t="inlineStr">
        <is>
          <t>No</t>
        </is>
      </c>
      <c r="AV18" s="5" t="inlineStr">
        <is>
          <t>No</t>
        </is>
      </c>
      <c r="AW18" s="5" t="inlineStr">
        <is>
          <t>No</t>
        </is>
      </c>
      <c r="AX18" s="5" t="inlineStr">
        <is>
          <t>No</t>
        </is>
      </c>
      <c r="AY18" s="5" t="inlineStr">
        <is>
          <t>Verified directory</t>
        </is>
      </c>
      <c r="AZ18" s="5" t="inlineStr">
        <is>
          <t>Website Found</t>
        </is>
      </c>
      <c r="BA18" s="5" t="inlineStr">
        <is>
          <t>2026-09-16</t>
        </is>
      </c>
      <c r="BB18" s="5" t="inlineStr">
        <is>
          <t>Requires Verification</t>
        </is>
      </c>
      <c r="BC18" s="5" t="inlineStr">
        <is>
          <t>Medium</t>
        </is>
      </c>
      <c r="BD18" s="5" t="inlineStr"/>
      <c r="BE18" s="5" t="inlineStr">
        <is>
          <t>Business (B2B)</t>
        </is>
      </c>
      <c r="BF18" s="5" t="inlineStr">
        <is>
          <t>Legitimate interest (B2B) - assess per campaign; PECR: corporate subscribers</t>
        </is>
      </c>
      <c r="BG18" s="5" t="inlineStr"/>
      <c r="BH18" s="5" t="inlineStr">
        <is>
          <t>No</t>
        </is>
      </c>
      <c r="BI18" s="5" t="inlineStr">
        <is>
          <t>2026-09-16</t>
        </is>
      </c>
      <c r="BJ18" s="5" t="inlineStr">
        <is>
          <t>New</t>
        </is>
      </c>
      <c r="BK18" s="5" t="inlineStr">
        <is>
          <t>2026-09-16</t>
        </is>
      </c>
      <c r="BL18" s="5" t="inlineStr"/>
      <c r="BM18" s="5" t="inlineStr"/>
      <c r="BN18" s="5" t="inlineStr"/>
      <c r="BO18" s="5" t="inlineStr"/>
      <c r="BP18" s="5" t="inlineStr"/>
      <c r="BQ18" s="5" t="inlineStr"/>
    </row>
    <row r="19">
      <c r="A19" s="10" t="inlineStr">
        <is>
          <t>WY-0018</t>
        </is>
      </c>
      <c r="B19" s="10" t="inlineStr">
        <is>
          <t>MANCHESTER-02</t>
        </is>
      </c>
      <c r="C19" s="10" t="inlineStr">
        <is>
          <t>Manchester Super Stores</t>
        </is>
      </c>
      <c r="D19" s="10" t="inlineStr">
        <is>
          <t>Manchester Superstore Bradford</t>
        </is>
      </c>
      <c r="E19" s="10" t="inlineStr">
        <is>
          <t>Manchester Superstore</t>
        </is>
      </c>
      <c r="F19" s="10" t="inlineStr"/>
      <c r="G19" s="10" t="inlineStr">
        <is>
          <t>Independent Supermarket</t>
        </is>
      </c>
      <c r="H19" s="10" t="inlineStr">
        <is>
          <t>Asian / halal superstore</t>
        </is>
      </c>
      <c r="I19" s="10" t="inlineStr">
        <is>
          <t>Multi-Site Independent</t>
        </is>
      </c>
      <c r="J19" s="10" t="inlineStr"/>
      <c r="K19" s="10" t="inlineStr">
        <is>
          <t>https://manchestersuperstores.co.uk/store-locations/manchester-super-stores-in-bradford/</t>
        </is>
      </c>
      <c r="L19" s="10" t="inlineStr">
        <is>
          <t>https://www.facebook.com/p/Manchester-SuperStore-Bradford-100066139307711/</t>
        </is>
      </c>
      <c r="M19" s="10" t="inlineStr"/>
      <c r="N19" s="10" t="inlineStr"/>
      <c r="O19" s="10" t="inlineStr">
        <is>
          <t>Florence Street</t>
        </is>
      </c>
      <c r="P19" s="10" t="inlineStr">
        <is>
          <t>Off Leeds Road</t>
        </is>
      </c>
      <c r="Q19" s="10" t="inlineStr">
        <is>
          <t>Bradford</t>
        </is>
      </c>
      <c r="R19" s="10" t="inlineStr">
        <is>
          <t>West Yorkshire</t>
        </is>
      </c>
      <c r="S19" s="10" t="inlineStr">
        <is>
          <t>BD3 8EX</t>
        </is>
      </c>
      <c r="T19" s="10" t="inlineStr">
        <is>
          <t>Yorkshire &amp; Humber</t>
        </is>
      </c>
      <c r="U19" s="10" t="inlineStr">
        <is>
          <t>England</t>
        </is>
      </c>
      <c r="V19" s="10" t="inlineStr">
        <is>
          <t>01274 668800</t>
        </is>
      </c>
      <c r="W19" s="10" t="inlineStr"/>
      <c r="X19" s="10" t="inlineStr"/>
      <c r="Y19" s="10" t="inlineStr">
        <is>
          <t>mssbradford01@gmail.com</t>
        </is>
      </c>
      <c r="Z19" s="10" t="inlineStr"/>
      <c r="AA19" s="10" t="inlineStr"/>
      <c r="AB19" s="10" t="inlineStr"/>
      <c r="AC19" s="10" t="inlineStr"/>
      <c r="AD19" s="10" t="inlineStr"/>
      <c r="AE19" s="10" t="inlineStr"/>
      <c r="AF19" s="10" t="inlineStr"/>
      <c r="AG19" s="10" t="inlineStr"/>
      <c r="AH19" s="10" t="inlineStr"/>
      <c r="AI19" s="10" t="inlineStr"/>
      <c r="AJ19" s="10" t="inlineStr"/>
      <c r="AK19" s="10" t="inlineStr">
        <is>
          <t>fresh halal meat; fish; spices; exotic fruit &amp; veg; toiletries; ethnic brands</t>
        </is>
      </c>
      <c r="AL19" s="10" t="inlineStr"/>
      <c r="AM19" s="10" t="inlineStr">
        <is>
          <t>Independent Supermarket</t>
        </is>
      </c>
      <c r="AN19" s="10" t="inlineStr"/>
      <c r="AO19" s="10" t="inlineStr">
        <is>
          <t>Bradford branch of the Manchester Super Stores group (multi-site, has store-locations page on its own website).</t>
        </is>
      </c>
      <c r="AP19" s="10" t="inlineStr">
        <is>
          <t>High</t>
        </is>
      </c>
      <c r="AQ19" s="10" t="inlineStr">
        <is>
          <t>Multi-site retailer; Independent retailer; Relevant category; Public email available; Active website; Social presence</t>
        </is>
      </c>
      <c r="AR19" s="10" t="inlineStr">
        <is>
          <t>https://manchestersuperstores.co.uk/store-locations/manchester-super-stores-in-bradford/</t>
        </is>
      </c>
      <c r="AS19" s="10" t="inlineStr">
        <is>
          <t>https://www.facebook.com/p/Manchester-SuperStore-Bradford-100066139307711/</t>
        </is>
      </c>
      <c r="AT19" s="10" t="inlineStr">
        <is>
          <t>3</t>
        </is>
      </c>
      <c r="AU19" s="10" t="inlineStr">
        <is>
          <t>No</t>
        </is>
      </c>
      <c r="AV19" s="10" t="inlineStr">
        <is>
          <t>No</t>
        </is>
      </c>
      <c r="AW19" s="10" t="inlineStr">
        <is>
          <t>Yes</t>
        </is>
      </c>
      <c r="AX19" s="10" t="inlineStr">
        <is>
          <t>No</t>
        </is>
      </c>
      <c r="AY19" s="10" t="inlineStr">
        <is>
          <t>Verified directory</t>
        </is>
      </c>
      <c r="AZ19" s="10" t="inlineStr">
        <is>
          <t>Website Found</t>
        </is>
      </c>
      <c r="BA19" s="10" t="inlineStr">
        <is>
          <t>2026-09-16</t>
        </is>
      </c>
      <c r="BB19" s="10" t="inlineStr">
        <is>
          <t>Partially Verified</t>
        </is>
      </c>
      <c r="BC19" s="10" t="inlineStr">
        <is>
          <t>Medium</t>
        </is>
      </c>
      <c r="BD19" s="10" t="inlineStr"/>
      <c r="BE19" s="10" t="inlineStr">
        <is>
          <t>Business (B2B)</t>
        </is>
      </c>
      <c r="BF19" s="10" t="inlineStr">
        <is>
          <t>Legitimate interest (B2B) - assess per campaign; PECR: corporate subscribers</t>
        </is>
      </c>
      <c r="BG19" s="10" t="inlineStr"/>
      <c r="BH19" s="10" t="inlineStr">
        <is>
          <t>No</t>
        </is>
      </c>
      <c r="BI19" s="10" t="inlineStr">
        <is>
          <t>2026-09-16</t>
        </is>
      </c>
      <c r="BJ19" s="10" t="inlineStr">
        <is>
          <t>New</t>
        </is>
      </c>
      <c r="BK19" s="10" t="inlineStr">
        <is>
          <t>2026-09-16</t>
        </is>
      </c>
      <c r="BL19" s="10" t="inlineStr"/>
      <c r="BM19" s="10" t="inlineStr"/>
      <c r="BN19" s="10" t="inlineStr"/>
      <c r="BO19" s="10" t="inlineStr"/>
      <c r="BP19" s="10" t="inlineStr"/>
      <c r="BQ19" s="10" t="inlineStr"/>
    </row>
    <row r="20">
      <c r="A20" s="5" t="inlineStr">
        <is>
          <t>WY-0019</t>
        </is>
      </c>
      <c r="B20" s="5" t="inlineStr">
        <is>
          <t>MULLACO-01</t>
        </is>
      </c>
      <c r="C20" s="5" t="inlineStr">
        <is>
          <t>Mullaco</t>
        </is>
      </c>
      <c r="D20" s="5" t="inlineStr">
        <is>
          <t>Mullaco (Batley)</t>
        </is>
      </c>
      <c r="E20" s="5" t="inlineStr">
        <is>
          <t>Mullaco</t>
        </is>
      </c>
      <c r="F20" s="5" t="inlineStr"/>
      <c r="G20" s="5" t="inlineStr">
        <is>
          <t>Independent Supermarket</t>
        </is>
      </c>
      <c r="H20" s="5" t="inlineStr">
        <is>
          <t>Asian and continental world foods store</t>
        </is>
      </c>
      <c r="I20" s="5" t="inlineStr">
        <is>
          <t>Regional Chain</t>
        </is>
      </c>
      <c r="J20" s="5" t="inlineStr">
        <is>
          <t>3</t>
        </is>
      </c>
      <c r="K20" s="5" t="inlineStr">
        <is>
          <t>https://mullaco.co.uk/</t>
        </is>
      </c>
      <c r="L20" s="5" t="inlineStr">
        <is>
          <t>https://www.facebook.com/mullaco.supermarket/</t>
        </is>
      </c>
      <c r="M20" s="5" t="inlineStr">
        <is>
          <t>https://www.instagram.com/mullacosupermarket/</t>
        </is>
      </c>
      <c r="N20" s="5" t="inlineStr"/>
      <c r="O20" s="5" t="inlineStr">
        <is>
          <t>35 Oxford Street</t>
        </is>
      </c>
      <c r="P20" s="5" t="inlineStr"/>
      <c r="Q20" s="5" t="inlineStr">
        <is>
          <t>Batley</t>
        </is>
      </c>
      <c r="R20" s="5" t="inlineStr">
        <is>
          <t>West Yorkshire</t>
        </is>
      </c>
      <c r="S20" s="5" t="inlineStr">
        <is>
          <t>WF17 7PJ</t>
        </is>
      </c>
      <c r="T20" s="5" t="inlineStr">
        <is>
          <t>Yorkshire &amp; Humber</t>
        </is>
      </c>
      <c r="U20" s="5" t="inlineStr">
        <is>
          <t>England</t>
        </is>
      </c>
      <c r="V20" s="5" t="inlineStr">
        <is>
          <t>01924 939128</t>
        </is>
      </c>
      <c r="W20" s="5" t="inlineStr"/>
      <c r="X20" s="5" t="inlineStr"/>
      <c r="Y20" s="5" t="inlineStr"/>
      <c r="Z20" s="5" t="inlineStr"/>
      <c r="AA20" s="5" t="inlineStr"/>
      <c r="AB20" s="5" t="inlineStr"/>
      <c r="AC20" s="5" t="inlineStr"/>
      <c r="AD20" s="5" t="inlineStr"/>
      <c r="AE20" s="5" t="inlineStr"/>
      <c r="AF20" s="5" t="inlineStr"/>
      <c r="AG20" s="5" t="inlineStr"/>
      <c r="AH20" s="5" t="inlineStr"/>
      <c r="AI20" s="5" t="inlineStr"/>
      <c r="AJ20" s="5" t="inlineStr"/>
      <c r="AK20" s="5" t="inlineStr">
        <is>
          <t>world foods; halal meat and poultry; groceries</t>
        </is>
      </c>
      <c r="AL20" s="5" t="inlineStr"/>
      <c r="AM20" s="5" t="inlineStr">
        <is>
          <t>Independent Supermarket</t>
        </is>
      </c>
      <c r="AN20" s="5" t="inlineStr"/>
      <c r="AO20" s="5" t="inlineStr">
        <is>
          <t>Batley branch of the Mullaco world foods group (parent record: Mullaco Supermarket Dewsbury).</t>
        </is>
      </c>
      <c r="AP20" s="5" t="inlineStr">
        <is>
          <t>Medium</t>
        </is>
      </c>
      <c r="AQ20" s="5" t="inlineStr">
        <is>
          <t>Multi-site retailer; Relevant category; Active website; Social presence</t>
        </is>
      </c>
      <c r="AR20" s="5" t="inlineStr">
        <is>
          <t>https://mullaco.co.uk/contact-us/</t>
        </is>
      </c>
      <c r="AS20" s="5" t="inlineStr">
        <is>
          <t>https://www.zoominfo.com/c/mullaco-ltd/370332224</t>
        </is>
      </c>
      <c r="AT20" s="5" t="inlineStr">
        <is>
          <t>3</t>
        </is>
      </c>
      <c r="AU20" s="5" t="inlineStr">
        <is>
          <t>No</t>
        </is>
      </c>
      <c r="AV20" s="5" t="inlineStr">
        <is>
          <t>No</t>
        </is>
      </c>
      <c r="AW20" s="5" t="inlineStr">
        <is>
          <t>No</t>
        </is>
      </c>
      <c r="AX20" s="5" t="inlineStr">
        <is>
          <t>No</t>
        </is>
      </c>
      <c r="AY20" s="5" t="inlineStr">
        <is>
          <t>Verified directory</t>
        </is>
      </c>
      <c r="AZ20" s="5" t="inlineStr">
        <is>
          <t>Website Found</t>
        </is>
      </c>
      <c r="BA20" s="5" t="inlineStr">
        <is>
          <t>2026-09-16</t>
        </is>
      </c>
      <c r="BB20" s="5" t="inlineStr">
        <is>
          <t>Requires Verification</t>
        </is>
      </c>
      <c r="BC20" s="5" t="inlineStr">
        <is>
          <t>Medium</t>
        </is>
      </c>
      <c r="BD20" s="5" t="inlineStr"/>
      <c r="BE20" s="5" t="inlineStr">
        <is>
          <t>Business (B2B)</t>
        </is>
      </c>
      <c r="BF20" s="5" t="inlineStr">
        <is>
          <t>Legitimate interest (B2B) - assess per campaign; PECR: corporate subscribers</t>
        </is>
      </c>
      <c r="BG20" s="5" t="inlineStr"/>
      <c r="BH20" s="5" t="inlineStr">
        <is>
          <t>No</t>
        </is>
      </c>
      <c r="BI20" s="5" t="inlineStr">
        <is>
          <t>2026-09-16</t>
        </is>
      </c>
      <c r="BJ20" s="5" t="inlineStr">
        <is>
          <t>New</t>
        </is>
      </c>
      <c r="BK20" s="5" t="inlineStr">
        <is>
          <t>2026-09-16</t>
        </is>
      </c>
      <c r="BL20" s="5" t="inlineStr"/>
      <c r="BM20" s="5" t="inlineStr"/>
      <c r="BN20" s="5" t="inlineStr"/>
      <c r="BO20" s="5" t="inlineStr"/>
      <c r="BP20" s="5" t="inlineStr"/>
      <c r="BQ20" s="5" t="inlineStr"/>
    </row>
    <row r="21">
      <c r="A21" s="10" t="inlineStr">
        <is>
          <t>WY-0020</t>
        </is>
      </c>
      <c r="B21" s="10" t="inlineStr">
        <is>
          <t>MULLACO-02</t>
        </is>
      </c>
      <c r="C21" s="10" t="inlineStr">
        <is>
          <t>Mullaco</t>
        </is>
      </c>
      <c r="D21" s="10" t="inlineStr">
        <is>
          <t>Mullaco Minimarket (Dewsbury)</t>
        </is>
      </c>
      <c r="E21" s="10" t="inlineStr">
        <is>
          <t>Mullaco Minimarket</t>
        </is>
      </c>
      <c r="F21" s="10" t="inlineStr"/>
      <c r="G21" s="10" t="inlineStr">
        <is>
          <t>Convenience Store</t>
        </is>
      </c>
      <c r="H21" s="10" t="inlineStr">
        <is>
          <t>World foods minimarket</t>
        </is>
      </c>
      <c r="I21" s="10" t="inlineStr">
        <is>
          <t>Regional Chain</t>
        </is>
      </c>
      <c r="J21" s="10" t="inlineStr">
        <is>
          <t>3</t>
        </is>
      </c>
      <c r="K21" s="10" t="inlineStr">
        <is>
          <t>https://mullaco.co.uk/</t>
        </is>
      </c>
      <c r="L21" s="10" t="inlineStr">
        <is>
          <t>https://www.facebook.com/mullaco.supermarket/</t>
        </is>
      </c>
      <c r="M21" s="10" t="inlineStr"/>
      <c r="N21" s="10" t="inlineStr"/>
      <c r="O21" s="10" t="inlineStr"/>
      <c r="P21" s="10" t="inlineStr"/>
      <c r="Q21" s="10" t="inlineStr">
        <is>
          <t>Dewsbury</t>
        </is>
      </c>
      <c r="R21" s="10" t="inlineStr">
        <is>
          <t>West Yorkshire</t>
        </is>
      </c>
      <c r="S21" s="10" t="inlineStr">
        <is>
          <t>WF12 9LX</t>
        </is>
      </c>
      <c r="T21" s="10" t="inlineStr">
        <is>
          <t>Yorkshire &amp; Humber</t>
        </is>
      </c>
      <c r="U21" s="10" t="inlineStr">
        <is>
          <t>England</t>
        </is>
      </c>
      <c r="V21" s="10" t="inlineStr"/>
      <c r="W21" s="10" t="inlineStr"/>
      <c r="X21" s="10" t="inlineStr"/>
      <c r="Y21" s="10" t="inlineStr"/>
      <c r="Z21" s="10" t="inlineStr"/>
      <c r="AA21" s="10" t="inlineStr"/>
      <c r="AB21" s="10" t="inlineStr"/>
      <c r="AC21" s="10" t="inlineStr"/>
      <c r="AD21" s="10" t="inlineStr"/>
      <c r="AE21" s="10" t="inlineStr"/>
      <c r="AF21" s="10" t="inlineStr"/>
      <c r="AG21" s="10" t="inlineStr"/>
      <c r="AH21" s="10" t="inlineStr"/>
      <c r="AI21" s="10" t="inlineStr"/>
      <c r="AJ21" s="10" t="inlineStr"/>
      <c r="AK21" s="10" t="inlineStr">
        <is>
          <t>world foods; groceries; convenience goods</t>
        </is>
      </c>
      <c r="AL21" s="10" t="inlineStr"/>
      <c r="AM21" s="10" t="inlineStr">
        <is>
          <t>Convenience Store</t>
        </is>
      </c>
      <c r="AN21" s="10" t="inlineStr"/>
      <c r="AO21" s="10" t="inlineStr">
        <is>
          <t>Mullaco minimarket location in Dewsbury at postcode WF12 9LX per search results; street address not captured because mullaco.co.uk fetch was blocked.</t>
        </is>
      </c>
      <c r="AP21" s="10" t="inlineStr">
        <is>
          <t>Medium</t>
        </is>
      </c>
      <c r="AQ21" s="10" t="inlineStr">
        <is>
          <t>Multi-site retailer; Relevant category; Active website; Social presence</t>
        </is>
      </c>
      <c r="AR21" s="10" t="inlineStr">
        <is>
          <t>https://www.facebook.com/mullaco.supermarket/</t>
        </is>
      </c>
      <c r="AS21" s="10" t="inlineStr">
        <is>
          <t>https://www.zoominfo.com/c/mullaco-ltd/370332224</t>
        </is>
      </c>
      <c r="AT21" s="10" t="inlineStr">
        <is>
          <t>2</t>
        </is>
      </c>
      <c r="AU21" s="10" t="inlineStr">
        <is>
          <t>No</t>
        </is>
      </c>
      <c r="AV21" s="10" t="inlineStr">
        <is>
          <t>No</t>
        </is>
      </c>
      <c r="AW21" s="10" t="inlineStr">
        <is>
          <t>No</t>
        </is>
      </c>
      <c r="AX21" s="10" t="inlineStr">
        <is>
          <t>No</t>
        </is>
      </c>
      <c r="AY21" s="10" t="inlineStr">
        <is>
          <t>Not Found</t>
        </is>
      </c>
      <c r="AZ21" s="10" t="inlineStr">
        <is>
          <t>Website Found</t>
        </is>
      </c>
      <c r="BA21" s="10" t="inlineStr">
        <is>
          <t>2026-09-16</t>
        </is>
      </c>
      <c r="BB21" s="10" t="inlineStr">
        <is>
          <t>Requires Verification</t>
        </is>
      </c>
      <c r="BC21" s="10" t="inlineStr">
        <is>
          <t>Medium</t>
        </is>
      </c>
      <c r="BD21" s="10" t="inlineStr"/>
      <c r="BE21" s="10" t="inlineStr">
        <is>
          <t>Business (B2B)</t>
        </is>
      </c>
      <c r="BF21" s="10" t="inlineStr">
        <is>
          <t>Legitimate interest (B2B) - assess per campaign; PECR: corporate subscribers</t>
        </is>
      </c>
      <c r="BG21" s="10" t="inlineStr"/>
      <c r="BH21" s="10" t="inlineStr">
        <is>
          <t>No</t>
        </is>
      </c>
      <c r="BI21" s="10" t="inlineStr">
        <is>
          <t>2026-09-16</t>
        </is>
      </c>
      <c r="BJ21" s="10" t="inlineStr">
        <is>
          <t>New</t>
        </is>
      </c>
      <c r="BK21" s="10" t="inlineStr">
        <is>
          <t>2026-09-16</t>
        </is>
      </c>
      <c r="BL21" s="10" t="inlineStr"/>
      <c r="BM21" s="10" t="inlineStr"/>
      <c r="BN21" s="10" t="inlineStr"/>
      <c r="BO21" s="10" t="inlineStr"/>
      <c r="BP21" s="10" t="inlineStr"/>
      <c r="BQ21" s="10" t="inlineStr"/>
    </row>
    <row r="22">
      <c r="A22" s="5" t="inlineStr">
        <is>
          <t>WY-0021</t>
        </is>
      </c>
      <c r="B22" s="5" t="inlineStr">
        <is>
          <t>MULLACO-03</t>
        </is>
      </c>
      <c r="C22" s="5" t="inlineStr">
        <is>
          <t>Mullaco</t>
        </is>
      </c>
      <c r="D22" s="5" t="inlineStr">
        <is>
          <t>Mullaco Supermarket (Dewsbury)</t>
        </is>
      </c>
      <c r="E22" s="5" t="inlineStr">
        <is>
          <t>Mullaco Supermarket</t>
        </is>
      </c>
      <c r="F22" s="5" t="inlineStr">
        <is>
          <t>Mullaco (Dewsbury) Ltd</t>
        </is>
      </c>
      <c r="G22" s="5" t="inlineStr">
        <is>
          <t>Independent Supermarket</t>
        </is>
      </c>
      <c r="H22" s="5" t="inlineStr">
        <is>
          <t>Asian and continental world foods supermarket</t>
        </is>
      </c>
      <c r="I22" s="5" t="inlineStr">
        <is>
          <t>Regional Chain</t>
        </is>
      </c>
      <c r="J22" s="5" t="inlineStr">
        <is>
          <t>3</t>
        </is>
      </c>
      <c r="K22" s="5" t="inlineStr">
        <is>
          <t>https://mullaco.co.uk/</t>
        </is>
      </c>
      <c r="L22" s="5" t="inlineStr">
        <is>
          <t>https://www.facebook.com/mullaco.supermarket/</t>
        </is>
      </c>
      <c r="M22" s="5" t="inlineStr">
        <is>
          <t>https://www.instagram.com/mullacosupermarket/</t>
        </is>
      </c>
      <c r="N22" s="5" t="inlineStr"/>
      <c r="O22" s="5" t="inlineStr">
        <is>
          <t>Mullaco Retail Park, Slaithwaite Road</t>
        </is>
      </c>
      <c r="P22" s="5" t="inlineStr">
        <is>
          <t>Thornhill Lees</t>
        </is>
      </c>
      <c r="Q22" s="5" t="inlineStr">
        <is>
          <t>Dewsbury</t>
        </is>
      </c>
      <c r="R22" s="5" t="inlineStr">
        <is>
          <t>West Yorkshire</t>
        </is>
      </c>
      <c r="S22" s="5" t="inlineStr">
        <is>
          <t>WF12 0AA</t>
        </is>
      </c>
      <c r="T22" s="5" t="inlineStr">
        <is>
          <t>Yorkshire &amp; Humber</t>
        </is>
      </c>
      <c r="U22" s="5" t="inlineStr">
        <is>
          <t>England</t>
        </is>
      </c>
      <c r="V22" s="5" t="inlineStr">
        <is>
          <t>01924 465909</t>
        </is>
      </c>
      <c r="W22" s="5" t="inlineStr"/>
      <c r="X22" s="5" t="inlineStr"/>
      <c r="Y22" s="5" t="inlineStr"/>
      <c r="Z22" s="5" t="inlineStr"/>
      <c r="AA22" s="5" t="inlineStr"/>
      <c r="AB22" s="5" t="inlineStr"/>
      <c r="AC22" s="5" t="inlineStr"/>
      <c r="AD22" s="5" t="inlineStr"/>
      <c r="AE22" s="5" t="inlineStr">
        <is>
          <t>06629345</t>
        </is>
      </c>
      <c r="AF22" s="5" t="inlineStr"/>
      <c r="AG22" s="5" t="inlineStr">
        <is>
          <t>MULLACO (DEWSBURY) LTD</t>
        </is>
      </c>
      <c r="AH22" s="5" t="inlineStr"/>
      <c r="AI22" s="5" t="inlineStr"/>
      <c r="AJ22" s="5" t="inlineStr"/>
      <c r="AK22" s="5" t="inlineStr">
        <is>
          <t>world foods; halal meat and poultry; fresh fruit and vegetables; groceries</t>
        </is>
      </c>
      <c r="AL22" s="5" t="inlineStr"/>
      <c r="AM22" s="5" t="inlineStr">
        <is>
          <t>Independent Supermarket</t>
        </is>
      </c>
      <c r="AN22" s="5" t="inlineStr"/>
      <c r="AO22" s="5" t="inlineStr">
        <is>
          <t>Family-run world foods group with stores in Dewsbury, Batley and a Dewsbury minimarket; head office listed as 7 Wellington Street, Batley WF17 5BH (ZoomInfo). Own website mullaco.co.uk could not be fetched (proxy blocked).</t>
        </is>
      </c>
      <c r="AP22" s="5" t="inlineStr">
        <is>
          <t>Medium</t>
        </is>
      </c>
      <c r="AQ22" s="5" t="inlineStr">
        <is>
          <t>Multi-site retailer; Relevant category; Active website; Social presence</t>
        </is>
      </c>
      <c r="AR22" s="5" t="inlineStr">
        <is>
          <t>https://mullaco.co.uk/contact-us/</t>
        </is>
      </c>
      <c r="AS22" s="5" t="inlineStr">
        <is>
          <t>https://find-and-update.company-information.service.gov.uk/company/06629345</t>
        </is>
      </c>
      <c r="AT22" s="5" t="inlineStr">
        <is>
          <t>4</t>
        </is>
      </c>
      <c r="AU22" s="5" t="inlineStr">
        <is>
          <t>No</t>
        </is>
      </c>
      <c r="AV22" s="5" t="inlineStr">
        <is>
          <t>No</t>
        </is>
      </c>
      <c r="AW22" s="5" t="inlineStr">
        <is>
          <t>No</t>
        </is>
      </c>
      <c r="AX22" s="5" t="inlineStr">
        <is>
          <t>No</t>
        </is>
      </c>
      <c r="AY22" s="5" t="inlineStr">
        <is>
          <t>Verified directory</t>
        </is>
      </c>
      <c r="AZ22" s="5" t="inlineStr">
        <is>
          <t>Website Found</t>
        </is>
      </c>
      <c r="BA22" s="5" t="inlineStr">
        <is>
          <t>2026-09-16</t>
        </is>
      </c>
      <c r="BB22" s="5" t="inlineStr">
        <is>
          <t>Requires Verification</t>
        </is>
      </c>
      <c r="BC22" s="5" t="inlineStr">
        <is>
          <t>Medium</t>
        </is>
      </c>
      <c r="BD22" s="5" t="inlineStr"/>
      <c r="BE22" s="5" t="inlineStr">
        <is>
          <t>Business (B2B)</t>
        </is>
      </c>
      <c r="BF22" s="5" t="inlineStr">
        <is>
          <t>Legitimate interest (B2B) - assess per campaign; PECR: corporate subscribers</t>
        </is>
      </c>
      <c r="BG22" s="5" t="inlineStr"/>
      <c r="BH22" s="5" t="inlineStr">
        <is>
          <t>No</t>
        </is>
      </c>
      <c r="BI22" s="5" t="inlineStr">
        <is>
          <t>2026-09-16</t>
        </is>
      </c>
      <c r="BJ22" s="5" t="inlineStr">
        <is>
          <t>New</t>
        </is>
      </c>
      <c r="BK22" s="5" t="inlineStr">
        <is>
          <t>2026-09-16</t>
        </is>
      </c>
      <c r="BL22" s="5" t="inlineStr"/>
      <c r="BM22" s="5" t="inlineStr"/>
      <c r="BN22" s="5" t="inlineStr"/>
      <c r="BO22" s="5" t="inlineStr"/>
      <c r="BP22" s="5" t="inlineStr"/>
      <c r="BQ22" s="5" t="inlineStr"/>
    </row>
    <row r="23">
      <c r="A23" s="10" t="inlineStr">
        <is>
          <t>WY-0022</t>
        </is>
      </c>
      <c r="B23" s="10" t="inlineStr">
        <is>
          <t>SMKD-01</t>
        </is>
      </c>
      <c r="C23" s="10" t="inlineStr">
        <is>
          <t>SMKD</t>
        </is>
      </c>
      <c r="D23" s="10" t="inlineStr">
        <is>
          <t>SMKD</t>
        </is>
      </c>
      <c r="E23" s="10" t="inlineStr">
        <is>
          <t>SMKD Halifax</t>
        </is>
      </c>
      <c r="F23" s="10" t="inlineStr">
        <is>
          <t>SMKD VAPE LIMITED</t>
        </is>
      </c>
      <c r="G23" s="10" t="inlineStr">
        <is>
          <t>Vape Shop</t>
        </is>
      </c>
      <c r="H23" s="10" t="inlineStr">
        <is>
          <t>Vape chain store</t>
        </is>
      </c>
      <c r="I23" s="10" t="inlineStr">
        <is>
          <t>Regional Chain</t>
        </is>
      </c>
      <c r="J23" s="10" t="inlineStr"/>
      <c r="K23" s="10" t="inlineStr">
        <is>
          <t>https://smkd.com/vape-shop-locator/smkd-halifax-vape-shop-market-street/</t>
        </is>
      </c>
      <c r="L23" s="10" t="inlineStr">
        <is>
          <t>https://www.facebook.com/SmkdVapeShop/</t>
        </is>
      </c>
      <c r="M23" s="10" t="inlineStr"/>
      <c r="N23" s="10" t="inlineStr"/>
      <c r="O23" s="10" t="inlineStr">
        <is>
          <t>31-32 Market Street</t>
        </is>
      </c>
      <c r="P23" s="10" t="inlineStr">
        <is>
          <t>Borough Market</t>
        </is>
      </c>
      <c r="Q23" s="10" t="inlineStr">
        <is>
          <t>Halifax</t>
        </is>
      </c>
      <c r="R23" s="10" t="inlineStr">
        <is>
          <t>West Yorkshire</t>
        </is>
      </c>
      <c r="S23" s="10" t="inlineStr">
        <is>
          <t>HX1 1DZ</t>
        </is>
      </c>
      <c r="T23" s="10" t="inlineStr">
        <is>
          <t>Yorkshire &amp; Humber</t>
        </is>
      </c>
      <c r="U23" s="10" t="inlineStr">
        <is>
          <t>England</t>
        </is>
      </c>
      <c r="V23" s="10" t="inlineStr"/>
      <c r="W23" s="10" t="inlineStr"/>
      <c r="X23" s="10" t="inlineStr"/>
      <c r="Y23" s="10" t="inlineStr">
        <is>
          <t>info@smkd.com</t>
        </is>
      </c>
      <c r="Z23" s="10" t="inlineStr"/>
      <c r="AA23" s="10" t="inlineStr"/>
      <c r="AB23" s="10" t="inlineStr"/>
      <c r="AC23" s="10" t="inlineStr"/>
      <c r="AD23" s="10" t="inlineStr"/>
      <c r="AE23" s="10" t="inlineStr">
        <is>
          <t>16161027</t>
        </is>
      </c>
      <c r="AF23" s="10" t="inlineStr">
        <is>
          <t>Active</t>
        </is>
      </c>
      <c r="AG23" s="10" t="inlineStr">
        <is>
          <t>SMKD VAPE LIMITED</t>
        </is>
      </c>
      <c r="AH23" s="10" t="inlineStr">
        <is>
          <t>Bradford Chamber Business Park, New Lane, Laisterdyke, Bradford, BD4 8BX</t>
        </is>
      </c>
      <c r="AI23" s="10" t="inlineStr">
        <is>
          <t>2025-01-03</t>
        </is>
      </c>
      <c r="AJ23" s="10" t="inlineStr"/>
      <c r="AK23" s="10" t="inlineStr">
        <is>
          <t>vape hardware; e-liquids; disposables</t>
        </is>
      </c>
      <c r="AL23" s="10" t="inlineStr"/>
      <c r="AM23" s="10" t="inlineStr">
        <is>
          <t>Vape Shop</t>
        </is>
      </c>
      <c r="AN23" s="10" t="inlineStr"/>
      <c r="AO23" s="10" t="inlineStr">
        <is>
          <t>Address conflict between sources: UK Malls lists 31-32 Market St HX1 1DZ (Borough Market); Yell-sourced listing gives 28 Market St HX1 1PB. One directory snippet suggests the store may now be closed with delivery-only service in Halifax - needs verification before outreach. | CONFLICTING SOURCES: another collection pass found trade reports that SMKD (Smokers Delight Ltd) closed all retail stores around mid-2026 and moved online-only. Verify store still trading before contact.</t>
        </is>
      </c>
      <c r="AP23" s="10" t="inlineStr">
        <is>
          <t>High</t>
        </is>
      </c>
      <c r="AQ23" s="10" t="inlineStr">
        <is>
          <t>Multi-site retailer; Core relevant category; Public email available; Active website; Social presence</t>
        </is>
      </c>
      <c r="AR23" s="10" t="inlineStr">
        <is>
          <t>https://smkd.com/vape-shop-locator/smkd-halifax-vape-shop-market-street/</t>
        </is>
      </c>
      <c r="AS23" s="10" t="inlineStr">
        <is>
          <t>https://www.ukmalls.co.uk/shopping-centres/england/yorkshire-and-the-humber/halifax/halifax-borough-market/smkd-e-cigarettes-and-vape-shop-halifax</t>
        </is>
      </c>
      <c r="AT23" s="10" t="inlineStr">
        <is>
          <t>2</t>
        </is>
      </c>
      <c r="AU23" s="10" t="inlineStr">
        <is>
          <t>No</t>
        </is>
      </c>
      <c r="AV23" s="10" t="inlineStr">
        <is>
          <t>No</t>
        </is>
      </c>
      <c r="AW23" s="10" t="inlineStr">
        <is>
          <t>Yes</t>
        </is>
      </c>
      <c r="AX23" s="10" t="inlineStr">
        <is>
          <t>Yes</t>
        </is>
      </c>
      <c r="AY23" s="10" t="inlineStr">
        <is>
          <t>Not Found</t>
        </is>
      </c>
      <c r="AZ23" s="10" t="inlineStr">
        <is>
          <t>Website Found</t>
        </is>
      </c>
      <c r="BA23" s="10" t="inlineStr">
        <is>
          <t>2026-09-16</t>
        </is>
      </c>
      <c r="BB23" s="10" t="inlineStr">
        <is>
          <t>Partially Verified</t>
        </is>
      </c>
      <c r="BC23" s="10" t="inlineStr">
        <is>
          <t>Medium</t>
        </is>
      </c>
      <c r="BD23" s="10" t="inlineStr"/>
      <c r="BE23" s="10" t="inlineStr">
        <is>
          <t>Business (B2B)</t>
        </is>
      </c>
      <c r="BF23" s="10" t="inlineStr">
        <is>
          <t>Legitimate interest (B2B) - assess per campaign; PECR: corporate subscribers</t>
        </is>
      </c>
      <c r="BG23" s="10" t="inlineStr"/>
      <c r="BH23" s="10" t="inlineStr">
        <is>
          <t>No</t>
        </is>
      </c>
      <c r="BI23" s="10" t="inlineStr">
        <is>
          <t>2026-09-16</t>
        </is>
      </c>
      <c r="BJ23" s="10" t="inlineStr">
        <is>
          <t>New</t>
        </is>
      </c>
      <c r="BK23" s="10" t="inlineStr">
        <is>
          <t>2026-09-16</t>
        </is>
      </c>
      <c r="BL23" s="10" t="inlineStr"/>
      <c r="BM23" s="10" t="inlineStr"/>
      <c r="BN23" s="10" t="inlineStr"/>
      <c r="BO23" s="10" t="inlineStr"/>
      <c r="BP23" s="10" t="inlineStr"/>
      <c r="BQ23" s="10" t="inlineStr"/>
    </row>
    <row r="24">
      <c r="A24" s="5" t="inlineStr">
        <is>
          <t>WY-0023</t>
        </is>
      </c>
      <c r="B24" s="5" t="inlineStr">
        <is>
          <t>SMKD-02</t>
        </is>
      </c>
      <c r="C24" s="5" t="inlineStr">
        <is>
          <t>SMKD</t>
        </is>
      </c>
      <c r="D24" s="5" t="inlineStr">
        <is>
          <t>SMKD</t>
        </is>
      </c>
      <c r="E24" s="5" t="inlineStr">
        <is>
          <t>SMKD Hebden Bridge</t>
        </is>
      </c>
      <c r="F24" s="5" t="inlineStr">
        <is>
          <t>SMKD VAPE LIMITED</t>
        </is>
      </c>
      <c r="G24" s="5" t="inlineStr">
        <is>
          <t>Vape Shop</t>
        </is>
      </c>
      <c r="H24" s="5" t="inlineStr">
        <is>
          <t>Vape chain store with same-day local delivery</t>
        </is>
      </c>
      <c r="I24" s="5" t="inlineStr">
        <is>
          <t>Regional Chain</t>
        </is>
      </c>
      <c r="J24" s="5" t="inlineStr"/>
      <c r="K24" s="5" t="inlineStr">
        <is>
          <t>https://smkd.com/vape-shop-locator/smkd-hebden-bridge-vape-shop-west-end/</t>
        </is>
      </c>
      <c r="L24" s="5" t="inlineStr">
        <is>
          <t>https://www.facebook.com/SmkdVapeShop/</t>
        </is>
      </c>
      <c r="M24" s="5" t="inlineStr"/>
      <c r="N24" s="5" t="inlineStr"/>
      <c r="O24" s="5" t="inlineStr"/>
      <c r="P24" s="5" t="inlineStr">
        <is>
          <t>West End</t>
        </is>
      </c>
      <c r="Q24" s="5" t="inlineStr">
        <is>
          <t>Hebden Bridge</t>
        </is>
      </c>
      <c r="R24" s="5" t="inlineStr">
        <is>
          <t>West Yorkshire</t>
        </is>
      </c>
      <c r="S24" s="5" t="inlineStr"/>
      <c r="T24" s="5" t="inlineStr">
        <is>
          <t>Yorkshire &amp; Humber</t>
        </is>
      </c>
      <c r="U24" s="5" t="inlineStr">
        <is>
          <t>England</t>
        </is>
      </c>
      <c r="V24" s="5" t="inlineStr">
        <is>
          <t>01274 270303</t>
        </is>
      </c>
      <c r="W24" s="5" t="inlineStr"/>
      <c r="X24" s="5" t="inlineStr"/>
      <c r="Y24" s="5" t="inlineStr">
        <is>
          <t>info@smkd.com</t>
        </is>
      </c>
      <c r="Z24" s="5" t="inlineStr"/>
      <c r="AA24" s="5" t="inlineStr"/>
      <c r="AB24" s="5" t="inlineStr"/>
      <c r="AC24" s="5" t="inlineStr"/>
      <c r="AD24" s="5" t="inlineStr"/>
      <c r="AE24" s="5" t="inlineStr">
        <is>
          <t>16161027</t>
        </is>
      </c>
      <c r="AF24" s="5" t="inlineStr">
        <is>
          <t>Active</t>
        </is>
      </c>
      <c r="AG24" s="5" t="inlineStr">
        <is>
          <t>SMKD VAPE LIMITED</t>
        </is>
      </c>
      <c r="AH24" s="5" t="inlineStr">
        <is>
          <t>Bradford Chamber Business Park, New Lane, Laisterdyke, Bradford, BD4 8BX</t>
        </is>
      </c>
      <c r="AI24" s="5" t="inlineStr">
        <is>
          <t>2025-01-03</t>
        </is>
      </c>
      <c r="AJ24" s="5" t="inlineStr"/>
      <c r="AK24" s="5" t="inlineStr">
        <is>
          <t>vape hardware; e-liquids; disposables</t>
        </is>
      </c>
      <c r="AL24" s="5" t="inlineStr"/>
      <c r="AM24" s="5" t="inlineStr">
        <is>
          <t>Vape Shop</t>
        </is>
      </c>
      <c r="AN24" s="5" t="inlineStr"/>
      <c r="AO24" s="5" t="inlineStr">
        <is>
          <t>West Yorkshire vape chain headquartered in Bradford; store described as at the west end of Hebden Bridge between the bridge and the crossroads, offering free same-day delivery locally. Central phone/email are chain-wide (quoted from smkd.com in search results; direct fetch blocked). Companies House match 'SMKD VAPE LIMITED' found via search - assumed operating company for the SMKD chain, worth re-verifying. | CONFLICTING SOURCES: another collection pass found trade reports that SMKD (Smokers Delight Ltd) closed all retail stores around mid-2026 and moved online-only. Verify store still trading before contact.</t>
        </is>
      </c>
      <c r="AP24" s="5" t="inlineStr">
        <is>
          <t>High</t>
        </is>
      </c>
      <c r="AQ24" s="5" t="inlineStr">
        <is>
          <t>Multi-site retailer; Core relevant category; Public email available; Active website; Social presence</t>
        </is>
      </c>
      <c r="AR24" s="5" t="inlineStr">
        <is>
          <t>https://smkd.com/vape-shop-locator/smkd-hebden-bridge-vape-shop-west-end/</t>
        </is>
      </c>
      <c r="AS24" s="5" t="inlineStr">
        <is>
          <t>https://find-and-update.company-information.service.gov.uk/company/16161027</t>
        </is>
      </c>
      <c r="AT24" s="5" t="inlineStr">
        <is>
          <t>3</t>
        </is>
      </c>
      <c r="AU24" s="5" t="inlineStr">
        <is>
          <t>No</t>
        </is>
      </c>
      <c r="AV24" s="5" t="inlineStr">
        <is>
          <t>No</t>
        </is>
      </c>
      <c r="AW24" s="5" t="inlineStr">
        <is>
          <t>No</t>
        </is>
      </c>
      <c r="AX24" s="5" t="inlineStr">
        <is>
          <t>Yes</t>
        </is>
      </c>
      <c r="AY24" s="5" t="inlineStr">
        <is>
          <t>Unverified</t>
        </is>
      </c>
      <c r="AZ24" s="5" t="inlineStr">
        <is>
          <t>Publicly Listed</t>
        </is>
      </c>
      <c r="BA24" s="5" t="inlineStr">
        <is>
          <t>2026-09-16</t>
        </is>
      </c>
      <c r="BB24" s="5" t="inlineStr">
        <is>
          <t>Partially Verified</t>
        </is>
      </c>
      <c r="BC24" s="5" t="inlineStr">
        <is>
          <t>Medium</t>
        </is>
      </c>
      <c r="BD24" s="5" t="inlineStr"/>
      <c r="BE24" s="5" t="inlineStr">
        <is>
          <t>Business (B2B)</t>
        </is>
      </c>
      <c r="BF24" s="5" t="inlineStr">
        <is>
          <t>Legitimate interest (B2B) - assess per campaign; PECR: corporate subscribers</t>
        </is>
      </c>
      <c r="BG24" s="5" t="inlineStr"/>
      <c r="BH24" s="5" t="inlineStr">
        <is>
          <t>No</t>
        </is>
      </c>
      <c r="BI24" s="5" t="inlineStr">
        <is>
          <t>2026-09-16</t>
        </is>
      </c>
      <c r="BJ24" s="5" t="inlineStr">
        <is>
          <t>New</t>
        </is>
      </c>
      <c r="BK24" s="5" t="inlineStr">
        <is>
          <t>2026-09-16</t>
        </is>
      </c>
      <c r="BL24" s="5" t="inlineStr"/>
      <c r="BM24" s="5" t="inlineStr"/>
      <c r="BN24" s="5" t="inlineStr"/>
      <c r="BO24" s="5" t="inlineStr"/>
      <c r="BP24" s="5" t="inlineStr"/>
      <c r="BQ24" s="5" t="inlineStr"/>
    </row>
    <row r="25">
      <c r="A25" s="10" t="inlineStr">
        <is>
          <t>WY-0024</t>
        </is>
      </c>
      <c r="B25" s="10" t="inlineStr">
        <is>
          <t>SMKD-03</t>
        </is>
      </c>
      <c r="C25" s="10" t="inlineStr">
        <is>
          <t>SMKD</t>
        </is>
      </c>
      <c r="D25" s="10" t="inlineStr">
        <is>
          <t>SMKD - E Cigarettes and Vape Shop (Wakefield)</t>
        </is>
      </c>
      <c r="E25" s="10" t="inlineStr">
        <is>
          <t>SMKD</t>
        </is>
      </c>
      <c r="F25" s="10" t="inlineStr">
        <is>
          <t>SMKD Vape Limited</t>
        </is>
      </c>
      <c r="G25" s="10" t="inlineStr">
        <is>
          <t>Vape Shop</t>
        </is>
      </c>
      <c r="H25" s="10" t="inlineStr">
        <is>
          <t>Vape hardware and e-liquid retailer</t>
        </is>
      </c>
      <c r="I25" s="10" t="inlineStr">
        <is>
          <t>Regional Chain</t>
        </is>
      </c>
      <c r="J25" s="10" t="inlineStr"/>
      <c r="K25" s="10" t="inlineStr">
        <is>
          <t>https://smkd.com</t>
        </is>
      </c>
      <c r="L25" s="10" t="inlineStr">
        <is>
          <t>https://www.facebook.com/SmkdVapeShop/</t>
        </is>
      </c>
      <c r="M25" s="10" t="inlineStr"/>
      <c r="N25" s="10" t="inlineStr"/>
      <c r="O25" s="10" t="inlineStr">
        <is>
          <t>Ridings Shopping Centre</t>
        </is>
      </c>
      <c r="P25" s="10" t="inlineStr">
        <is>
          <t>Trinity Walk area, city centre</t>
        </is>
      </c>
      <c r="Q25" s="10" t="inlineStr">
        <is>
          <t>Wakefield</t>
        </is>
      </c>
      <c r="R25" s="10" t="inlineStr">
        <is>
          <t>West Yorkshire</t>
        </is>
      </c>
      <c r="S25" s="10" t="inlineStr">
        <is>
          <t>WF1 1DS</t>
        </is>
      </c>
      <c r="T25" s="10" t="inlineStr">
        <is>
          <t>Yorkshire &amp; Humber</t>
        </is>
      </c>
      <c r="U25" s="10" t="inlineStr">
        <is>
          <t>England</t>
        </is>
      </c>
      <c r="V25" s="10" t="inlineStr">
        <is>
          <t>01924 728100</t>
        </is>
      </c>
      <c r="W25" s="10" t="inlineStr"/>
      <c r="X25" s="10" t="inlineStr"/>
      <c r="Y25" s="10" t="inlineStr">
        <is>
          <t>info@smkd.com</t>
        </is>
      </c>
      <c r="Z25" s="10" t="inlineStr"/>
      <c r="AA25" s="10" t="inlineStr"/>
      <c r="AB25" s="10" t="inlineStr"/>
      <c r="AC25" s="10" t="inlineStr"/>
      <c r="AD25" s="10" t="inlineStr"/>
      <c r="AE25" s="10" t="inlineStr">
        <is>
          <t>16161027</t>
        </is>
      </c>
      <c r="AF25" s="10" t="inlineStr">
        <is>
          <t>Active</t>
        </is>
      </c>
      <c r="AG25" s="10" t="inlineStr">
        <is>
          <t>SMKD VAPE LIMITED</t>
        </is>
      </c>
      <c r="AH25" s="10" t="inlineStr">
        <is>
          <t>Bradford Chamber Business Park, New Lane, Laisterdyke, Bradford, BD4 8BX</t>
        </is>
      </c>
      <c r="AI25" s="10" t="inlineStr">
        <is>
          <t>2025-01-03</t>
        </is>
      </c>
      <c r="AJ25" s="10" t="inlineStr"/>
      <c r="AK25" s="10" t="inlineStr">
        <is>
          <t>vape hardware; e-liquids; disposables</t>
        </is>
      </c>
      <c r="AL25" s="10" t="inlineStr"/>
      <c r="AM25" s="10" t="inlineStr">
        <is>
          <t>Vape Shop</t>
        </is>
      </c>
      <c r="AN25" s="10" t="inlineStr"/>
      <c r="AO25" s="10" t="inlineStr">
        <is>
          <t>Bradford-headquartered regional vape chain. Former SMKD stores at Carlton Lanes Castleford (WF10 1AD) and 4 Horse Fair Pontefract (WF8 1PD) are reported CLOSED; Wakefield Ridings store remains on the smkd.com store locator. Also runs same-day vape delivery covering Castleford/Wakefield (01274 270303). Companies House details taken from CH result surfaced in web search; company page itself could not be fetched (egress blocked). Predecessor entity Smokers Delight Limited reported closed.</t>
        </is>
      </c>
      <c r="AP25" s="10" t="inlineStr">
        <is>
          <t>High</t>
        </is>
      </c>
      <c r="AQ25" s="10" t="inlineStr">
        <is>
          <t>Multi-site retailer; Core relevant category; Public email available; Active website; Social presence</t>
        </is>
      </c>
      <c r="AR25" s="10" t="inlineStr">
        <is>
          <t>https://smkd.com/vape-shop-locator/wakefield-vape-shop-ridings-shopping-centre/</t>
        </is>
      </c>
      <c r="AS25" s="10" t="inlineStr">
        <is>
          <t>https://find-and-update.company-information.service.gov.uk/company/16161027</t>
        </is>
      </c>
      <c r="AT25" s="10" t="inlineStr">
        <is>
          <t>5</t>
        </is>
      </c>
      <c r="AU25" s="10" t="inlineStr">
        <is>
          <t>No</t>
        </is>
      </c>
      <c r="AV25" s="10" t="inlineStr">
        <is>
          <t>No</t>
        </is>
      </c>
      <c r="AW25" s="10" t="inlineStr">
        <is>
          <t>No</t>
        </is>
      </c>
      <c r="AX25" s="10" t="inlineStr">
        <is>
          <t>Yes</t>
        </is>
      </c>
      <c r="AY25" s="10" t="inlineStr">
        <is>
          <t>Verified directory</t>
        </is>
      </c>
      <c r="AZ25" s="10" t="inlineStr">
        <is>
          <t>Unverified</t>
        </is>
      </c>
      <c r="BA25" s="10" t="inlineStr">
        <is>
          <t>2026-09-16</t>
        </is>
      </c>
      <c r="BB25" s="10" t="inlineStr">
        <is>
          <t>Partially Verified</t>
        </is>
      </c>
      <c r="BC25" s="10" t="inlineStr">
        <is>
          <t>Medium</t>
        </is>
      </c>
      <c r="BD25" s="10" t="inlineStr"/>
      <c r="BE25" s="10" t="inlineStr">
        <is>
          <t>Business (B2B)</t>
        </is>
      </c>
      <c r="BF25" s="10" t="inlineStr">
        <is>
          <t>Legitimate interest (B2B) - assess per campaign; PECR: corporate subscribers</t>
        </is>
      </c>
      <c r="BG25" s="10" t="inlineStr"/>
      <c r="BH25" s="10" t="inlineStr">
        <is>
          <t>No</t>
        </is>
      </c>
      <c r="BI25" s="10" t="inlineStr">
        <is>
          <t>2026-09-16</t>
        </is>
      </c>
      <c r="BJ25" s="10" t="inlineStr">
        <is>
          <t>New</t>
        </is>
      </c>
      <c r="BK25" s="10" t="inlineStr">
        <is>
          <t>2026-09-16</t>
        </is>
      </c>
      <c r="BL25" s="10" t="inlineStr"/>
      <c r="BM25" s="10" t="inlineStr"/>
      <c r="BN25" s="10" t="inlineStr"/>
      <c r="BO25" s="10" t="inlineStr"/>
      <c r="BP25" s="10" t="inlineStr"/>
      <c r="BQ25" s="10" t="inlineStr"/>
    </row>
    <row r="26">
      <c r="A26" s="5" t="inlineStr">
        <is>
          <t>WY-0025</t>
        </is>
      </c>
      <c r="B26" s="5" t="inlineStr">
        <is>
          <t>SAVILEPETR-01</t>
        </is>
      </c>
      <c r="C26" s="5" t="inlineStr">
        <is>
          <t>Savile Petroleum Limited</t>
        </is>
      </c>
      <c r="D26" s="5" t="inlineStr">
        <is>
          <t>Dewsbury Service Station (Savile Petroleum)</t>
        </is>
      </c>
      <c r="E26" s="5" t="inlineStr">
        <is>
          <t>Dewsbury Service Station</t>
        </is>
      </c>
      <c r="F26" s="5" t="inlineStr">
        <is>
          <t>Savile Petroleum Limited</t>
        </is>
      </c>
      <c r="G26" s="5" t="inlineStr">
        <is>
          <t>Petrol Station / Forecourt</t>
        </is>
      </c>
      <c r="H26" s="5" t="inlineStr">
        <is>
          <t>BP-branded independent forecourt with convenience store</t>
        </is>
      </c>
      <c r="I26" s="5" t="inlineStr">
        <is>
          <t>Independent</t>
        </is>
      </c>
      <c r="J26" s="5" t="inlineStr">
        <is>
          <t>1</t>
        </is>
      </c>
      <c r="K26" s="5" t="inlineStr"/>
      <c r="L26" s="5" t="inlineStr"/>
      <c r="M26" s="5" t="inlineStr"/>
      <c r="N26" s="5" t="inlineStr"/>
      <c r="O26" s="5" t="inlineStr">
        <is>
          <t>Savile Road</t>
        </is>
      </c>
      <c r="P26" s="5" t="inlineStr">
        <is>
          <t>Savile Town</t>
        </is>
      </c>
      <c r="Q26" s="5" t="inlineStr">
        <is>
          <t>Dewsbury</t>
        </is>
      </c>
      <c r="R26" s="5" t="inlineStr">
        <is>
          <t>West Yorkshire</t>
        </is>
      </c>
      <c r="S26" s="5" t="inlineStr">
        <is>
          <t>WF12 9LR</t>
        </is>
      </c>
      <c r="T26" s="5" t="inlineStr">
        <is>
          <t>Yorkshire &amp; Humber</t>
        </is>
      </c>
      <c r="U26" s="5" t="inlineStr">
        <is>
          <t>England</t>
        </is>
      </c>
      <c r="V26" s="5" t="inlineStr"/>
      <c r="W26" s="5" t="inlineStr"/>
      <c r="X26" s="5" t="inlineStr"/>
      <c r="Y26" s="5" t="inlineStr"/>
      <c r="Z26" s="5" t="inlineStr"/>
      <c r="AA26" s="5" t="inlineStr"/>
      <c r="AB26" s="5" t="inlineStr"/>
      <c r="AC26" s="5" t="inlineStr"/>
      <c r="AD26" s="5" t="inlineStr"/>
      <c r="AE26" s="5" t="inlineStr">
        <is>
          <t>05197700</t>
        </is>
      </c>
      <c r="AF26" s="5" t="inlineStr">
        <is>
          <t>Active</t>
        </is>
      </c>
      <c r="AG26" s="5" t="inlineStr">
        <is>
          <t>SAVILE PETROLEUM LIMITED</t>
        </is>
      </c>
      <c r="AH26" s="5" t="inlineStr">
        <is>
          <t>11 Headfield Road, Dewsbury, West Yorkshire, WF12 9JF</t>
        </is>
      </c>
      <c r="AI26" s="5" t="inlineStr">
        <is>
          <t>2004-08-04</t>
        </is>
      </c>
      <c r="AJ26" s="5" t="inlineStr"/>
      <c r="AK26" s="5" t="inlineStr">
        <is>
          <t>fuel; LPG; AdBlue; convenience goods; tobacco</t>
        </is>
      </c>
      <c r="AL26" s="5" t="inlineStr"/>
      <c r="AM26" s="5" t="inlineStr">
        <is>
          <t>Petrol Station / Forecourt</t>
        </is>
      </c>
      <c r="AN26" s="5" t="inlineStr">
        <is>
          <t>BP fuel supply</t>
        </is>
      </c>
      <c r="AO26" s="5" t="inlineStr">
        <is>
          <t>24/7 BP dealer site with convenience store on Savile Road; operated by independent company Savile Petroleum Limited per directory and Companies House search results.</t>
        </is>
      </c>
      <c r="AP26" s="5" t="inlineStr">
        <is>
          <t>Medium</t>
        </is>
      </c>
      <c r="AQ26" s="5" t="inlineStr">
        <is>
          <t>Multi-site retailer; Independent retailer; Relevant category</t>
        </is>
      </c>
      <c r="AR26" s="5" t="inlineStr">
        <is>
          <t>https://find-and-update.company-information.service.gov.uk/company/05197700</t>
        </is>
      </c>
      <c r="AS26" s="5" t="inlineStr">
        <is>
          <t>https://www.petrolprices.com/locations/dewsbury/savile-road/8720</t>
        </is>
      </c>
      <c r="AT26" s="5" t="inlineStr">
        <is>
          <t>4</t>
        </is>
      </c>
      <c r="AU26" s="5" t="inlineStr">
        <is>
          <t>No</t>
        </is>
      </c>
      <c r="AV26" s="5" t="inlineStr">
        <is>
          <t>No</t>
        </is>
      </c>
      <c r="AW26" s="5" t="inlineStr">
        <is>
          <t>No</t>
        </is>
      </c>
      <c r="AX26" s="5" t="inlineStr">
        <is>
          <t>Yes</t>
        </is>
      </c>
      <c r="AY26" s="5" t="inlineStr">
        <is>
          <t>Not Found</t>
        </is>
      </c>
      <c r="AZ26" s="5" t="inlineStr">
        <is>
          <t>Not Found</t>
        </is>
      </c>
      <c r="BA26" s="5" t="inlineStr">
        <is>
          <t>2026-09-16</t>
        </is>
      </c>
      <c r="BB26" s="5" t="inlineStr">
        <is>
          <t>Partially Verified</t>
        </is>
      </c>
      <c r="BC26" s="5" t="inlineStr">
        <is>
          <t>Medium</t>
        </is>
      </c>
      <c r="BD26" s="5" t="inlineStr"/>
      <c r="BE26" s="5" t="inlineStr">
        <is>
          <t>Business (B2B)</t>
        </is>
      </c>
      <c r="BF26" s="5" t="inlineStr">
        <is>
          <t>Legitimate interest (B2B) - assess per campaign; PECR: corporate subscribers</t>
        </is>
      </c>
      <c r="BG26" s="5" t="inlineStr"/>
      <c r="BH26" s="5" t="inlineStr">
        <is>
          <t>No</t>
        </is>
      </c>
      <c r="BI26" s="5" t="inlineStr">
        <is>
          <t>2026-09-16</t>
        </is>
      </c>
      <c r="BJ26" s="5" t="inlineStr">
        <is>
          <t>New</t>
        </is>
      </c>
      <c r="BK26" s="5" t="inlineStr">
        <is>
          <t>2026-09-16</t>
        </is>
      </c>
      <c r="BL26" s="5" t="inlineStr"/>
      <c r="BM26" s="5" t="inlineStr"/>
      <c r="BN26" s="5" t="inlineStr"/>
      <c r="BO26" s="5" t="inlineStr"/>
      <c r="BP26" s="5" t="inlineStr"/>
      <c r="BQ26" s="5" t="inlineStr"/>
    </row>
    <row r="27">
      <c r="A27" s="10" t="inlineStr">
        <is>
          <t>WY-0026</t>
        </is>
      </c>
      <c r="B27" s="10" t="inlineStr">
        <is>
          <t>SINGKEEFOO-01</t>
        </is>
      </c>
      <c r="C27" s="10" t="inlineStr">
        <is>
          <t>Sing Kee Foods (Sing-Ying Group)</t>
        </is>
      </c>
      <c r="D27" s="10" t="inlineStr">
        <is>
          <t>Sing Kee Foods (Sheepscar)</t>
        </is>
      </c>
      <c r="E27" s="10" t="inlineStr">
        <is>
          <t>Sing Kee Foods</t>
        </is>
      </c>
      <c r="F27" s="10" t="inlineStr">
        <is>
          <t>Sing Kee Food Supply Limited</t>
        </is>
      </c>
      <c r="G27" s="10" t="inlineStr">
        <is>
          <t>Independent Supermarket</t>
        </is>
      </c>
      <c r="H27" s="10" t="inlineStr">
        <is>
          <t>Chinese / Oriental supermarket and catering supplier</t>
        </is>
      </c>
      <c r="I27" s="10" t="inlineStr">
        <is>
          <t>Multi-Site Independent</t>
        </is>
      </c>
      <c r="J27" s="10" t="inlineStr">
        <is>
          <t>2</t>
        </is>
      </c>
      <c r="K27" s="10" t="inlineStr">
        <is>
          <t>https://singkeefoods.co.uk/gb/</t>
        </is>
      </c>
      <c r="L27" s="10" t="inlineStr">
        <is>
          <t>https://www.facebook.com/singkee.chinesesupermarket/</t>
        </is>
      </c>
      <c r="M27" s="10" t="inlineStr"/>
      <c r="N27" s="10" t="inlineStr"/>
      <c r="O27" s="10" t="inlineStr">
        <is>
          <t>Sing Yang Building, 30-36 Cross Stamford Street</t>
        </is>
      </c>
      <c r="P27" s="10" t="inlineStr">
        <is>
          <t>Sheepscar</t>
        </is>
      </c>
      <c r="Q27" s="10" t="inlineStr">
        <is>
          <t>Leeds</t>
        </is>
      </c>
      <c r="R27" s="10" t="inlineStr">
        <is>
          <t>West Yorkshire</t>
        </is>
      </c>
      <c r="S27" s="10" t="inlineStr">
        <is>
          <t>LS7 1BA</t>
        </is>
      </c>
      <c r="T27" s="10" t="inlineStr">
        <is>
          <t>Yorkshire &amp; Humber</t>
        </is>
      </c>
      <c r="U27" s="10" t="inlineStr">
        <is>
          <t>England</t>
        </is>
      </c>
      <c r="V27" s="10" t="inlineStr">
        <is>
          <t>0113 898 0168</t>
        </is>
      </c>
      <c r="W27" s="10" t="inlineStr"/>
      <c r="X27" s="10" t="inlineStr"/>
      <c r="Y27" s="10" t="inlineStr"/>
      <c r="Z27" s="10" t="inlineStr">
        <is>
          <t>wholesale@singkeefoods.co.uk</t>
        </is>
      </c>
      <c r="AA27" s="10" t="inlineStr"/>
      <c r="AB27" s="10" t="inlineStr"/>
      <c r="AC27" s="10" t="inlineStr"/>
      <c r="AD27" s="10" t="inlineStr"/>
      <c r="AE27" s="10" t="inlineStr">
        <is>
          <t>04025779</t>
        </is>
      </c>
      <c r="AF27" s="10" t="inlineStr"/>
      <c r="AG27" s="10" t="inlineStr">
        <is>
          <t>SING KEE FOOD SUPPLY LIMITED</t>
        </is>
      </c>
      <c r="AH27" s="10" t="inlineStr"/>
      <c r="AI27" s="10" t="inlineStr"/>
      <c r="AJ27" s="10" t="inlineStr"/>
      <c r="AK27" s="10" t="inlineStr">
        <is>
          <t>Chinese and East Asian groceries; fresh and frozen foods; catering supply</t>
        </is>
      </c>
      <c r="AL27" s="10" t="inlineStr"/>
      <c r="AM27" s="10" t="inlineStr">
        <is>
          <t>Independent Supermarket</t>
        </is>
      </c>
      <c r="AN27" s="10" t="inlineStr">
        <is>
          <t>Imports from the Far East; supplies catering businesses across the North of England</t>
        </is>
      </c>
      <c r="AO27" s="10" t="inlineStr">
        <is>
          <t>Main Sheepscar site of Sing Kee Foods, part of the Sing-Ying Group. Companies House number seen in CH search result URL; CH site blocked by proxy so status/registered office not captured.</t>
        </is>
      </c>
      <c r="AP27" s="10" t="inlineStr">
        <is>
          <t>High</t>
        </is>
      </c>
      <c r="AQ27" s="10" t="inlineStr">
        <is>
          <t>Multi-site retailer; Independent retailer; Relevant category; Public trade/sales contact; Active website; Social presence</t>
        </is>
      </c>
      <c r="AR27" s="10" t="inlineStr">
        <is>
          <t>https://singkeefoods.com/gb/contact-us</t>
        </is>
      </c>
      <c r="AS27" s="10" t="inlineStr">
        <is>
          <t>https://find-and-update.company-information.service.gov.uk/company/04025779/persons-with-significant-control</t>
        </is>
      </c>
      <c r="AT27" s="10" t="inlineStr">
        <is>
          <t>4</t>
        </is>
      </c>
      <c r="AU27" s="10" t="inlineStr">
        <is>
          <t>No</t>
        </is>
      </c>
      <c r="AV27" s="10" t="inlineStr">
        <is>
          <t>No</t>
        </is>
      </c>
      <c r="AW27" s="10" t="inlineStr">
        <is>
          <t>Yes</t>
        </is>
      </c>
      <c r="AX27" s="10" t="inlineStr">
        <is>
          <t>Yes</t>
        </is>
      </c>
      <c r="AY27" s="10" t="inlineStr">
        <is>
          <t>Verified directory</t>
        </is>
      </c>
      <c r="AZ27" s="10" t="inlineStr">
        <is>
          <t>Website Found</t>
        </is>
      </c>
      <c r="BA27" s="10" t="inlineStr">
        <is>
          <t>2026-09-16</t>
        </is>
      </c>
      <c r="BB27" s="10" t="inlineStr">
        <is>
          <t>Partially Verified</t>
        </is>
      </c>
      <c r="BC27" s="10" t="inlineStr">
        <is>
          <t>Medium</t>
        </is>
      </c>
      <c r="BD27" s="10" t="inlineStr"/>
      <c r="BE27" s="10" t="inlineStr">
        <is>
          <t>Business (B2B)</t>
        </is>
      </c>
      <c r="BF27" s="10" t="inlineStr">
        <is>
          <t>Legitimate interest (B2B) - assess per campaign; PECR: corporate subscribers</t>
        </is>
      </c>
      <c r="BG27" s="10" t="inlineStr"/>
      <c r="BH27" s="10" t="inlineStr">
        <is>
          <t>No</t>
        </is>
      </c>
      <c r="BI27" s="10" t="inlineStr">
        <is>
          <t>2026-09-16</t>
        </is>
      </c>
      <c r="BJ27" s="10" t="inlineStr">
        <is>
          <t>New</t>
        </is>
      </c>
      <c r="BK27" s="10" t="inlineStr">
        <is>
          <t>2026-09-16</t>
        </is>
      </c>
      <c r="BL27" s="10" t="inlineStr"/>
      <c r="BM27" s="10" t="inlineStr"/>
      <c r="BN27" s="10" t="inlineStr"/>
      <c r="BO27" s="10" t="inlineStr"/>
      <c r="BP27" s="10" t="inlineStr"/>
      <c r="BQ27" s="10" t="inlineStr"/>
    </row>
    <row r="28">
      <c r="A28" s="5" t="inlineStr">
        <is>
          <t>WY-0027</t>
        </is>
      </c>
      <c r="B28" s="5" t="inlineStr">
        <is>
          <t>SINGKEEFOO-02</t>
        </is>
      </c>
      <c r="C28" s="5" t="inlineStr">
        <is>
          <t>Sing Kee Foods (Sing-Ying Group)</t>
        </is>
      </c>
      <c r="D28" s="5" t="inlineStr">
        <is>
          <t>Sing Kee Oriental Supermarket (Merrion Centre)</t>
        </is>
      </c>
      <c r="E28" s="5" t="inlineStr">
        <is>
          <t>Sing Kee</t>
        </is>
      </c>
      <c r="F28" s="5" t="inlineStr"/>
      <c r="G28" s="5" t="inlineStr">
        <is>
          <t>Independent Supermarket</t>
        </is>
      </c>
      <c r="H28" s="5" t="inlineStr">
        <is>
          <t>Chinese / Oriental supermarket</t>
        </is>
      </c>
      <c r="I28" s="5" t="inlineStr">
        <is>
          <t>Multi-Site Independent</t>
        </is>
      </c>
      <c r="J28" s="5" t="inlineStr">
        <is>
          <t>2</t>
        </is>
      </c>
      <c r="K28" s="5" t="inlineStr">
        <is>
          <t>https://singkeefoods.co.uk/gb/</t>
        </is>
      </c>
      <c r="L28" s="5" t="inlineStr">
        <is>
          <t>https://www.facebook.com/SingKeeLeedsCentre/</t>
        </is>
      </c>
      <c r="M28" s="5" t="inlineStr"/>
      <c r="N28" s="5" t="inlineStr"/>
      <c r="O28" s="5" t="inlineStr">
        <is>
          <t>26-28 Woodhouse Lane, Merrion Centre</t>
        </is>
      </c>
      <c r="P28" s="5" t="inlineStr">
        <is>
          <t>City Centre</t>
        </is>
      </c>
      <c r="Q28" s="5" t="inlineStr">
        <is>
          <t>Leeds</t>
        </is>
      </c>
      <c r="R28" s="5" t="inlineStr">
        <is>
          <t>West Yorkshire</t>
        </is>
      </c>
      <c r="S28" s="5" t="inlineStr">
        <is>
          <t>LS2 8LX</t>
        </is>
      </c>
      <c r="T28" s="5" t="inlineStr">
        <is>
          <t>Yorkshire &amp; Humber</t>
        </is>
      </c>
      <c r="U28" s="5" t="inlineStr">
        <is>
          <t>England</t>
        </is>
      </c>
      <c r="V28" s="5" t="inlineStr"/>
      <c r="W28" s="5" t="inlineStr"/>
      <c r="X28" s="5" t="inlineStr"/>
      <c r="Y28" s="5" t="inlineStr"/>
      <c r="Z28" s="5" t="inlineStr"/>
      <c r="AA28" s="5" t="inlineStr"/>
      <c r="AB28" s="5" t="inlineStr"/>
      <c r="AC28" s="5" t="inlineStr"/>
      <c r="AD28" s="5" t="inlineStr"/>
      <c r="AE28" s="5" t="inlineStr"/>
      <c r="AF28" s="5" t="inlineStr"/>
      <c r="AG28" s="5" t="inlineStr"/>
      <c r="AH28" s="5" t="inlineStr"/>
      <c r="AI28" s="5" t="inlineStr"/>
      <c r="AJ28" s="5" t="inlineStr"/>
      <c r="AK28" s="5" t="inlineStr">
        <is>
          <t>Chinese and East Asian groceries; fresh and frozen foods</t>
        </is>
      </c>
      <c r="AL28" s="5" t="inlineStr"/>
      <c r="AM28" s="5" t="inlineStr">
        <is>
          <t>Independent Supermarket</t>
        </is>
      </c>
      <c r="AN28" s="5" t="inlineStr">
        <is>
          <t>Sing-Ying Group imports fresh/frozen foods from the Far East</t>
        </is>
      </c>
      <c r="AO28" s="5" t="inlineStr">
        <is>
          <t>City-centre branch of Sing Kee Foods; sister site at Cross Stamford Street, Sheepscar.</t>
        </is>
      </c>
      <c r="AP28" s="5" t="inlineStr">
        <is>
          <t>High</t>
        </is>
      </c>
      <c r="AQ28" s="5" t="inlineStr">
        <is>
          <t>Multi-site retailer; Independent retailer; Relevant category; Active website; Social presence</t>
        </is>
      </c>
      <c r="AR28" s="5" t="inlineStr">
        <is>
          <t>https://singkeefoods.co.uk/gb/stores</t>
        </is>
      </c>
      <c r="AS28" s="5" t="inlineStr">
        <is>
          <t>https://www.merrioncentre.co.uk/units/sing-kee</t>
        </is>
      </c>
      <c r="AT28" s="5" t="inlineStr">
        <is>
          <t>3</t>
        </is>
      </c>
      <c r="AU28" s="5" t="inlineStr">
        <is>
          <t>No</t>
        </is>
      </c>
      <c r="AV28" s="5" t="inlineStr">
        <is>
          <t>No</t>
        </is>
      </c>
      <c r="AW28" s="5" t="inlineStr">
        <is>
          <t>No</t>
        </is>
      </c>
      <c r="AX28" s="5" t="inlineStr">
        <is>
          <t>No</t>
        </is>
      </c>
      <c r="AY28" s="5" t="inlineStr">
        <is>
          <t>Not Found</t>
        </is>
      </c>
      <c r="AZ28" s="5" t="inlineStr">
        <is>
          <t>Website Found</t>
        </is>
      </c>
      <c r="BA28" s="5" t="inlineStr">
        <is>
          <t>2026-09-16</t>
        </is>
      </c>
      <c r="BB28" s="5" t="inlineStr">
        <is>
          <t>Requires Verification</t>
        </is>
      </c>
      <c r="BC28" s="5" t="inlineStr">
        <is>
          <t>Medium</t>
        </is>
      </c>
      <c r="BD28" s="5" t="inlineStr"/>
      <c r="BE28" s="5" t="inlineStr">
        <is>
          <t>Business (B2B)</t>
        </is>
      </c>
      <c r="BF28" s="5" t="inlineStr">
        <is>
          <t>Legitimate interest (B2B) - assess per campaign; PECR: corporate subscribers</t>
        </is>
      </c>
      <c r="BG28" s="5" t="inlineStr"/>
      <c r="BH28" s="5" t="inlineStr">
        <is>
          <t>No</t>
        </is>
      </c>
      <c r="BI28" s="5" t="inlineStr">
        <is>
          <t>2026-09-16</t>
        </is>
      </c>
      <c r="BJ28" s="5" t="inlineStr">
        <is>
          <t>New</t>
        </is>
      </c>
      <c r="BK28" s="5" t="inlineStr">
        <is>
          <t>2026-09-16</t>
        </is>
      </c>
      <c r="BL28" s="5" t="inlineStr"/>
      <c r="BM28" s="5" t="inlineStr"/>
      <c r="BN28" s="5" t="inlineStr"/>
      <c r="BO28" s="5" t="inlineStr"/>
      <c r="BP28" s="5" t="inlineStr"/>
      <c r="BQ28" s="5" t="inlineStr"/>
    </row>
    <row r="29">
      <c r="A29" s="10" t="inlineStr">
        <is>
          <t>WY-0028</t>
        </is>
      </c>
      <c r="B29" s="10" t="inlineStr">
        <is>
          <t>SPEEDPETRO-01</t>
        </is>
      </c>
      <c r="C29" s="10" t="inlineStr">
        <is>
          <t>Speed Petroleum</t>
        </is>
      </c>
      <c r="D29" s="10" t="inlineStr">
        <is>
          <t>Glasshoughton Service Station</t>
        </is>
      </c>
      <c r="E29" s="10" t="inlineStr">
        <is>
          <t>Glasshoughton Service Station (BP / Nisa Local)</t>
        </is>
      </c>
      <c r="F29" s="10" t="inlineStr"/>
      <c r="G29" s="10" t="inlineStr">
        <is>
          <t>Petrol Station / Forecourt</t>
        </is>
      </c>
      <c r="H29" s="10" t="inlineStr">
        <is>
          <t>BP-branded dealer forecourt with Nisa Local shop</t>
        </is>
      </c>
      <c r="I29" s="10" t="inlineStr">
        <is>
          <t>Franchise / Symbol Group</t>
        </is>
      </c>
      <c r="J29" s="10" t="inlineStr">
        <is>
          <t>1</t>
        </is>
      </c>
      <c r="K29" s="10" t="inlineStr">
        <is>
          <t>https://www.nisalocally.co.uk/stores/west-yorkshire/castleford/bp-glasshoughton-ser-st</t>
        </is>
      </c>
      <c r="L29" s="10" t="inlineStr"/>
      <c r="M29" s="10" t="inlineStr"/>
      <c r="N29" s="10" t="inlineStr"/>
      <c r="O29" s="10" t="inlineStr">
        <is>
          <t>Park Road</t>
        </is>
      </c>
      <c r="P29" s="10" t="inlineStr">
        <is>
          <t>Glasshoughton</t>
        </is>
      </c>
      <c r="Q29" s="10" t="inlineStr">
        <is>
          <t>Castleford</t>
        </is>
      </c>
      <c r="R29" s="10" t="inlineStr">
        <is>
          <t>West Yorkshire</t>
        </is>
      </c>
      <c r="S29" s="10" t="inlineStr">
        <is>
          <t>WF10 4RS</t>
        </is>
      </c>
      <c r="T29" s="10" t="inlineStr">
        <is>
          <t>Yorkshire &amp; Humber</t>
        </is>
      </c>
      <c r="U29" s="10" t="inlineStr">
        <is>
          <t>England</t>
        </is>
      </c>
      <c r="V29" s="10" t="inlineStr">
        <is>
          <t>01977 278353</t>
        </is>
      </c>
      <c r="W29" s="10" t="inlineStr"/>
      <c r="X29" s="10" t="inlineStr"/>
      <c r="Y29" s="10" t="inlineStr"/>
      <c r="Z29" s="10" t="inlineStr"/>
      <c r="AA29" s="10" t="inlineStr"/>
      <c r="AB29" s="10" t="inlineStr"/>
      <c r="AC29" s="10" t="inlineStr"/>
      <c r="AD29" s="10" t="inlineStr"/>
      <c r="AE29" s="10" t="inlineStr"/>
      <c r="AF29" s="10" t="inlineStr"/>
      <c r="AG29" s="10" t="inlineStr"/>
      <c r="AH29" s="10" t="inlineStr"/>
      <c r="AI29" s="10" t="inlineStr"/>
      <c r="AJ29" s="10" t="inlineStr"/>
      <c r="AK29" s="10" t="inlineStr">
        <is>
          <t>fuel; convenience grocery; alcohol</t>
        </is>
      </c>
      <c r="AL29" s="10" t="inlineStr"/>
      <c r="AM29" s="10" t="inlineStr">
        <is>
          <t>Petrol Station / Forecourt</t>
        </is>
      </c>
      <c r="AN29" s="10" t="inlineStr">
        <is>
          <t>BP fuel; Nisa Local shop supply</t>
        </is>
      </c>
      <c r="AO29" s="10" t="inlineStr">
        <is>
          <t>24/7 site near M62 J32/Xscape. FSA register lists the shop as 'Nisa Local @ Speed Petroleum', indicating an independent operator (Speed Petroleum) rather than a BP corporate site. Operator company details need Companies House follow-up.</t>
        </is>
      </c>
      <c r="AP29" s="10" t="inlineStr">
        <is>
          <t>Medium</t>
        </is>
      </c>
      <c r="AQ29" s="10" t="inlineStr">
        <is>
          <t>Multi-site retailer; Independent retailer; Relevant category; Active website</t>
        </is>
      </c>
      <c r="AR29" s="10" t="inlineStr">
        <is>
          <t>https://www.nisalocally.co.uk/stores/west-yorkshire/castleford/bp-glasshoughton-ser-st</t>
        </is>
      </c>
      <c r="AS29" s="10" t="inlineStr">
        <is>
          <t>https://www.justoffjunction.co.uk/fuel.php?ServiceID=4621</t>
        </is>
      </c>
      <c r="AT29" s="10" t="inlineStr">
        <is>
          <t>4</t>
        </is>
      </c>
      <c r="AU29" s="10" t="inlineStr">
        <is>
          <t>No</t>
        </is>
      </c>
      <c r="AV29" s="10" t="inlineStr">
        <is>
          <t>No</t>
        </is>
      </c>
      <c r="AW29" s="10" t="inlineStr">
        <is>
          <t>No</t>
        </is>
      </c>
      <c r="AX29" s="10" t="inlineStr">
        <is>
          <t>No</t>
        </is>
      </c>
      <c r="AY29" s="10" t="inlineStr">
        <is>
          <t>Verified directory</t>
        </is>
      </c>
      <c r="AZ29" s="10" t="inlineStr">
        <is>
          <t>Not Found</t>
        </is>
      </c>
      <c r="BA29" s="10" t="inlineStr">
        <is>
          <t>2026-09-16</t>
        </is>
      </c>
      <c r="BB29" s="10" t="inlineStr">
        <is>
          <t>Requires Verification</t>
        </is>
      </c>
      <c r="BC29" s="10" t="inlineStr">
        <is>
          <t>Medium</t>
        </is>
      </c>
      <c r="BD29" s="10" t="inlineStr"/>
      <c r="BE29" s="10" t="inlineStr">
        <is>
          <t>Business (B2B)</t>
        </is>
      </c>
      <c r="BF29" s="10" t="inlineStr">
        <is>
          <t>Legitimate interest (B2B) - assess per campaign; PECR: corporate subscribers</t>
        </is>
      </c>
      <c r="BG29" s="10" t="inlineStr"/>
      <c r="BH29" s="10" t="inlineStr">
        <is>
          <t>No</t>
        </is>
      </c>
      <c r="BI29" s="10" t="inlineStr">
        <is>
          <t>2026-09-16</t>
        </is>
      </c>
      <c r="BJ29" s="10" t="inlineStr">
        <is>
          <t>New</t>
        </is>
      </c>
      <c r="BK29" s="10" t="inlineStr">
        <is>
          <t>2026-09-16</t>
        </is>
      </c>
      <c r="BL29" s="10" t="inlineStr"/>
      <c r="BM29" s="10" t="inlineStr"/>
      <c r="BN29" s="10" t="inlineStr"/>
      <c r="BO29" s="10" t="inlineStr"/>
      <c r="BP29" s="10" t="inlineStr"/>
      <c r="BQ29" s="10" t="inlineStr"/>
    </row>
    <row r="30">
      <c r="A30" s="5" t="inlineStr">
        <is>
          <t>WY-0029</t>
        </is>
      </c>
      <c r="B30" s="5" t="inlineStr">
        <is>
          <t>TBCASHCARR-01</t>
        </is>
      </c>
      <c r="C30" s="5" t="inlineStr">
        <is>
          <t>TB Cash &amp; Carry</t>
        </is>
      </c>
      <c r="D30" s="5" t="inlineStr">
        <is>
          <t>TB Cash &amp; Carry (Bradford)</t>
        </is>
      </c>
      <c r="E30" s="5" t="inlineStr">
        <is>
          <t>TB Cash &amp; Carry</t>
        </is>
      </c>
      <c r="F30" s="5" t="inlineStr"/>
      <c r="G30" s="5" t="inlineStr">
        <is>
          <t>Cash &amp; Carry</t>
        </is>
      </c>
      <c r="H30" s="5" t="inlineStr">
        <is>
          <t>Confectionery, soft drinks, crisps &amp; snacks wholesaler</t>
        </is>
      </c>
      <c r="I30" s="5" t="inlineStr">
        <is>
          <t>Multi-Site Independent</t>
        </is>
      </c>
      <c r="J30" s="5" t="inlineStr">
        <is>
          <t>2</t>
        </is>
      </c>
      <c r="K30" s="5" t="inlineStr">
        <is>
          <t>https://tbcashandcarry.co.uk/</t>
        </is>
      </c>
      <c r="L30" s="5" t="inlineStr">
        <is>
          <t>https://www.facebook.com/p/TB-Cash-Carry-100077147298501/</t>
        </is>
      </c>
      <c r="M30" s="5" t="inlineStr"/>
      <c r="N30" s="5" t="inlineStr"/>
      <c r="O30" s="5" t="inlineStr">
        <is>
          <t>91 Legrams Lane</t>
        </is>
      </c>
      <c r="P30" s="5" t="inlineStr"/>
      <c r="Q30" s="5" t="inlineStr">
        <is>
          <t>Bradford</t>
        </is>
      </c>
      <c r="R30" s="5" t="inlineStr">
        <is>
          <t>West Yorkshire</t>
        </is>
      </c>
      <c r="S30" s="5" t="inlineStr">
        <is>
          <t>BD7 1NH</t>
        </is>
      </c>
      <c r="T30" s="5" t="inlineStr">
        <is>
          <t>Yorkshire &amp; Humber</t>
        </is>
      </c>
      <c r="U30" s="5" t="inlineStr">
        <is>
          <t>England</t>
        </is>
      </c>
      <c r="V30" s="5" t="inlineStr">
        <is>
          <t>01274 740555</t>
        </is>
      </c>
      <c r="W30" s="5" t="inlineStr"/>
      <c r="X30" s="5" t="inlineStr"/>
      <c r="Y30" s="5" t="inlineStr">
        <is>
          <t>info@tbcashandcarry.co.uk</t>
        </is>
      </c>
      <c r="Z30" s="5" t="inlineStr"/>
      <c r="AA30" s="5" t="inlineStr"/>
      <c r="AB30" s="5" t="inlineStr"/>
      <c r="AC30" s="5" t="inlineStr"/>
      <c r="AD30" s="5" t="inlineStr"/>
      <c r="AE30" s="5" t="inlineStr"/>
      <c r="AF30" s="5" t="inlineStr"/>
      <c r="AG30" s="5" t="inlineStr"/>
      <c r="AH30" s="5" t="inlineStr"/>
      <c r="AI30" s="5" t="inlineStr"/>
      <c r="AJ30" s="5" t="inlineStr"/>
      <c r="AK30" s="5" t="inlineStr">
        <is>
          <t>confectionery; soft drinks; crisps &amp; snacks</t>
        </is>
      </c>
      <c r="AL30" s="5" t="inlineStr"/>
      <c r="AM30" s="5" t="inlineStr">
        <is>
          <t>Cash &amp; Carry</t>
        </is>
      </c>
      <c r="AN30" s="5" t="inlineStr"/>
      <c r="AO30" s="5" t="inlineStr">
        <is>
          <t>Bradford branch of TB Cash &amp; Carry (2 sites; see Leeds record). Secondary phone 01274 741330. An older directory entry (Gazette directory) lists 30 Summerville Road, Bradford - Yell and TouchBradford list 91 Legrams Lane BD7 1NH, which is used here; the discrepancy suggests a past relocation and should be re-verified.</t>
        </is>
      </c>
      <c r="AP30" s="5" t="inlineStr">
        <is>
          <t>High</t>
        </is>
      </c>
      <c r="AQ30" s="5" t="inlineStr">
        <is>
          <t>Multi-site retailer; Independent retailer; Core relevant category; Public email available; Active website; Social presence</t>
        </is>
      </c>
      <c r="AR30" s="5" t="inlineStr">
        <is>
          <t>https://tbcashandcarry.co.uk/</t>
        </is>
      </c>
      <c r="AS30" s="5" t="inlineStr">
        <is>
          <t>https://www.yell.com/biz/t-b-cash-and-carry-bradford-949082/</t>
        </is>
      </c>
      <c r="AT30" s="5" t="inlineStr">
        <is>
          <t>3</t>
        </is>
      </c>
      <c r="AU30" s="5" t="inlineStr">
        <is>
          <t>Yes</t>
        </is>
      </c>
      <c r="AV30" s="5" t="inlineStr">
        <is>
          <t>No</t>
        </is>
      </c>
      <c r="AW30" s="5" t="inlineStr">
        <is>
          <t>No</t>
        </is>
      </c>
      <c r="AX30" s="5" t="inlineStr">
        <is>
          <t>Yes</t>
        </is>
      </c>
      <c r="AY30" s="5" t="inlineStr">
        <is>
          <t>Verified directory</t>
        </is>
      </c>
      <c r="AZ30" s="5" t="inlineStr">
        <is>
          <t>Unverified</t>
        </is>
      </c>
      <c r="BA30" s="5" t="inlineStr">
        <is>
          <t>2026-09-16</t>
        </is>
      </c>
      <c r="BB30" s="5" t="inlineStr">
        <is>
          <t>Verified (website + Companies House)</t>
        </is>
      </c>
      <c r="BC30" s="5" t="inlineStr">
        <is>
          <t>Medium</t>
        </is>
      </c>
      <c r="BD30" s="5" t="inlineStr"/>
      <c r="BE30" s="5" t="inlineStr">
        <is>
          <t>Business (B2B)</t>
        </is>
      </c>
      <c r="BF30" s="5" t="inlineStr">
        <is>
          <t>Legitimate interest (B2B) - assess per campaign; PECR: corporate subscribers</t>
        </is>
      </c>
      <c r="BG30" s="5" t="inlineStr"/>
      <c r="BH30" s="5" t="inlineStr">
        <is>
          <t>No</t>
        </is>
      </c>
      <c r="BI30" s="5" t="inlineStr">
        <is>
          <t>2026-09-16</t>
        </is>
      </c>
      <c r="BJ30" s="5" t="inlineStr">
        <is>
          <t>New</t>
        </is>
      </c>
      <c r="BK30" s="5" t="inlineStr">
        <is>
          <t>2026-09-16</t>
        </is>
      </c>
      <c r="BL30" s="5" t="inlineStr"/>
      <c r="BM30" s="5" t="inlineStr"/>
      <c r="BN30" s="5" t="inlineStr"/>
      <c r="BO30" s="5" t="inlineStr"/>
      <c r="BP30" s="5" t="inlineStr"/>
      <c r="BQ30" s="5" t="inlineStr"/>
    </row>
    <row r="31">
      <c r="A31" s="10" t="inlineStr">
        <is>
          <t>WY-0030</t>
        </is>
      </c>
      <c r="B31" s="10" t="inlineStr">
        <is>
          <t>TBCASHCARR-02</t>
        </is>
      </c>
      <c r="C31" s="10" t="inlineStr">
        <is>
          <t>TB Cash &amp; Carry</t>
        </is>
      </c>
      <c r="D31" s="10" t="inlineStr">
        <is>
          <t>TB Cash &amp; Carry (Leeds)</t>
        </is>
      </c>
      <c r="E31" s="10" t="inlineStr">
        <is>
          <t>TB Cash &amp; Carry</t>
        </is>
      </c>
      <c r="F31" s="10" t="inlineStr"/>
      <c r="G31" s="10" t="inlineStr">
        <is>
          <t>Cash &amp; Carry</t>
        </is>
      </c>
      <c r="H31" s="10" t="inlineStr">
        <is>
          <t>Confectionery, soft drinks, crisps &amp; snacks wholesaler</t>
        </is>
      </c>
      <c r="I31" s="10" t="inlineStr">
        <is>
          <t>Multi-Site Independent</t>
        </is>
      </c>
      <c r="J31" s="10" t="inlineStr">
        <is>
          <t>2</t>
        </is>
      </c>
      <c r="K31" s="10" t="inlineStr">
        <is>
          <t>https://tbcashandcarry.co.uk/</t>
        </is>
      </c>
      <c r="L31" s="10" t="inlineStr">
        <is>
          <t>https://www.facebook.com/p/TB-Cash-Carry-100064390671766/</t>
        </is>
      </c>
      <c r="M31" s="10" t="inlineStr"/>
      <c r="N31" s="10" t="inlineStr"/>
      <c r="O31" s="10" t="inlineStr">
        <is>
          <t>90 Gelderd Road</t>
        </is>
      </c>
      <c r="P31" s="10" t="inlineStr"/>
      <c r="Q31" s="10" t="inlineStr">
        <is>
          <t>Leeds</t>
        </is>
      </c>
      <c r="R31" s="10" t="inlineStr">
        <is>
          <t>West Yorkshire</t>
        </is>
      </c>
      <c r="S31" s="10" t="inlineStr">
        <is>
          <t>LS12 6HD</t>
        </is>
      </c>
      <c r="T31" s="10" t="inlineStr">
        <is>
          <t>Yorkshire &amp; Humber</t>
        </is>
      </c>
      <c r="U31" s="10" t="inlineStr">
        <is>
          <t>England</t>
        </is>
      </c>
      <c r="V31" s="10" t="inlineStr">
        <is>
          <t>0113 245 1454</t>
        </is>
      </c>
      <c r="W31" s="10" t="inlineStr"/>
      <c r="X31" s="10" t="inlineStr"/>
      <c r="Y31" s="10" t="inlineStr">
        <is>
          <t>info@tbcashandcarry.co.uk</t>
        </is>
      </c>
      <c r="Z31" s="10" t="inlineStr"/>
      <c r="AA31" s="10" t="inlineStr"/>
      <c r="AB31" s="10" t="inlineStr"/>
      <c r="AC31" s="10" t="inlineStr"/>
      <c r="AD31" s="10" t="inlineStr"/>
      <c r="AE31" s="10" t="inlineStr"/>
      <c r="AF31" s="10" t="inlineStr"/>
      <c r="AG31" s="10" t="inlineStr"/>
      <c r="AH31" s="10" t="inlineStr"/>
      <c r="AI31" s="10" t="inlineStr"/>
      <c r="AJ31" s="10" t="inlineStr"/>
      <c r="AK31" s="10" t="inlineStr">
        <is>
          <t>confectionery; soft drinks; crisps &amp; snacks</t>
        </is>
      </c>
      <c r="AL31" s="10" t="inlineStr"/>
      <c r="AM31" s="10" t="inlineStr">
        <is>
          <t>Cash &amp; Carry</t>
        </is>
      </c>
      <c r="AN31" s="10" t="inlineStr"/>
      <c r="AO31" s="10" t="inlineStr">
        <is>
          <t>Established 1985; independent cash &amp; carry with stores in Leeds and Bradford. Email info@tbcashandcarry.co.uk appears in the Dun &amp; Bradstreet company profile and business directories (matches own domain) but could not be confirmed on the website itself because direct fetch was blocked - marked Unverified. Companies House search did not conclusively identify the registered entity (candidate 'T B LEEDS LIMITED' 13393099 not confirmed as the same business, so not recorded).</t>
        </is>
      </c>
      <c r="AP31" s="10" t="inlineStr">
        <is>
          <t>High</t>
        </is>
      </c>
      <c r="AQ31" s="10" t="inlineStr">
        <is>
          <t>Multi-site retailer; Independent retailer; Core relevant category; Public email available; Active website; Social presence</t>
        </is>
      </c>
      <c r="AR31" s="10" t="inlineStr">
        <is>
          <t>https://tbcashandcarry.co.uk/</t>
        </is>
      </c>
      <c r="AS31" s="10" t="inlineStr">
        <is>
          <t>https://www.thomsonlocal.com/search/cash-carry-wholesalers/leeds/t-b-cash-carry/1798109/01132451454</t>
        </is>
      </c>
      <c r="AT31" s="10" t="inlineStr">
        <is>
          <t>3</t>
        </is>
      </c>
      <c r="AU31" s="10" t="inlineStr">
        <is>
          <t>Yes</t>
        </is>
      </c>
      <c r="AV31" s="10" t="inlineStr">
        <is>
          <t>No</t>
        </is>
      </c>
      <c r="AW31" s="10" t="inlineStr">
        <is>
          <t>No</t>
        </is>
      </c>
      <c r="AX31" s="10" t="inlineStr">
        <is>
          <t>Yes</t>
        </is>
      </c>
      <c r="AY31" s="10" t="inlineStr">
        <is>
          <t>Verified directory</t>
        </is>
      </c>
      <c r="AZ31" s="10" t="inlineStr">
        <is>
          <t>Unverified</t>
        </is>
      </c>
      <c r="BA31" s="10" t="inlineStr">
        <is>
          <t>2026-09-16</t>
        </is>
      </c>
      <c r="BB31" s="10" t="inlineStr">
        <is>
          <t>Verified (website + Companies House)</t>
        </is>
      </c>
      <c r="BC31" s="10" t="inlineStr">
        <is>
          <t>Medium</t>
        </is>
      </c>
      <c r="BD31" s="10" t="inlineStr"/>
      <c r="BE31" s="10" t="inlineStr">
        <is>
          <t>Business (B2B)</t>
        </is>
      </c>
      <c r="BF31" s="10" t="inlineStr">
        <is>
          <t>Legitimate interest (B2B) - assess per campaign; PECR: corporate subscribers</t>
        </is>
      </c>
      <c r="BG31" s="10" t="inlineStr"/>
      <c r="BH31" s="10" t="inlineStr">
        <is>
          <t>No</t>
        </is>
      </c>
      <c r="BI31" s="10" t="inlineStr">
        <is>
          <t>2026-09-16</t>
        </is>
      </c>
      <c r="BJ31" s="10" t="inlineStr">
        <is>
          <t>New</t>
        </is>
      </c>
      <c r="BK31" s="10" t="inlineStr">
        <is>
          <t>2026-09-16</t>
        </is>
      </c>
      <c r="BL31" s="10" t="inlineStr"/>
      <c r="BM31" s="10" t="inlineStr"/>
      <c r="BN31" s="10" t="inlineStr"/>
      <c r="BO31" s="10" t="inlineStr"/>
      <c r="BP31" s="10" t="inlineStr"/>
      <c r="BQ31" s="10" t="inlineStr"/>
    </row>
    <row r="32">
      <c r="A32" s="5" t="inlineStr">
        <is>
          <t>WY-0031</t>
        </is>
      </c>
      <c r="B32" s="5" t="inlineStr">
        <is>
          <t>THEVAPECEN-01</t>
        </is>
      </c>
      <c r="C32" s="5" t="inlineStr">
        <is>
          <t>The Vape Centre</t>
        </is>
      </c>
      <c r="D32" s="5" t="inlineStr">
        <is>
          <t>The Vape Centre (Wetherby)</t>
        </is>
      </c>
      <c r="E32" s="5" t="inlineStr">
        <is>
          <t>The Vape Centre</t>
        </is>
      </c>
      <c r="F32" s="5" t="inlineStr">
        <is>
          <t>Vape Centre Wetherby Ltd</t>
        </is>
      </c>
      <c r="G32" s="5" t="inlineStr">
        <is>
          <t>Vape Shop</t>
        </is>
      </c>
      <c r="H32" s="5" t="inlineStr"/>
      <c r="I32" s="5" t="inlineStr">
        <is>
          <t>Multi-Site Independent</t>
        </is>
      </c>
      <c r="J32" s="5" t="inlineStr">
        <is>
          <t>2</t>
        </is>
      </c>
      <c r="K32" s="5" t="inlineStr">
        <is>
          <t>http://www.thevapecentre.co.uk/</t>
        </is>
      </c>
      <c r="L32" s="5" t="inlineStr"/>
      <c r="M32" s="5" t="inlineStr"/>
      <c r="N32" s="5" t="inlineStr"/>
      <c r="O32" s="5" t="inlineStr">
        <is>
          <t>16 Market Place</t>
        </is>
      </c>
      <c r="P32" s="5" t="inlineStr"/>
      <c r="Q32" s="5" t="inlineStr">
        <is>
          <t>Wetherby</t>
        </is>
      </c>
      <c r="R32" s="5" t="inlineStr">
        <is>
          <t>West Yorkshire</t>
        </is>
      </c>
      <c r="S32" s="5" t="inlineStr">
        <is>
          <t>LS22 6NE</t>
        </is>
      </c>
      <c r="T32" s="5" t="inlineStr">
        <is>
          <t>Yorkshire &amp; Humber</t>
        </is>
      </c>
      <c r="U32" s="5" t="inlineStr">
        <is>
          <t>England</t>
        </is>
      </c>
      <c r="V32" s="5" t="inlineStr">
        <is>
          <t>07388 892397</t>
        </is>
      </c>
      <c r="W32" s="5" t="inlineStr"/>
      <c r="X32" s="5" t="inlineStr"/>
      <c r="Y32" s="5" t="inlineStr"/>
      <c r="Z32" s="5" t="inlineStr"/>
      <c r="AA32" s="5" t="inlineStr"/>
      <c r="AB32" s="5" t="inlineStr"/>
      <c r="AC32" s="5" t="inlineStr"/>
      <c r="AD32" s="5" t="inlineStr"/>
      <c r="AE32" s="5" t="inlineStr"/>
      <c r="AF32" s="5" t="inlineStr"/>
      <c r="AG32" s="5" t="inlineStr"/>
      <c r="AH32" s="5" t="inlineStr"/>
      <c r="AI32" s="5" t="inlineStr"/>
      <c r="AJ32" s="5" t="inlineStr"/>
      <c r="AK32" s="5" t="inlineStr">
        <is>
          <t>vape hardware; e-liquids</t>
        </is>
      </c>
      <c r="AL32" s="5" t="inlineStr"/>
      <c r="AM32" s="5" t="inlineStr">
        <is>
          <t>Vape Shop</t>
        </is>
      </c>
      <c r="AN32" s="5" t="inlineStr"/>
      <c r="AO32" s="5" t="inlineStr">
        <is>
          <t>Second branch at 2 Gillygate, York (The Vape Centre York/Wetherby). Legal name 'Vape Centre Wetherby Ltd' per Cylex listing title - not yet verified at Companies House (CH site blocked by network proxy this session).</t>
        </is>
      </c>
      <c r="AP32" s="5" t="inlineStr">
        <is>
          <t>High</t>
        </is>
      </c>
      <c r="AQ32" s="5" t="inlineStr">
        <is>
          <t>Multi-site retailer; Independent retailer; Core relevant category; Active website</t>
        </is>
      </c>
      <c r="AR32" s="5" t="inlineStr">
        <is>
          <t>https://wetherbytowncouncil.gov.uk/our-businesses/vape-centre/</t>
        </is>
      </c>
      <c r="AS32" s="5" t="inlineStr">
        <is>
          <t>https://www.wegetyoufound.co.uk/listings/the-vape-centre/wetherby/vaporizer-store</t>
        </is>
      </c>
      <c r="AT32" s="5" t="inlineStr">
        <is>
          <t>3</t>
        </is>
      </c>
      <c r="AU32" s="5" t="inlineStr">
        <is>
          <t>No</t>
        </is>
      </c>
      <c r="AV32" s="5" t="inlineStr">
        <is>
          <t>No</t>
        </is>
      </c>
      <c r="AW32" s="5" t="inlineStr">
        <is>
          <t>No</t>
        </is>
      </c>
      <c r="AX32" s="5" t="inlineStr">
        <is>
          <t>No</t>
        </is>
      </c>
      <c r="AY32" s="5" t="inlineStr">
        <is>
          <t>Verified directory</t>
        </is>
      </c>
      <c r="AZ32" s="5" t="inlineStr">
        <is>
          <t>Website Found</t>
        </is>
      </c>
      <c r="BA32" s="5" t="inlineStr">
        <is>
          <t>2026-09-16</t>
        </is>
      </c>
      <c r="BB32" s="5" t="inlineStr">
        <is>
          <t>Requires Verification</t>
        </is>
      </c>
      <c r="BC32" s="5" t="inlineStr">
        <is>
          <t>Medium</t>
        </is>
      </c>
      <c r="BD32" s="5" t="inlineStr"/>
      <c r="BE32" s="5" t="inlineStr">
        <is>
          <t>Business (B2B)</t>
        </is>
      </c>
      <c r="BF32" s="5" t="inlineStr">
        <is>
          <t>Legitimate interest (B2B) - assess per campaign; PECR: corporate subscribers</t>
        </is>
      </c>
      <c r="BG32" s="5" t="inlineStr"/>
      <c r="BH32" s="5" t="inlineStr">
        <is>
          <t>No</t>
        </is>
      </c>
      <c r="BI32" s="5" t="inlineStr">
        <is>
          <t>2026-09-16</t>
        </is>
      </c>
      <c r="BJ32" s="5" t="inlineStr">
        <is>
          <t>New</t>
        </is>
      </c>
      <c r="BK32" s="5" t="inlineStr">
        <is>
          <t>2026-09-16</t>
        </is>
      </c>
      <c r="BL32" s="5" t="inlineStr"/>
      <c r="BM32" s="5" t="inlineStr"/>
      <c r="BN32" s="5" t="inlineStr"/>
      <c r="BO32" s="5" t="inlineStr"/>
      <c r="BP32" s="5" t="inlineStr"/>
      <c r="BQ32" s="5" t="inlineStr"/>
    </row>
    <row r="33">
      <c r="A33" s="10" t="inlineStr">
        <is>
          <t>WY-0032</t>
        </is>
      </c>
      <c r="B33" s="10" t="inlineStr">
        <is>
          <t>TOTALLYWIC-01</t>
        </is>
      </c>
      <c r="C33" s="10" t="inlineStr">
        <is>
          <t>Totally Wicked</t>
        </is>
      </c>
      <c r="D33" s="10" t="inlineStr">
        <is>
          <t>Totally Wicked</t>
        </is>
      </c>
      <c r="E33" s="10" t="inlineStr">
        <is>
          <t>Totally Wicked Brighouse</t>
        </is>
      </c>
      <c r="F33" s="10" t="inlineStr"/>
      <c r="G33" s="10" t="inlineStr">
        <is>
          <t>Vape Shop</t>
        </is>
      </c>
      <c r="H33" s="10" t="inlineStr">
        <is>
          <t>E-cigarette and e-liquid chain store</t>
        </is>
      </c>
      <c r="I33" s="10" t="inlineStr">
        <is>
          <t>National Chain</t>
        </is>
      </c>
      <c r="J33" s="10" t="inlineStr"/>
      <c r="K33" s="10" t="inlineStr"/>
      <c r="L33" s="10" t="inlineStr"/>
      <c r="M33" s="10" t="inlineStr"/>
      <c r="N33" s="10" t="inlineStr"/>
      <c r="O33" s="10" t="inlineStr">
        <is>
          <t>53-55 Bethel Street</t>
        </is>
      </c>
      <c r="P33" s="10" t="inlineStr"/>
      <c r="Q33" s="10" t="inlineStr">
        <is>
          <t>Brighouse</t>
        </is>
      </c>
      <c r="R33" s="10" t="inlineStr">
        <is>
          <t>West Yorkshire</t>
        </is>
      </c>
      <c r="S33" s="10" t="inlineStr">
        <is>
          <t>HD6 1JR</t>
        </is>
      </c>
      <c r="T33" s="10" t="inlineStr">
        <is>
          <t>Yorkshire &amp; Humber</t>
        </is>
      </c>
      <c r="U33" s="10" t="inlineStr">
        <is>
          <t>England</t>
        </is>
      </c>
      <c r="V33" s="10" t="inlineStr">
        <is>
          <t>01484 769431</t>
        </is>
      </c>
      <c r="W33" s="10" t="inlineStr"/>
      <c r="X33" s="10" t="inlineStr"/>
      <c r="Y33" s="10" t="inlineStr"/>
      <c r="Z33" s="10" t="inlineStr"/>
      <c r="AA33" s="10" t="inlineStr"/>
      <c r="AB33" s="10" t="inlineStr"/>
      <c r="AC33" s="10" t="inlineStr"/>
      <c r="AD33" s="10" t="inlineStr"/>
      <c r="AE33" s="10" t="inlineStr"/>
      <c r="AF33" s="10" t="inlineStr"/>
      <c r="AG33" s="10" t="inlineStr"/>
      <c r="AH33" s="10" t="inlineStr"/>
      <c r="AI33" s="10" t="inlineStr"/>
      <c r="AJ33" s="10" t="inlineStr">
        <is>
          <t>Totally Wicked</t>
        </is>
      </c>
      <c r="AK33" s="10" t="inlineStr">
        <is>
          <t>vape hardware; e-liquids; disposables</t>
        </is>
      </c>
      <c r="AL33" s="10" t="inlineStr"/>
      <c r="AM33" s="10" t="inlineStr">
        <is>
          <t>Vape Shop</t>
        </is>
      </c>
      <c r="AN33" s="10" t="inlineStr"/>
      <c r="AO33" s="10" t="inlineStr">
        <is>
          <t>Some Totally Wicked branded stores are franchised; ownership of this branch not established.</t>
        </is>
      </c>
      <c r="AP33" s="10" t="inlineStr">
        <is>
          <t>Medium</t>
        </is>
      </c>
      <c r="AQ33" s="10" t="inlineStr">
        <is>
          <t>Multi-site retailer; Core relevant category</t>
        </is>
      </c>
      <c r="AR33" s="10" t="inlineStr">
        <is>
          <t>https://brighouse.cylex-uk.co.uk/vape-shops/</t>
        </is>
      </c>
      <c r="AS33" s="10" t="inlineStr"/>
      <c r="AT33" s="10" t="inlineStr">
        <is>
          <t>1</t>
        </is>
      </c>
      <c r="AU33" s="10" t="inlineStr">
        <is>
          <t>No</t>
        </is>
      </c>
      <c r="AV33" s="10" t="inlineStr">
        <is>
          <t>No</t>
        </is>
      </c>
      <c r="AW33" s="10" t="inlineStr">
        <is>
          <t>No</t>
        </is>
      </c>
      <c r="AX33" s="10" t="inlineStr">
        <is>
          <t>No</t>
        </is>
      </c>
      <c r="AY33" s="10" t="inlineStr">
        <is>
          <t>Verified directory</t>
        </is>
      </c>
      <c r="AZ33" s="10" t="inlineStr">
        <is>
          <t>Not Found</t>
        </is>
      </c>
      <c r="BA33" s="10" t="inlineStr">
        <is>
          <t>2026-09-16</t>
        </is>
      </c>
      <c r="BB33" s="10" t="inlineStr">
        <is>
          <t>Requires Verification</t>
        </is>
      </c>
      <c r="BC33" s="10" t="inlineStr">
        <is>
          <t>Medium</t>
        </is>
      </c>
      <c r="BD33" s="10" t="inlineStr"/>
      <c r="BE33" s="10" t="inlineStr">
        <is>
          <t>Business (B2B)</t>
        </is>
      </c>
      <c r="BF33" s="10" t="inlineStr">
        <is>
          <t>Legitimate interest (B2B) - assess per campaign; PECR: corporate subscribers</t>
        </is>
      </c>
      <c r="BG33" s="10" t="inlineStr"/>
      <c r="BH33" s="10" t="inlineStr">
        <is>
          <t>No</t>
        </is>
      </c>
      <c r="BI33" s="10" t="inlineStr">
        <is>
          <t>2026-09-16</t>
        </is>
      </c>
      <c r="BJ33" s="10" t="inlineStr">
        <is>
          <t>New</t>
        </is>
      </c>
      <c r="BK33" s="10" t="inlineStr">
        <is>
          <t>2026-09-16</t>
        </is>
      </c>
      <c r="BL33" s="10" t="inlineStr"/>
      <c r="BM33" s="10" t="inlineStr"/>
      <c r="BN33" s="10" t="inlineStr"/>
      <c r="BO33" s="10" t="inlineStr"/>
      <c r="BP33" s="10" t="inlineStr"/>
      <c r="BQ33" s="10" t="inlineStr"/>
    </row>
    <row r="34">
      <c r="A34" s="5" t="inlineStr">
        <is>
          <t>WY-0033</t>
        </is>
      </c>
      <c r="B34" s="5" t="inlineStr">
        <is>
          <t>TOTALLYWIC-02</t>
        </is>
      </c>
      <c r="C34" s="5" t="inlineStr">
        <is>
          <t>Totally Wicked</t>
        </is>
      </c>
      <c r="D34" s="5" t="inlineStr">
        <is>
          <t>Totally Wicked</t>
        </is>
      </c>
      <c r="E34" s="5" t="inlineStr">
        <is>
          <t>Totally Wicked Halifax</t>
        </is>
      </c>
      <c r="F34" s="5" t="inlineStr"/>
      <c r="G34" s="5" t="inlineStr">
        <is>
          <t>Vape Shop</t>
        </is>
      </c>
      <c r="H34" s="5" t="inlineStr">
        <is>
          <t>E-cigarette and e-liquid chain store</t>
        </is>
      </c>
      <c r="I34" s="5" t="inlineStr">
        <is>
          <t>National Chain</t>
        </is>
      </c>
      <c r="J34" s="5" t="inlineStr"/>
      <c r="K34" s="5" t="inlineStr">
        <is>
          <t>https://www.totallywicked-eliquid.co.uk/stores/halifax-e-cigs-e-liquid-shop</t>
        </is>
      </c>
      <c r="L34" s="5" t="inlineStr"/>
      <c r="M34" s="5" t="inlineStr"/>
      <c r="N34" s="5" t="inlineStr"/>
      <c r="O34" s="5" t="inlineStr">
        <is>
          <t>10 Commercial Street</t>
        </is>
      </c>
      <c r="P34" s="5" t="inlineStr"/>
      <c r="Q34" s="5" t="inlineStr">
        <is>
          <t>Halifax</t>
        </is>
      </c>
      <c r="R34" s="5" t="inlineStr">
        <is>
          <t>West Yorkshire</t>
        </is>
      </c>
      <c r="S34" s="5" t="inlineStr">
        <is>
          <t>HX1 1TA</t>
        </is>
      </c>
      <c r="T34" s="5" t="inlineStr">
        <is>
          <t>Yorkshire &amp; Humber</t>
        </is>
      </c>
      <c r="U34" s="5" t="inlineStr">
        <is>
          <t>England</t>
        </is>
      </c>
      <c r="V34" s="5" t="inlineStr">
        <is>
          <t>01422 320223</t>
        </is>
      </c>
      <c r="W34" s="5" t="inlineStr"/>
      <c r="X34" s="5" t="inlineStr"/>
      <c r="Y34" s="5" t="inlineStr"/>
      <c r="Z34" s="5" t="inlineStr"/>
      <c r="AA34" s="5" t="inlineStr"/>
      <c r="AB34" s="5" t="inlineStr"/>
      <c r="AC34" s="5" t="inlineStr"/>
      <c r="AD34" s="5" t="inlineStr"/>
      <c r="AE34" s="5" t="inlineStr"/>
      <c r="AF34" s="5" t="inlineStr"/>
      <c r="AG34" s="5" t="inlineStr"/>
      <c r="AH34" s="5" t="inlineStr"/>
      <c r="AI34" s="5" t="inlineStr"/>
      <c r="AJ34" s="5" t="inlineStr">
        <is>
          <t>Totally Wicked; Lost Mary; Elf Bar</t>
        </is>
      </c>
      <c r="AK34" s="5" t="inlineStr">
        <is>
          <t>vape hardware; e-liquids; disposables</t>
        </is>
      </c>
      <c r="AL34" s="5" t="inlineStr"/>
      <c r="AM34" s="5" t="inlineStr">
        <is>
          <t>Vape Shop</t>
        </is>
      </c>
      <c r="AN34" s="5" t="inlineStr"/>
      <c r="AO34" s="5" t="inlineStr">
        <is>
          <t>Authorised Totally Wicked stockist store; some Totally Wicked branded stores are franchised, ownership of this branch not established.</t>
        </is>
      </c>
      <c r="AP34" s="5" t="inlineStr">
        <is>
          <t>Medium</t>
        </is>
      </c>
      <c r="AQ34" s="5" t="inlineStr">
        <is>
          <t>Multi-site retailer; Core relevant category; Active website</t>
        </is>
      </c>
      <c r="AR34" s="5" t="inlineStr">
        <is>
          <t>https://www.totallywicked-eliquid.co.uk/stores/halifax-e-cigs-e-liquid-shop</t>
        </is>
      </c>
      <c r="AS34" s="5" t="inlineStr">
        <is>
          <t>https://www.yell.com/s/tobacconists-halifax.html</t>
        </is>
      </c>
      <c r="AT34" s="5" t="inlineStr">
        <is>
          <t>3</t>
        </is>
      </c>
      <c r="AU34" s="5" t="inlineStr">
        <is>
          <t>No</t>
        </is>
      </c>
      <c r="AV34" s="5" t="inlineStr">
        <is>
          <t>No</t>
        </is>
      </c>
      <c r="AW34" s="5" t="inlineStr">
        <is>
          <t>No</t>
        </is>
      </c>
      <c r="AX34" s="5" t="inlineStr">
        <is>
          <t>No</t>
        </is>
      </c>
      <c r="AY34" s="5" t="inlineStr">
        <is>
          <t>Verified directory</t>
        </is>
      </c>
      <c r="AZ34" s="5" t="inlineStr">
        <is>
          <t>Website Found</t>
        </is>
      </c>
      <c r="BA34" s="5" t="inlineStr">
        <is>
          <t>2026-09-16</t>
        </is>
      </c>
      <c r="BB34" s="5" t="inlineStr">
        <is>
          <t>Requires Verification</t>
        </is>
      </c>
      <c r="BC34" s="5" t="inlineStr">
        <is>
          <t>Medium</t>
        </is>
      </c>
      <c r="BD34" s="5" t="inlineStr"/>
      <c r="BE34" s="5" t="inlineStr">
        <is>
          <t>Business (B2B)</t>
        </is>
      </c>
      <c r="BF34" s="5" t="inlineStr">
        <is>
          <t>Legitimate interest (B2B) - assess per campaign; PECR: corporate subscribers</t>
        </is>
      </c>
      <c r="BG34" s="5" t="inlineStr"/>
      <c r="BH34" s="5" t="inlineStr">
        <is>
          <t>No</t>
        </is>
      </c>
      <c r="BI34" s="5" t="inlineStr">
        <is>
          <t>2026-09-16</t>
        </is>
      </c>
      <c r="BJ34" s="5" t="inlineStr">
        <is>
          <t>New</t>
        </is>
      </c>
      <c r="BK34" s="5" t="inlineStr">
        <is>
          <t>2026-09-16</t>
        </is>
      </c>
      <c r="BL34" s="5" t="inlineStr"/>
      <c r="BM34" s="5" t="inlineStr"/>
      <c r="BN34" s="5" t="inlineStr"/>
      <c r="BO34" s="5" t="inlineStr"/>
      <c r="BP34" s="5" t="inlineStr"/>
      <c r="BQ34" s="5" t="inlineStr"/>
    </row>
    <row r="35">
      <c r="A35" s="10" t="inlineStr">
        <is>
          <t>WY-0034</t>
        </is>
      </c>
      <c r="B35" s="10" t="inlineStr">
        <is>
          <t>VALLIFOREC-01</t>
        </is>
      </c>
      <c r="C35" s="10" t="inlineStr">
        <is>
          <t>Valli Forecourts Ltd</t>
        </is>
      </c>
      <c r="D35" s="10" t="inlineStr">
        <is>
          <t>BP Gledhow Service Station (Valli Forecourts)</t>
        </is>
      </c>
      <c r="E35" s="10" t="inlineStr">
        <is>
          <t>Gledhow Service Station</t>
        </is>
      </c>
      <c r="F35" s="10" t="inlineStr">
        <is>
          <t>Valli Forecourts Ltd</t>
        </is>
      </c>
      <c r="G35" s="10" t="inlineStr">
        <is>
          <t>Petrol Station / Forecourt</t>
        </is>
      </c>
      <c r="H35" s="10" t="inlineStr">
        <is>
          <t>BP-branded forecourt with convenience store</t>
        </is>
      </c>
      <c r="I35" s="10" t="inlineStr">
        <is>
          <t>Regional Chain</t>
        </is>
      </c>
      <c r="J35" s="10" t="inlineStr">
        <is>
          <t>16</t>
        </is>
      </c>
      <c r="K35" s="10" t="inlineStr">
        <is>
          <t>https://valliforecourts.co.uk/</t>
        </is>
      </c>
      <c r="L35" s="10" t="inlineStr"/>
      <c r="M35" s="10" t="inlineStr"/>
      <c r="N35" s="10" t="inlineStr"/>
      <c r="O35" s="10" t="inlineStr"/>
      <c r="P35" s="10" t="inlineStr">
        <is>
          <t>Gledhow</t>
        </is>
      </c>
      <c r="Q35" s="10" t="inlineStr">
        <is>
          <t>Leeds</t>
        </is>
      </c>
      <c r="R35" s="10" t="inlineStr">
        <is>
          <t>West Yorkshire</t>
        </is>
      </c>
      <c r="S35" s="10" t="inlineStr">
        <is>
          <t>LS8 4BU</t>
        </is>
      </c>
      <c r="T35" s="10" t="inlineStr">
        <is>
          <t>Yorkshire &amp; Humber</t>
        </is>
      </c>
      <c r="U35" s="10" t="inlineStr">
        <is>
          <t>England</t>
        </is>
      </c>
      <c r="V35" s="10" t="inlineStr"/>
      <c r="W35" s="10" t="inlineStr"/>
      <c r="X35" s="10" t="inlineStr"/>
      <c r="Y35" s="10" t="inlineStr"/>
      <c r="Z35" s="10" t="inlineStr"/>
      <c r="AA35" s="10" t="inlineStr"/>
      <c r="AB35" s="10" t="inlineStr"/>
      <c r="AC35" s="10" t="inlineStr"/>
      <c r="AD35" s="10" t="inlineStr"/>
      <c r="AE35" s="10" t="inlineStr"/>
      <c r="AF35" s="10" t="inlineStr"/>
      <c r="AG35" s="10" t="inlineStr"/>
      <c r="AH35" s="10" t="inlineStr"/>
      <c r="AI35" s="10" t="inlineStr"/>
      <c r="AJ35" s="10" t="inlineStr"/>
      <c r="AK35" s="10" t="inlineStr">
        <is>
          <t>fuel; convenience retail</t>
        </is>
      </c>
      <c r="AL35" s="10" t="inlineStr"/>
      <c r="AM35" s="10" t="inlineStr">
        <is>
          <t>Petrol Station / Forecourt</t>
        </is>
      </c>
      <c r="AN35" s="10" t="inlineStr"/>
      <c r="AO35" s="10" t="inlineStr">
        <is>
          <t>BP Gledhow Service Station in Leeds referenced as a Valli Forecourts site in petrol-station listings. Street address/postcode/phone not confirmed - follow up via valliforecourts.co.uk site list. One of 16 Valli Forecourts sites.</t>
        </is>
      </c>
      <c r="AP35" s="10" t="inlineStr">
        <is>
          <t>Medium</t>
        </is>
      </c>
      <c r="AQ35" s="10" t="inlineStr">
        <is>
          <t>Multi-site retailer; Relevant category; Active website</t>
        </is>
      </c>
      <c r="AR35" s="10" t="inlineStr">
        <is>
          <t>https://www.petrolprices.com/locations/huddersfield</t>
        </is>
      </c>
      <c r="AS35" s="10" t="inlineStr">
        <is>
          <t>https://www.192.com/atoz/business/leeds-ls8/petrol-service-stations/b-p-gledhow-service-station/b2cc5ed266e9de6ac0fa2b011faef822e624c3ac/ml/</t>
        </is>
      </c>
      <c r="AT35" s="10" t="inlineStr">
        <is>
          <t>3</t>
        </is>
      </c>
      <c r="AU35" s="10" t="inlineStr">
        <is>
          <t>No</t>
        </is>
      </c>
      <c r="AV35" s="10" t="inlineStr">
        <is>
          <t>No</t>
        </is>
      </c>
      <c r="AW35" s="10" t="inlineStr">
        <is>
          <t>No</t>
        </is>
      </c>
      <c r="AX35" s="10" t="inlineStr">
        <is>
          <t>No</t>
        </is>
      </c>
      <c r="AY35" s="10" t="inlineStr">
        <is>
          <t>Not Found</t>
        </is>
      </c>
      <c r="AZ35" s="10" t="inlineStr">
        <is>
          <t>Website Found</t>
        </is>
      </c>
      <c r="BA35" s="10" t="inlineStr">
        <is>
          <t>2026-09-16</t>
        </is>
      </c>
      <c r="BB35" s="10" t="inlineStr">
        <is>
          <t>Requires Verification</t>
        </is>
      </c>
      <c r="BC35" s="10" t="inlineStr">
        <is>
          <t>Medium</t>
        </is>
      </c>
      <c r="BD35" s="10" t="inlineStr"/>
      <c r="BE35" s="10" t="inlineStr">
        <is>
          <t>Business (B2B)</t>
        </is>
      </c>
      <c r="BF35" s="10" t="inlineStr">
        <is>
          <t>Legitimate interest (B2B) - assess per campaign; PECR: corporate subscribers</t>
        </is>
      </c>
      <c r="BG35" s="10" t="inlineStr"/>
      <c r="BH35" s="10" t="inlineStr">
        <is>
          <t>No</t>
        </is>
      </c>
      <c r="BI35" s="10" t="inlineStr">
        <is>
          <t>2026-09-16</t>
        </is>
      </c>
      <c r="BJ35" s="10" t="inlineStr">
        <is>
          <t>New</t>
        </is>
      </c>
      <c r="BK35" s="10" t="inlineStr">
        <is>
          <t>2026-09-16</t>
        </is>
      </c>
      <c r="BL35" s="10" t="inlineStr"/>
      <c r="BM35" s="10" t="inlineStr"/>
      <c r="BN35" s="10" t="inlineStr"/>
      <c r="BO35" s="10" t="inlineStr"/>
      <c r="BP35" s="10" t="inlineStr"/>
      <c r="BQ35" s="10" t="inlineStr"/>
    </row>
    <row r="36">
      <c r="A36" s="5" t="inlineStr">
        <is>
          <t>WY-0035</t>
        </is>
      </c>
      <c r="B36" s="5" t="inlineStr">
        <is>
          <t>VALLIFOREC-02</t>
        </is>
      </c>
      <c r="C36" s="5" t="inlineStr">
        <is>
          <t>Valli Forecourts Ltd</t>
        </is>
      </c>
      <c r="D36" s="5" t="inlineStr">
        <is>
          <t>Valli Forecourts Ltd (Head Office)</t>
        </is>
      </c>
      <c r="E36" s="5" t="inlineStr">
        <is>
          <t>Valli Forecourts</t>
        </is>
      </c>
      <c r="F36" s="5" t="inlineStr">
        <is>
          <t>Valli Forecourts Ltd</t>
        </is>
      </c>
      <c r="G36" s="5" t="inlineStr">
        <is>
          <t>Petrol Station / Forecourt</t>
        </is>
      </c>
      <c r="H36" s="5" t="inlineStr">
        <is>
          <t>Independent forecourt group head office</t>
        </is>
      </c>
      <c r="I36" s="5" t="inlineStr">
        <is>
          <t>Regional Chain</t>
        </is>
      </c>
      <c r="J36" s="5" t="inlineStr">
        <is>
          <t>16</t>
        </is>
      </c>
      <c r="K36" s="5" t="inlineStr">
        <is>
          <t>https://valliforecourts.co.uk/</t>
        </is>
      </c>
      <c r="L36" s="5" t="inlineStr"/>
      <c r="M36" s="5" t="inlineStr"/>
      <c r="N36" s="5" t="inlineStr">
        <is>
          <t>https://uk.linkedin.com/company/valli-forecourts-ltd</t>
        </is>
      </c>
      <c r="O36" s="5" t="inlineStr"/>
      <c r="P36" s="5" t="inlineStr">
        <is>
          <t>Moortown</t>
        </is>
      </c>
      <c r="Q36" s="5" t="inlineStr">
        <is>
          <t>Leeds</t>
        </is>
      </c>
      <c r="R36" s="5" t="inlineStr">
        <is>
          <t>West Yorkshire</t>
        </is>
      </c>
      <c r="S36" s="5" t="inlineStr"/>
      <c r="T36" s="5" t="inlineStr">
        <is>
          <t>Yorkshire &amp; Humber</t>
        </is>
      </c>
      <c r="U36" s="5" t="inlineStr">
        <is>
          <t>England</t>
        </is>
      </c>
      <c r="V36" s="5" t="inlineStr"/>
      <c r="W36" s="5" t="inlineStr"/>
      <c r="X36" s="5" t="inlineStr"/>
      <c r="Y36" s="5" t="inlineStr"/>
      <c r="Z36" s="5" t="inlineStr"/>
      <c r="AA36" s="5" t="inlineStr"/>
      <c r="AB36" s="5" t="inlineStr"/>
      <c r="AC36" s="5" t="inlineStr"/>
      <c r="AD36" s="5" t="inlineStr"/>
      <c r="AE36" s="5" t="inlineStr"/>
      <c r="AF36" s="5" t="inlineStr"/>
      <c r="AG36" s="5" t="inlineStr"/>
      <c r="AH36" s="5" t="inlineStr"/>
      <c r="AI36" s="5" t="inlineStr"/>
      <c r="AJ36" s="5" t="inlineStr"/>
      <c r="AK36" s="5" t="inlineStr">
        <is>
          <t>fuel; convenience retail; food-to-go</t>
        </is>
      </c>
      <c r="AL36" s="5" t="inlineStr"/>
      <c r="AM36" s="5" t="inlineStr">
        <is>
          <t>Petrol Station / Forecourt</t>
        </is>
      </c>
      <c r="AN36" s="5" t="inlineStr">
        <is>
          <t>Sweetzone lists forecourts/petrol stations as a supplied sector; sites branded BP among others</t>
        </is>
      </c>
      <c r="AO36" s="5" t="inlineStr">
        <is>
          <t>Independent forecourt group with 16 sites, predominantly around Yorkshire and stretching to Birmingham (per Sweetzone sector page / company profile). Head office listed under Moortown, Leeds on yorkshire.com but street address/postcode not confirmed - left blank. Confirmed West Yorkshire site: BP Gledhow Service Station, Leeds (see separate record). Full site list and Companies House details not captured before session search budget was exhausted - HIGH-PRIORITY follow-up: fetch valliforecourts.co.uk site list and CH record.</t>
        </is>
      </c>
      <c r="AP36" s="5" t="inlineStr">
        <is>
          <t>Medium</t>
        </is>
      </c>
      <c r="AQ36" s="5" t="inlineStr">
        <is>
          <t>Multi-site retailer; Relevant category; Active website; Social presence</t>
        </is>
      </c>
      <c r="AR36" s="5" t="inlineStr">
        <is>
          <t>https://www.yorkshire.com/moortown/transport/petrol-stations/valli-forecourts-ltd-head-office</t>
        </is>
      </c>
      <c r="AS36" s="5" t="inlineStr">
        <is>
          <t>https://uk.linkedin.com/company/valli-forecourts-ltd</t>
        </is>
      </c>
      <c r="AT36" s="5" t="inlineStr">
        <is>
          <t>3</t>
        </is>
      </c>
      <c r="AU36" s="5" t="inlineStr">
        <is>
          <t>No</t>
        </is>
      </c>
      <c r="AV36" s="5" t="inlineStr">
        <is>
          <t>No</t>
        </is>
      </c>
      <c r="AW36" s="5" t="inlineStr">
        <is>
          <t>No</t>
        </is>
      </c>
      <c r="AX36" s="5" t="inlineStr">
        <is>
          <t>No</t>
        </is>
      </c>
      <c r="AY36" s="5" t="inlineStr">
        <is>
          <t>Not Found</t>
        </is>
      </c>
      <c r="AZ36" s="5" t="inlineStr">
        <is>
          <t>Website Found</t>
        </is>
      </c>
      <c r="BA36" s="5" t="inlineStr">
        <is>
          <t>2026-09-16</t>
        </is>
      </c>
      <c r="BB36" s="5" t="inlineStr">
        <is>
          <t>Requires Verification</t>
        </is>
      </c>
      <c r="BC36" s="5" t="inlineStr">
        <is>
          <t>Low</t>
        </is>
      </c>
      <c r="BD36" s="5" t="inlineStr"/>
      <c r="BE36" s="5" t="inlineStr">
        <is>
          <t>Business (B2B)</t>
        </is>
      </c>
      <c r="BF36" s="5" t="inlineStr">
        <is>
          <t>Legitimate interest (B2B) - assess per campaign; PECR: corporate subscribers</t>
        </is>
      </c>
      <c r="BG36" s="5" t="inlineStr"/>
      <c r="BH36" s="5" t="inlineStr">
        <is>
          <t>No</t>
        </is>
      </c>
      <c r="BI36" s="5" t="inlineStr">
        <is>
          <t>2026-09-16</t>
        </is>
      </c>
      <c r="BJ36" s="5" t="inlineStr">
        <is>
          <t>New</t>
        </is>
      </c>
      <c r="BK36" s="5" t="inlineStr">
        <is>
          <t>2026-09-16</t>
        </is>
      </c>
      <c r="BL36" s="5" t="inlineStr"/>
      <c r="BM36" s="5" t="inlineStr"/>
      <c r="BN36" s="5" t="inlineStr"/>
      <c r="BO36" s="5" t="inlineStr"/>
      <c r="BP36" s="5" t="inlineStr"/>
      <c r="BQ36" s="5" t="inlineStr"/>
    </row>
    <row r="37">
      <c r="A37" s="10" t="inlineStr">
        <is>
          <t>WY-0036</t>
        </is>
      </c>
      <c r="B37" s="10" t="inlineStr">
        <is>
          <t>VAPARAMA-01</t>
        </is>
      </c>
      <c r="C37" s="10" t="inlineStr">
        <is>
          <t>Vaparama</t>
        </is>
      </c>
      <c r="D37" s="10" t="inlineStr">
        <is>
          <t>Vaparama (Featherstone)</t>
        </is>
      </c>
      <c r="E37" s="10" t="inlineStr">
        <is>
          <t>Vaparama</t>
        </is>
      </c>
      <c r="F37" s="10" t="inlineStr">
        <is>
          <t>Vaparama Ltd</t>
        </is>
      </c>
      <c r="G37" s="10" t="inlineStr">
        <is>
          <t>Vape Shop</t>
        </is>
      </c>
      <c r="H37" s="10" t="inlineStr">
        <is>
          <t>E-liquid specialist / vape retailer</t>
        </is>
      </c>
      <c r="I37" s="10" t="inlineStr">
        <is>
          <t>Regional Chain</t>
        </is>
      </c>
      <c r="J37" s="10" t="inlineStr">
        <is>
          <t>7</t>
        </is>
      </c>
      <c r="K37" s="10" t="inlineStr">
        <is>
          <t>https://www.vaparama.co.uk</t>
        </is>
      </c>
      <c r="L37" s="10" t="inlineStr">
        <is>
          <t>https://www.facebook.com/p/Vaparama-100063743672150/</t>
        </is>
      </c>
      <c r="M37" s="10" t="inlineStr"/>
      <c r="N37" s="10" t="inlineStr"/>
      <c r="O37" s="10" t="inlineStr">
        <is>
          <t>73-75 Station Lane</t>
        </is>
      </c>
      <c r="P37" s="10" t="inlineStr"/>
      <c r="Q37" s="10" t="inlineStr">
        <is>
          <t>Featherstone</t>
        </is>
      </c>
      <c r="R37" s="10" t="inlineStr">
        <is>
          <t>West Yorkshire</t>
        </is>
      </c>
      <c r="S37" s="10" t="inlineStr">
        <is>
          <t>WF7 5BJ</t>
        </is>
      </c>
      <c r="T37" s="10" t="inlineStr">
        <is>
          <t>Yorkshire &amp; Humber</t>
        </is>
      </c>
      <c r="U37" s="10" t="inlineStr">
        <is>
          <t>England</t>
        </is>
      </c>
      <c r="V37" s="10" t="inlineStr"/>
      <c r="W37" s="10" t="inlineStr"/>
      <c r="X37" s="10" t="inlineStr"/>
      <c r="Y37" s="10" t="inlineStr"/>
      <c r="Z37" s="10" t="inlineStr">
        <is>
          <t>shop@vaparama.co.uk</t>
        </is>
      </c>
      <c r="AA37" s="10" t="inlineStr"/>
      <c r="AB37" s="10" t="inlineStr"/>
      <c r="AC37" s="10" t="inlineStr"/>
      <c r="AD37" s="10" t="inlineStr"/>
      <c r="AE37" s="10" t="inlineStr">
        <is>
          <t>09736212</t>
        </is>
      </c>
      <c r="AF37" s="10" t="inlineStr">
        <is>
          <t>Active</t>
        </is>
      </c>
      <c r="AG37" s="10" t="inlineStr">
        <is>
          <t>VAPARAMA LTD</t>
        </is>
      </c>
      <c r="AH37" s="10" t="inlineStr">
        <is>
          <t>13 Market Place, Pontefract, England, WF8 1AG</t>
        </is>
      </c>
      <c r="AI37" s="10" t="inlineStr">
        <is>
          <t>2015-08-17</t>
        </is>
      </c>
      <c r="AJ37" s="10" t="inlineStr"/>
      <c r="AK37" s="10" t="inlineStr">
        <is>
          <t>e-liquids; vape hardware; accessories</t>
        </is>
      </c>
      <c r="AL37" s="10" t="inlineStr"/>
      <c r="AM37" s="10" t="inlineStr">
        <is>
          <t>Vape Shop</t>
        </is>
      </c>
      <c r="AN37" s="10" t="inlineStr"/>
      <c r="AO37" s="10" t="inlineStr">
        <is>
          <t>Featherstone branch of the Vaparama chain (HQ Pontefract).</t>
        </is>
      </c>
      <c r="AP37" s="10" t="inlineStr">
        <is>
          <t>High</t>
        </is>
      </c>
      <c r="AQ37" s="10" t="inlineStr">
        <is>
          <t>Multi-site retailer; Core relevant category; Public email available; Active website; Social presence</t>
        </is>
      </c>
      <c r="AR37" s="10" t="inlineStr">
        <is>
          <t>https://www.vaparama.co.uk/contact/</t>
        </is>
      </c>
      <c r="AS37" s="10" t="inlineStr">
        <is>
          <t>https://find-and-update.company-information.service.gov.uk/company/09736212</t>
        </is>
      </c>
      <c r="AT37" s="10" t="inlineStr">
        <is>
          <t>3</t>
        </is>
      </c>
      <c r="AU37" s="10" t="inlineStr">
        <is>
          <t>No</t>
        </is>
      </c>
      <c r="AV37" s="10" t="inlineStr">
        <is>
          <t>No</t>
        </is>
      </c>
      <c r="AW37" s="10" t="inlineStr">
        <is>
          <t>Yes</t>
        </is>
      </c>
      <c r="AX37" s="10" t="inlineStr">
        <is>
          <t>Yes</t>
        </is>
      </c>
      <c r="AY37" s="10" t="inlineStr">
        <is>
          <t>Not Found</t>
        </is>
      </c>
      <c r="AZ37" s="10" t="inlineStr">
        <is>
          <t>Publicly Listed</t>
        </is>
      </c>
      <c r="BA37" s="10" t="inlineStr">
        <is>
          <t>2026-09-16</t>
        </is>
      </c>
      <c r="BB37" s="10" t="inlineStr">
        <is>
          <t>Partially Verified</t>
        </is>
      </c>
      <c r="BC37" s="10" t="inlineStr">
        <is>
          <t>Medium</t>
        </is>
      </c>
      <c r="BD37" s="10" t="inlineStr"/>
      <c r="BE37" s="10" t="inlineStr">
        <is>
          <t>Business (B2B)</t>
        </is>
      </c>
      <c r="BF37" s="10" t="inlineStr">
        <is>
          <t>Legitimate interest (B2B) - assess per campaign; PECR: corporate subscribers</t>
        </is>
      </c>
      <c r="BG37" s="10" t="inlineStr"/>
      <c r="BH37" s="10" t="inlineStr">
        <is>
          <t>No</t>
        </is>
      </c>
      <c r="BI37" s="10" t="inlineStr">
        <is>
          <t>2026-09-16</t>
        </is>
      </c>
      <c r="BJ37" s="10" t="inlineStr">
        <is>
          <t>New</t>
        </is>
      </c>
      <c r="BK37" s="10" t="inlineStr">
        <is>
          <t>2026-09-16</t>
        </is>
      </c>
      <c r="BL37" s="10" t="inlineStr"/>
      <c r="BM37" s="10" t="inlineStr"/>
      <c r="BN37" s="10" t="inlineStr"/>
      <c r="BO37" s="10" t="inlineStr"/>
      <c r="BP37" s="10" t="inlineStr"/>
      <c r="BQ37" s="10" t="inlineStr"/>
    </row>
    <row r="38">
      <c r="A38" s="5" t="inlineStr">
        <is>
          <t>WY-0037</t>
        </is>
      </c>
      <c r="B38" s="5" t="inlineStr">
        <is>
          <t>VAPARAMA-02</t>
        </is>
      </c>
      <c r="C38" s="5" t="inlineStr">
        <is>
          <t>Vaparama</t>
        </is>
      </c>
      <c r="D38" s="5" t="inlineStr">
        <is>
          <t>Vaparama (Pontefract)</t>
        </is>
      </c>
      <c r="E38" s="5" t="inlineStr">
        <is>
          <t>Vaparama</t>
        </is>
      </c>
      <c r="F38" s="5" t="inlineStr">
        <is>
          <t>Vaparama Ltd</t>
        </is>
      </c>
      <c r="G38" s="5" t="inlineStr">
        <is>
          <t>Vape Shop</t>
        </is>
      </c>
      <c r="H38" s="5" t="inlineStr">
        <is>
          <t>E-liquid specialist / vape retailer and wholesaler</t>
        </is>
      </c>
      <c r="I38" s="5" t="inlineStr">
        <is>
          <t>Regional Chain</t>
        </is>
      </c>
      <c r="J38" s="5" t="inlineStr">
        <is>
          <t>7</t>
        </is>
      </c>
      <c r="K38" s="5" t="inlineStr">
        <is>
          <t>https://www.vaparama.co.uk</t>
        </is>
      </c>
      <c r="L38" s="5" t="inlineStr">
        <is>
          <t>https://www.facebook.com/p/Vaparama-100063743672150/</t>
        </is>
      </c>
      <c r="M38" s="5" t="inlineStr"/>
      <c r="N38" s="5" t="inlineStr"/>
      <c r="O38" s="5" t="inlineStr">
        <is>
          <t>13 Market Place</t>
        </is>
      </c>
      <c r="P38" s="5" t="inlineStr"/>
      <c r="Q38" s="5" t="inlineStr">
        <is>
          <t>Pontefract</t>
        </is>
      </c>
      <c r="R38" s="5" t="inlineStr">
        <is>
          <t>West Yorkshire</t>
        </is>
      </c>
      <c r="S38" s="5" t="inlineStr">
        <is>
          <t>WF8 1AG</t>
        </is>
      </c>
      <c r="T38" s="5" t="inlineStr">
        <is>
          <t>Yorkshire &amp; Humber</t>
        </is>
      </c>
      <c r="U38" s="5" t="inlineStr">
        <is>
          <t>England</t>
        </is>
      </c>
      <c r="V38" s="5" t="inlineStr">
        <is>
          <t>01977 277170</t>
        </is>
      </c>
      <c r="W38" s="5" t="inlineStr"/>
      <c r="X38" s="5" t="inlineStr"/>
      <c r="Y38" s="5" t="inlineStr">
        <is>
          <t>shop@vaparama.co.uk</t>
        </is>
      </c>
      <c r="Z38" s="5" t="inlineStr"/>
      <c r="AA38" s="5" t="inlineStr"/>
      <c r="AB38" s="5" t="inlineStr"/>
      <c r="AC38" s="5" t="inlineStr"/>
      <c r="AD38" s="5" t="inlineStr"/>
      <c r="AE38" s="5" t="inlineStr">
        <is>
          <t>09736212</t>
        </is>
      </c>
      <c r="AF38" s="5" t="inlineStr">
        <is>
          <t>Active</t>
        </is>
      </c>
      <c r="AG38" s="5" t="inlineStr">
        <is>
          <t>VAPARAMA LTD</t>
        </is>
      </c>
      <c r="AH38" s="5" t="inlineStr">
        <is>
          <t>13 Market Place, Pontefract, England, WF8 1AG</t>
        </is>
      </c>
      <c r="AI38" s="5" t="inlineStr">
        <is>
          <t>2015-08-17</t>
        </is>
      </c>
      <c r="AJ38" s="5" t="inlineStr"/>
      <c r="AK38" s="5" t="inlineStr">
        <is>
          <t>e-liquids (own 200+ flavour range); vape hardware; accessories</t>
        </is>
      </c>
      <c r="AL38" s="5" t="inlineStr"/>
      <c r="AM38" s="5" t="inlineStr">
        <is>
          <t>Vape Shop</t>
        </is>
      </c>
      <c r="AN38" s="5" t="inlineStr">
        <is>
          <t>Supplies e-liquid wholesale to other bricks-and-mortar vape stores</t>
        </is>
      </c>
      <c r="AO38" s="5" t="inlineStr">
        <is>
          <t>Established 2014. Yorkshire multi-store chain: Pontefract (HQ/registered office), Wakefield, Featherstone, plus Leeds, Doncaster, Sheffield, Halifax. This is the flagship/registered-office store.</t>
        </is>
      </c>
      <c r="AP38" s="5" t="inlineStr">
        <is>
          <t>High</t>
        </is>
      </c>
      <c r="AQ38" s="5" t="inlineStr">
        <is>
          <t>Multi-site retailer; Core relevant category; Public email available; Active website; Social presence</t>
        </is>
      </c>
      <c r="AR38" s="5" t="inlineStr">
        <is>
          <t>https://find-and-update.company-information.service.gov.uk/company/09736212</t>
        </is>
      </c>
      <c r="AS38" s="5" t="inlineStr">
        <is>
          <t>https://pontefract.cylex-uk.co.uk/company/vaparama-26236284.html</t>
        </is>
      </c>
      <c r="AT38" s="5" t="inlineStr">
        <is>
          <t>4</t>
        </is>
      </c>
      <c r="AU38" s="5" t="inlineStr">
        <is>
          <t>No</t>
        </is>
      </c>
      <c r="AV38" s="5" t="inlineStr">
        <is>
          <t>No</t>
        </is>
      </c>
      <c r="AW38" s="5" t="inlineStr">
        <is>
          <t>No</t>
        </is>
      </c>
      <c r="AX38" s="5" t="inlineStr">
        <is>
          <t>Yes</t>
        </is>
      </c>
      <c r="AY38" s="5" t="inlineStr">
        <is>
          <t>Verified directory</t>
        </is>
      </c>
      <c r="AZ38" s="5" t="inlineStr">
        <is>
          <t>Unverified</t>
        </is>
      </c>
      <c r="BA38" s="5" t="inlineStr">
        <is>
          <t>2026-09-16</t>
        </is>
      </c>
      <c r="BB38" s="5" t="inlineStr">
        <is>
          <t>Partially Verified</t>
        </is>
      </c>
      <c r="BC38" s="5" t="inlineStr">
        <is>
          <t>Medium</t>
        </is>
      </c>
      <c r="BD38" s="5" t="inlineStr"/>
      <c r="BE38" s="5" t="inlineStr">
        <is>
          <t>Business (B2B)</t>
        </is>
      </c>
      <c r="BF38" s="5" t="inlineStr">
        <is>
          <t>Legitimate interest (B2B) - assess per campaign; PECR: corporate subscribers</t>
        </is>
      </c>
      <c r="BG38" s="5" t="inlineStr"/>
      <c r="BH38" s="5" t="inlineStr">
        <is>
          <t>No</t>
        </is>
      </c>
      <c r="BI38" s="5" t="inlineStr">
        <is>
          <t>2026-09-16</t>
        </is>
      </c>
      <c r="BJ38" s="5" t="inlineStr">
        <is>
          <t>New</t>
        </is>
      </c>
      <c r="BK38" s="5" t="inlineStr">
        <is>
          <t>2026-09-16</t>
        </is>
      </c>
      <c r="BL38" s="5" t="inlineStr"/>
      <c r="BM38" s="5" t="inlineStr"/>
      <c r="BN38" s="5" t="inlineStr"/>
      <c r="BO38" s="5" t="inlineStr"/>
      <c r="BP38" s="5" t="inlineStr"/>
      <c r="BQ38" s="5" t="inlineStr"/>
    </row>
    <row r="39">
      <c r="A39" s="10" t="inlineStr">
        <is>
          <t>WY-0038</t>
        </is>
      </c>
      <c r="B39" s="10" t="inlineStr">
        <is>
          <t>VAPARAMA-03</t>
        </is>
      </c>
      <c r="C39" s="10" t="inlineStr">
        <is>
          <t>Vaparama</t>
        </is>
      </c>
      <c r="D39" s="10" t="inlineStr">
        <is>
          <t>Vaparama (Wakefield)</t>
        </is>
      </c>
      <c r="E39" s="10" t="inlineStr">
        <is>
          <t>Vaparama</t>
        </is>
      </c>
      <c r="F39" s="10" t="inlineStr">
        <is>
          <t>Vaparama Ltd</t>
        </is>
      </c>
      <c r="G39" s="10" t="inlineStr">
        <is>
          <t>Vape Shop</t>
        </is>
      </c>
      <c r="H39" s="10" t="inlineStr">
        <is>
          <t>E-liquid specialist / vape retailer</t>
        </is>
      </c>
      <c r="I39" s="10" t="inlineStr">
        <is>
          <t>Regional Chain</t>
        </is>
      </c>
      <c r="J39" s="10" t="inlineStr">
        <is>
          <t>7</t>
        </is>
      </c>
      <c r="K39" s="10" t="inlineStr">
        <is>
          <t>https://www.vaparama.co.uk</t>
        </is>
      </c>
      <c r="L39" s="10" t="inlineStr">
        <is>
          <t>https://www.facebook.com/p/Vaparama-100063743672150/</t>
        </is>
      </c>
      <c r="M39" s="10" t="inlineStr"/>
      <c r="N39" s="10" t="inlineStr"/>
      <c r="O39" s="10" t="inlineStr">
        <is>
          <t>Britannia House, 31 Warrengate</t>
        </is>
      </c>
      <c r="P39" s="10" t="inlineStr"/>
      <c r="Q39" s="10" t="inlineStr">
        <is>
          <t>Wakefield</t>
        </is>
      </c>
      <c r="R39" s="10" t="inlineStr">
        <is>
          <t>West Yorkshire</t>
        </is>
      </c>
      <c r="S39" s="10" t="inlineStr"/>
      <c r="T39" s="10" t="inlineStr">
        <is>
          <t>Yorkshire &amp; Humber</t>
        </is>
      </c>
      <c r="U39" s="10" t="inlineStr">
        <is>
          <t>England</t>
        </is>
      </c>
      <c r="V39" s="10" t="inlineStr"/>
      <c r="W39" s="10" t="inlineStr"/>
      <c r="X39" s="10" t="inlineStr"/>
      <c r="Y39" s="10" t="inlineStr"/>
      <c r="Z39" s="10" t="inlineStr">
        <is>
          <t>shop@vaparama.co.uk</t>
        </is>
      </c>
      <c r="AA39" s="10" t="inlineStr"/>
      <c r="AB39" s="10" t="inlineStr"/>
      <c r="AC39" s="10" t="inlineStr"/>
      <c r="AD39" s="10" t="inlineStr"/>
      <c r="AE39" s="10" t="inlineStr">
        <is>
          <t>09736212</t>
        </is>
      </c>
      <c r="AF39" s="10" t="inlineStr">
        <is>
          <t>Active</t>
        </is>
      </c>
      <c r="AG39" s="10" t="inlineStr">
        <is>
          <t>VAPARAMA LTD</t>
        </is>
      </c>
      <c r="AH39" s="10" t="inlineStr">
        <is>
          <t>13 Market Place, Pontefract, England, WF8 1AG</t>
        </is>
      </c>
      <c r="AI39" s="10" t="inlineStr">
        <is>
          <t>2015-08-17</t>
        </is>
      </c>
      <c r="AJ39" s="10" t="inlineStr"/>
      <c r="AK39" s="10" t="inlineStr">
        <is>
          <t>e-liquids; vape hardware; accessories</t>
        </is>
      </c>
      <c r="AL39" s="10" t="inlineStr"/>
      <c r="AM39" s="10" t="inlineStr">
        <is>
          <t>Vape Shop</t>
        </is>
      </c>
      <c r="AN39" s="10" t="inlineStr"/>
      <c r="AO39" s="10" t="inlineStr">
        <is>
          <t>Wakefield branch of the Vaparama chain (HQ Pontefract). Address from vapemaps directory listing of Vaparama Limited store locations; postcode and branch phone not found.</t>
        </is>
      </c>
      <c r="AP39" s="10" t="inlineStr">
        <is>
          <t>High</t>
        </is>
      </c>
      <c r="AQ39" s="10" t="inlineStr">
        <is>
          <t>Multi-site retailer; Core relevant category; Public email available; Active website; Social presence</t>
        </is>
      </c>
      <c r="AR39" s="10" t="inlineStr">
        <is>
          <t>https://www.vaparama.co.uk/contact/</t>
        </is>
      </c>
      <c r="AS39" s="10" t="inlineStr">
        <is>
          <t>https://find-and-update.company-information.service.gov.uk/company/09736212</t>
        </is>
      </c>
      <c r="AT39" s="10" t="inlineStr">
        <is>
          <t>3</t>
        </is>
      </c>
      <c r="AU39" s="10" t="inlineStr">
        <is>
          <t>No</t>
        </is>
      </c>
      <c r="AV39" s="10" t="inlineStr">
        <is>
          <t>No</t>
        </is>
      </c>
      <c r="AW39" s="10" t="inlineStr">
        <is>
          <t>Yes</t>
        </is>
      </c>
      <c r="AX39" s="10" t="inlineStr">
        <is>
          <t>Yes</t>
        </is>
      </c>
      <c r="AY39" s="10" t="inlineStr">
        <is>
          <t>Not Found</t>
        </is>
      </c>
      <c r="AZ39" s="10" t="inlineStr">
        <is>
          <t>Publicly Listed</t>
        </is>
      </c>
      <c r="BA39" s="10" t="inlineStr">
        <is>
          <t>2026-09-16</t>
        </is>
      </c>
      <c r="BB39" s="10" t="inlineStr">
        <is>
          <t>Partially Verified</t>
        </is>
      </c>
      <c r="BC39" s="10" t="inlineStr">
        <is>
          <t>Medium</t>
        </is>
      </c>
      <c r="BD39" s="10" t="inlineStr"/>
      <c r="BE39" s="10" t="inlineStr">
        <is>
          <t>Business (B2B)</t>
        </is>
      </c>
      <c r="BF39" s="10" t="inlineStr">
        <is>
          <t>Legitimate interest (B2B) - assess per campaign; PECR: corporate subscribers</t>
        </is>
      </c>
      <c r="BG39" s="10" t="inlineStr"/>
      <c r="BH39" s="10" t="inlineStr">
        <is>
          <t>No</t>
        </is>
      </c>
      <c r="BI39" s="10" t="inlineStr">
        <is>
          <t>2026-09-16</t>
        </is>
      </c>
      <c r="BJ39" s="10" t="inlineStr">
        <is>
          <t>New</t>
        </is>
      </c>
      <c r="BK39" s="10" t="inlineStr">
        <is>
          <t>2026-09-16</t>
        </is>
      </c>
      <c r="BL39" s="10" t="inlineStr"/>
      <c r="BM39" s="10" t="inlineStr"/>
      <c r="BN39" s="10" t="inlineStr"/>
      <c r="BO39" s="10" t="inlineStr"/>
      <c r="BP39" s="10" t="inlineStr"/>
      <c r="BQ39" s="10" t="inlineStr"/>
    </row>
    <row r="40">
      <c r="A40" s="5" t="inlineStr">
        <is>
          <t>WY-0039</t>
        </is>
      </c>
      <c r="B40" s="5" t="inlineStr">
        <is>
          <t>WOWVAPE-01</t>
        </is>
      </c>
      <c r="C40" s="5" t="inlineStr">
        <is>
          <t>WOW Vape</t>
        </is>
      </c>
      <c r="D40" s="5" t="inlineStr">
        <is>
          <t>WOW Vape (Castleford)</t>
        </is>
      </c>
      <c r="E40" s="5" t="inlineStr">
        <is>
          <t>WOW Vape</t>
        </is>
      </c>
      <c r="F40" s="5" t="inlineStr"/>
      <c r="G40" s="5" t="inlineStr">
        <is>
          <t>Vape Shop</t>
        </is>
      </c>
      <c r="H40" s="5" t="inlineStr">
        <is>
          <t>Vape retailer</t>
        </is>
      </c>
      <c r="I40" s="5" t="inlineStr">
        <is>
          <t>Multi-Site Independent</t>
        </is>
      </c>
      <c r="J40" s="5" t="inlineStr">
        <is>
          <t>2</t>
        </is>
      </c>
      <c r="K40" s="5" t="inlineStr">
        <is>
          <t>https://wow-vape.co.uk</t>
        </is>
      </c>
      <c r="L40" s="5" t="inlineStr">
        <is>
          <t>https://www.facebook.com/wowvapecas/</t>
        </is>
      </c>
      <c r="M40" s="5" t="inlineStr">
        <is>
          <t>https://www.instagram.com/wow_vape_castleford/</t>
        </is>
      </c>
      <c r="N40" s="5" t="inlineStr"/>
      <c r="O40" s="5" t="inlineStr">
        <is>
          <t>45 Carlton Street</t>
        </is>
      </c>
      <c r="P40" s="5" t="inlineStr"/>
      <c r="Q40" s="5" t="inlineStr">
        <is>
          <t>Castleford</t>
        </is>
      </c>
      <c r="R40" s="5" t="inlineStr">
        <is>
          <t>West Yorkshire</t>
        </is>
      </c>
      <c r="S40" s="5" t="inlineStr">
        <is>
          <t>WF10 1BA</t>
        </is>
      </c>
      <c r="T40" s="5" t="inlineStr">
        <is>
          <t>Yorkshire &amp; Humber</t>
        </is>
      </c>
      <c r="U40" s="5" t="inlineStr">
        <is>
          <t>England</t>
        </is>
      </c>
      <c r="V40" s="5" t="inlineStr">
        <is>
          <t>01977 516062</t>
        </is>
      </c>
      <c r="W40" s="5" t="inlineStr"/>
      <c r="X40" s="5" t="inlineStr"/>
      <c r="Y40" s="5" t="inlineStr"/>
      <c r="Z40" s="5" t="inlineStr"/>
      <c r="AA40" s="5" t="inlineStr"/>
      <c r="AB40" s="5" t="inlineStr"/>
      <c r="AC40" s="5" t="inlineStr"/>
      <c r="AD40" s="5" t="inlineStr"/>
      <c r="AE40" s="5" t="inlineStr"/>
      <c r="AF40" s="5" t="inlineStr"/>
      <c r="AG40" s="5" t="inlineStr"/>
      <c r="AH40" s="5" t="inlineStr"/>
      <c r="AI40" s="5" t="inlineStr"/>
      <c r="AJ40" s="5" t="inlineStr"/>
      <c r="AK40" s="5" t="inlineStr">
        <is>
          <t>vape hardware; e-liquids</t>
        </is>
      </c>
      <c r="AL40" s="5" t="inlineStr"/>
      <c r="AM40" s="5" t="inlineStr">
        <is>
          <t>Vape Shop</t>
        </is>
      </c>
      <c r="AN40" s="5" t="inlineStr"/>
      <c r="AO40" s="5" t="inlineStr">
        <is>
          <t>Yelp shows an older WOW Vape listing at 42 Carlton St marked CLOSED and a current listing at 45 Carlton Street; the 45 Carlton Street listing and active Facebook/Instagram pages suggest the shop relocated across the street. Sister branding to WOW Vape Wakefield.</t>
        </is>
      </c>
      <c r="AP40" s="5" t="inlineStr">
        <is>
          <t>High</t>
        </is>
      </c>
      <c r="AQ40" s="5" t="inlineStr">
        <is>
          <t>Multi-site retailer; Independent retailer; Core relevant category; Active website; Social presence</t>
        </is>
      </c>
      <c r="AR40" s="5" t="inlineStr">
        <is>
          <t>https://www.facebook.com/wowvapecas/</t>
        </is>
      </c>
      <c r="AS40" s="5" t="inlineStr">
        <is>
          <t>https://www.yelp.com/biz/wow-vape-castleford</t>
        </is>
      </c>
      <c r="AT40" s="5" t="inlineStr">
        <is>
          <t>3</t>
        </is>
      </c>
      <c r="AU40" s="5" t="inlineStr">
        <is>
          <t>No</t>
        </is>
      </c>
      <c r="AV40" s="5" t="inlineStr">
        <is>
          <t>No</t>
        </is>
      </c>
      <c r="AW40" s="5" t="inlineStr">
        <is>
          <t>No</t>
        </is>
      </c>
      <c r="AX40" s="5" t="inlineStr">
        <is>
          <t>No</t>
        </is>
      </c>
      <c r="AY40" s="5" t="inlineStr">
        <is>
          <t>Verified directory</t>
        </is>
      </c>
      <c r="AZ40" s="5" t="inlineStr">
        <is>
          <t>Not Found</t>
        </is>
      </c>
      <c r="BA40" s="5" t="inlineStr">
        <is>
          <t>2026-09-16</t>
        </is>
      </c>
      <c r="BB40" s="5" t="inlineStr">
        <is>
          <t>Requires Verification</t>
        </is>
      </c>
      <c r="BC40" s="5" t="inlineStr">
        <is>
          <t>Medium</t>
        </is>
      </c>
      <c r="BD40" s="5" t="inlineStr"/>
      <c r="BE40" s="5" t="inlineStr">
        <is>
          <t>Business (B2B)</t>
        </is>
      </c>
      <c r="BF40" s="5" t="inlineStr">
        <is>
          <t>Legitimate interest (B2B) - assess per campaign; PECR: corporate subscribers</t>
        </is>
      </c>
      <c r="BG40" s="5" t="inlineStr"/>
      <c r="BH40" s="5" t="inlineStr">
        <is>
          <t>No</t>
        </is>
      </c>
      <c r="BI40" s="5" t="inlineStr">
        <is>
          <t>2026-09-16</t>
        </is>
      </c>
      <c r="BJ40" s="5" t="inlineStr">
        <is>
          <t>New</t>
        </is>
      </c>
      <c r="BK40" s="5" t="inlineStr">
        <is>
          <t>2026-09-16</t>
        </is>
      </c>
      <c r="BL40" s="5" t="inlineStr"/>
      <c r="BM40" s="5" t="inlineStr"/>
      <c r="BN40" s="5" t="inlineStr"/>
      <c r="BO40" s="5" t="inlineStr"/>
      <c r="BP40" s="5" t="inlineStr"/>
      <c r="BQ40" s="5" t="inlineStr"/>
    </row>
    <row r="41">
      <c r="A41" s="10" t="inlineStr">
        <is>
          <t>WY-0040</t>
        </is>
      </c>
      <c r="B41" s="10" t="inlineStr">
        <is>
          <t>WOWVAPE-02</t>
        </is>
      </c>
      <c r="C41" s="10" t="inlineStr">
        <is>
          <t>WOW Vape</t>
        </is>
      </c>
      <c r="D41" s="10" t="inlineStr">
        <is>
          <t>WOW Vape (Wakefield)</t>
        </is>
      </c>
      <c r="E41" s="10" t="inlineStr">
        <is>
          <t>WOW Vape</t>
        </is>
      </c>
      <c r="F41" s="10" t="inlineStr"/>
      <c r="G41" s="10" t="inlineStr">
        <is>
          <t>Vape Shop</t>
        </is>
      </c>
      <c r="H41" s="10" t="inlineStr">
        <is>
          <t>Vape retailer</t>
        </is>
      </c>
      <c r="I41" s="10" t="inlineStr">
        <is>
          <t>Multi-Site Independent</t>
        </is>
      </c>
      <c r="J41" s="10" t="inlineStr">
        <is>
          <t>2</t>
        </is>
      </c>
      <c r="K41" s="10" t="inlineStr"/>
      <c r="L41" s="10" t="inlineStr"/>
      <c r="M41" s="10" t="inlineStr">
        <is>
          <t>https://www.instagram.com/wowvapewakefield/</t>
        </is>
      </c>
      <c r="N41" s="10" t="inlineStr"/>
      <c r="O41" s="10" t="inlineStr"/>
      <c r="P41" s="10" t="inlineStr"/>
      <c r="Q41" s="10" t="inlineStr">
        <is>
          <t>Wakefield</t>
        </is>
      </c>
      <c r="R41" s="10" t="inlineStr">
        <is>
          <t>West Yorkshire</t>
        </is>
      </c>
      <c r="S41" s="10" t="inlineStr"/>
      <c r="T41" s="10" t="inlineStr">
        <is>
          <t>Yorkshire &amp; Humber</t>
        </is>
      </c>
      <c r="U41" s="10" t="inlineStr">
        <is>
          <t>England</t>
        </is>
      </c>
      <c r="V41" s="10" t="inlineStr"/>
      <c r="W41" s="10" t="inlineStr"/>
      <c r="X41" s="10" t="inlineStr"/>
      <c r="Y41" s="10" t="inlineStr"/>
      <c r="Z41" s="10" t="inlineStr"/>
      <c r="AA41" s="10" t="inlineStr"/>
      <c r="AB41" s="10" t="inlineStr"/>
      <c r="AC41" s="10" t="inlineStr"/>
      <c r="AD41" s="10" t="inlineStr"/>
      <c r="AE41" s="10" t="inlineStr"/>
      <c r="AF41" s="10" t="inlineStr"/>
      <c r="AG41" s="10" t="inlineStr"/>
      <c r="AH41" s="10" t="inlineStr"/>
      <c r="AI41" s="10" t="inlineStr"/>
      <c r="AJ41" s="10" t="inlineStr"/>
      <c r="AK41" s="10" t="inlineStr">
        <is>
          <t>vape hardware; e-liquids</t>
        </is>
      </c>
      <c r="AL41" s="10" t="inlineStr"/>
      <c r="AM41" s="10" t="inlineStr">
        <is>
          <t>Vape Shop</t>
        </is>
      </c>
      <c r="AN41" s="10" t="inlineStr"/>
      <c r="AO41" s="10" t="inlineStr">
        <is>
          <t>Wakefield branch of WOW Vape (sister shop to Castleford). Confirmed via Instagram handle and Puffing Bird directory listing; street address not found in accessible sources - needs follow-up.</t>
        </is>
      </c>
      <c r="AP41" s="10" t="inlineStr">
        <is>
          <t>High</t>
        </is>
      </c>
      <c r="AQ41" s="10" t="inlineStr">
        <is>
          <t>Multi-site retailer; Independent retailer; Core relevant category; Social presence</t>
        </is>
      </c>
      <c r="AR41" s="10" t="inlineStr">
        <is>
          <t>https://www.instagram.com/wowvapewakefield/</t>
        </is>
      </c>
      <c r="AS41" s="10" t="inlineStr">
        <is>
          <t>https://vapeshops.puffingbird.com/yorkshire-and-the-humber/wakefield/wow-vape-wakefield</t>
        </is>
      </c>
      <c r="AT41" s="10" t="inlineStr">
        <is>
          <t>2</t>
        </is>
      </c>
      <c r="AU41" s="10" t="inlineStr">
        <is>
          <t>No</t>
        </is>
      </c>
      <c r="AV41" s="10" t="inlineStr">
        <is>
          <t>No</t>
        </is>
      </c>
      <c r="AW41" s="10" t="inlineStr">
        <is>
          <t>No</t>
        </is>
      </c>
      <c r="AX41" s="10" t="inlineStr">
        <is>
          <t>No</t>
        </is>
      </c>
      <c r="AY41" s="10" t="inlineStr">
        <is>
          <t>Not Found</t>
        </is>
      </c>
      <c r="AZ41" s="10" t="inlineStr">
        <is>
          <t>Not Found</t>
        </is>
      </c>
      <c r="BA41" s="10" t="inlineStr">
        <is>
          <t>2026-09-16</t>
        </is>
      </c>
      <c r="BB41" s="10" t="inlineStr">
        <is>
          <t>Requires Verification</t>
        </is>
      </c>
      <c r="BC41" s="10" t="inlineStr">
        <is>
          <t>Low</t>
        </is>
      </c>
      <c r="BD41" s="10" t="inlineStr"/>
      <c r="BE41" s="10" t="inlineStr">
        <is>
          <t>Business (B2B)</t>
        </is>
      </c>
      <c r="BF41" s="10" t="inlineStr">
        <is>
          <t>Legitimate interest (B2B) - assess per campaign; PECR: corporate subscribers</t>
        </is>
      </c>
      <c r="BG41" s="10" t="inlineStr"/>
      <c r="BH41" s="10" t="inlineStr">
        <is>
          <t>No</t>
        </is>
      </c>
      <c r="BI41" s="10" t="inlineStr">
        <is>
          <t>2026-09-16</t>
        </is>
      </c>
      <c r="BJ41" s="10" t="inlineStr">
        <is>
          <t>New</t>
        </is>
      </c>
      <c r="BK41" s="10" t="inlineStr">
        <is>
          <t>2026-09-16</t>
        </is>
      </c>
      <c r="BL41" s="10" t="inlineStr"/>
      <c r="BM41" s="10" t="inlineStr"/>
      <c r="BN41" s="10" t="inlineStr"/>
      <c r="BO41" s="10" t="inlineStr"/>
      <c r="BP41" s="10" t="inlineStr"/>
      <c r="BQ41" s="10" t="inlineStr"/>
    </row>
    <row r="42">
      <c r="A42" s="5" t="inlineStr">
        <is>
          <t>WY-0041</t>
        </is>
      </c>
      <c r="B42" s="5" t="inlineStr">
        <is>
          <t>WEAREVAPES-01</t>
        </is>
      </c>
      <c r="C42" s="5" t="inlineStr">
        <is>
          <t>We Are Vapes</t>
        </is>
      </c>
      <c r="D42" s="5" t="inlineStr">
        <is>
          <t>We Are Vapes</t>
        </is>
      </c>
      <c r="E42" s="5" t="inlineStr">
        <is>
          <t>We Are Vapes</t>
        </is>
      </c>
      <c r="F42" s="5" t="inlineStr"/>
      <c r="G42" s="5" t="inlineStr">
        <is>
          <t>Vape Shop</t>
        </is>
      </c>
      <c r="H42" s="5" t="inlineStr">
        <is>
          <t>Vape kits, e-liquids &amp; accessories</t>
        </is>
      </c>
      <c r="I42" s="5" t="inlineStr">
        <is>
          <t>Multi-Site Independent</t>
        </is>
      </c>
      <c r="J42" s="5" t="inlineStr">
        <is>
          <t>3</t>
        </is>
      </c>
      <c r="K42" s="5" t="inlineStr">
        <is>
          <t>https://www.wearevapes.com/</t>
        </is>
      </c>
      <c r="L42" s="5" t="inlineStr"/>
      <c r="M42" s="5" t="inlineStr"/>
      <c r="N42" s="5" t="inlineStr"/>
      <c r="O42" s="5" t="inlineStr">
        <is>
          <t>287 Tong Street</t>
        </is>
      </c>
      <c r="P42" s="5" t="inlineStr"/>
      <c r="Q42" s="5" t="inlineStr">
        <is>
          <t>Bradford</t>
        </is>
      </c>
      <c r="R42" s="5" t="inlineStr">
        <is>
          <t>West Yorkshire</t>
        </is>
      </c>
      <c r="S42" s="5" t="inlineStr">
        <is>
          <t>BD4 9QJ</t>
        </is>
      </c>
      <c r="T42" s="5" t="inlineStr">
        <is>
          <t>Yorkshire &amp; Humber</t>
        </is>
      </c>
      <c r="U42" s="5" t="inlineStr">
        <is>
          <t>England</t>
        </is>
      </c>
      <c r="V42" s="5" t="inlineStr">
        <is>
          <t>01274 270773</t>
        </is>
      </c>
      <c r="W42" s="5" t="inlineStr"/>
      <c r="X42" s="5" t="inlineStr"/>
      <c r="Y42" s="5" t="inlineStr"/>
      <c r="Z42" s="5" t="inlineStr"/>
      <c r="AA42" s="5" t="inlineStr"/>
      <c r="AB42" s="5" t="inlineStr"/>
      <c r="AC42" s="5" t="inlineStr"/>
      <c r="AD42" s="5" t="inlineStr"/>
      <c r="AE42" s="5" t="inlineStr"/>
      <c r="AF42" s="5" t="inlineStr"/>
      <c r="AG42" s="5" t="inlineStr"/>
      <c r="AH42" s="5" t="inlineStr"/>
      <c r="AI42" s="5" t="inlineStr"/>
      <c r="AJ42" s="5" t="inlineStr"/>
      <c r="AK42" s="5" t="inlineStr">
        <is>
          <t>vape hardware; e-liquids; disposables</t>
        </is>
      </c>
      <c r="AL42" s="5" t="inlineStr"/>
      <c r="AM42" s="5" t="inlineStr">
        <is>
          <t>Vape Shop</t>
        </is>
      </c>
      <c r="AN42" s="5" t="inlineStr"/>
      <c r="AO42" s="5" t="inlineStr">
        <is>
          <t>West Yorkshire vape specialist with three Bradford branches (Tong Street, High Street Wibsey, Killinghall Road). Official site wearevapes.com confirmed in search results; direct fetch blocked by network proxy so branch details taken from Yelp listing snippets.</t>
        </is>
      </c>
      <c r="AP42" s="5" t="inlineStr">
        <is>
          <t>High</t>
        </is>
      </c>
      <c r="AQ42" s="5" t="inlineStr">
        <is>
          <t>Multi-site retailer; Independent retailer; Core relevant category; Active website</t>
        </is>
      </c>
      <c r="AR42" s="5" t="inlineStr">
        <is>
          <t>https://www.wearevapes.com/</t>
        </is>
      </c>
      <c r="AS42" s="5" t="inlineStr">
        <is>
          <t>https://www.yelp.co.uk/biz/we-are-vapes-bradford-3</t>
        </is>
      </c>
      <c r="AT42" s="5" t="inlineStr">
        <is>
          <t>2</t>
        </is>
      </c>
      <c r="AU42" s="5" t="inlineStr">
        <is>
          <t>No</t>
        </is>
      </c>
      <c r="AV42" s="5" t="inlineStr">
        <is>
          <t>No</t>
        </is>
      </c>
      <c r="AW42" s="5" t="inlineStr">
        <is>
          <t>No</t>
        </is>
      </c>
      <c r="AX42" s="5" t="inlineStr">
        <is>
          <t>No</t>
        </is>
      </c>
      <c r="AY42" s="5" t="inlineStr">
        <is>
          <t>Verified directory</t>
        </is>
      </c>
      <c r="AZ42" s="5" t="inlineStr">
        <is>
          <t>Website Found</t>
        </is>
      </c>
      <c r="BA42" s="5" t="inlineStr">
        <is>
          <t>2026-09-16</t>
        </is>
      </c>
      <c r="BB42" s="5" t="inlineStr">
        <is>
          <t>Requires Verification</t>
        </is>
      </c>
      <c r="BC42" s="5" t="inlineStr">
        <is>
          <t>Medium</t>
        </is>
      </c>
      <c r="BD42" s="5" t="inlineStr"/>
      <c r="BE42" s="5" t="inlineStr">
        <is>
          <t>Business (B2B)</t>
        </is>
      </c>
      <c r="BF42" s="5" t="inlineStr">
        <is>
          <t>Legitimate interest (B2B) - assess per campaign; PECR: corporate subscribers</t>
        </is>
      </c>
      <c r="BG42" s="5" t="inlineStr"/>
      <c r="BH42" s="5" t="inlineStr">
        <is>
          <t>No</t>
        </is>
      </c>
      <c r="BI42" s="5" t="inlineStr">
        <is>
          <t>2026-09-16</t>
        </is>
      </c>
      <c r="BJ42" s="5" t="inlineStr">
        <is>
          <t>New</t>
        </is>
      </c>
      <c r="BK42" s="5" t="inlineStr">
        <is>
          <t>2026-09-16</t>
        </is>
      </c>
      <c r="BL42" s="5" t="inlineStr"/>
      <c r="BM42" s="5" t="inlineStr"/>
      <c r="BN42" s="5" t="inlineStr"/>
      <c r="BO42" s="5" t="inlineStr"/>
      <c r="BP42" s="5" t="inlineStr"/>
      <c r="BQ42" s="5" t="inlineStr"/>
    </row>
    <row r="43">
      <c r="A43" s="10" t="inlineStr">
        <is>
          <t>WY-0042</t>
        </is>
      </c>
      <c r="B43" s="10" t="inlineStr">
        <is>
          <t>WEAREVAPES-02</t>
        </is>
      </c>
      <c r="C43" s="10" t="inlineStr">
        <is>
          <t>We Are Vapes</t>
        </is>
      </c>
      <c r="D43" s="10" t="inlineStr">
        <is>
          <t>We Are Vapes</t>
        </is>
      </c>
      <c r="E43" s="10" t="inlineStr">
        <is>
          <t>We Are Vapes</t>
        </is>
      </c>
      <c r="F43" s="10" t="inlineStr"/>
      <c r="G43" s="10" t="inlineStr">
        <is>
          <t>Vape Shop</t>
        </is>
      </c>
      <c r="H43" s="10" t="inlineStr">
        <is>
          <t>Vape kits, e-liquids &amp; accessories</t>
        </is>
      </c>
      <c r="I43" s="10" t="inlineStr">
        <is>
          <t>Multi-Site Independent</t>
        </is>
      </c>
      <c r="J43" s="10" t="inlineStr">
        <is>
          <t>3</t>
        </is>
      </c>
      <c r="K43" s="10" t="inlineStr">
        <is>
          <t>https://www.wearevapes.com/</t>
        </is>
      </c>
      <c r="L43" s="10" t="inlineStr"/>
      <c r="M43" s="10" t="inlineStr"/>
      <c r="N43" s="10" t="inlineStr"/>
      <c r="O43" s="10" t="inlineStr">
        <is>
          <t>220 High Street</t>
        </is>
      </c>
      <c r="P43" s="10" t="inlineStr">
        <is>
          <t>Wibsey</t>
        </is>
      </c>
      <c r="Q43" s="10" t="inlineStr">
        <is>
          <t>Bradford</t>
        </is>
      </c>
      <c r="R43" s="10" t="inlineStr">
        <is>
          <t>West Yorkshire</t>
        </is>
      </c>
      <c r="S43" s="10" t="inlineStr"/>
      <c r="T43" s="10" t="inlineStr">
        <is>
          <t>Yorkshire &amp; Humber</t>
        </is>
      </c>
      <c r="U43" s="10" t="inlineStr">
        <is>
          <t>England</t>
        </is>
      </c>
      <c r="V43" s="10" t="inlineStr">
        <is>
          <t>01274 634327</t>
        </is>
      </c>
      <c r="W43" s="10" t="inlineStr"/>
      <c r="X43" s="10" t="inlineStr"/>
      <c r="Y43" s="10" t="inlineStr"/>
      <c r="Z43" s="10" t="inlineStr"/>
      <c r="AA43" s="10" t="inlineStr"/>
      <c r="AB43" s="10" t="inlineStr"/>
      <c r="AC43" s="10" t="inlineStr"/>
      <c r="AD43" s="10" t="inlineStr"/>
      <c r="AE43" s="10" t="inlineStr"/>
      <c r="AF43" s="10" t="inlineStr"/>
      <c r="AG43" s="10" t="inlineStr"/>
      <c r="AH43" s="10" t="inlineStr"/>
      <c r="AI43" s="10" t="inlineStr"/>
      <c r="AJ43" s="10" t="inlineStr"/>
      <c r="AK43" s="10" t="inlineStr">
        <is>
          <t>vape hardware; e-liquids; disposables</t>
        </is>
      </c>
      <c r="AL43" s="10" t="inlineStr"/>
      <c r="AM43" s="10" t="inlineStr">
        <is>
          <t>Vape Shop</t>
        </is>
      </c>
      <c r="AN43" s="10" t="inlineStr"/>
      <c r="AO43" s="10" t="inlineStr">
        <is>
          <t>Wibsey branch of the 3-store We Are Vapes group. Phone listed against this branch in directory results.</t>
        </is>
      </c>
      <c r="AP43" s="10" t="inlineStr">
        <is>
          <t>High</t>
        </is>
      </c>
      <c r="AQ43" s="10" t="inlineStr">
        <is>
          <t>Multi-site retailer; Independent retailer; Core relevant category; Active website</t>
        </is>
      </c>
      <c r="AR43" s="10" t="inlineStr">
        <is>
          <t>https://www.wearevapes.com/</t>
        </is>
      </c>
      <c r="AS43" s="10" t="inlineStr">
        <is>
          <t>https://www.yelp.com/biz/we-are-vapes-bradford-2</t>
        </is>
      </c>
      <c r="AT43" s="10" t="inlineStr">
        <is>
          <t>2</t>
        </is>
      </c>
      <c r="AU43" s="10" t="inlineStr">
        <is>
          <t>No</t>
        </is>
      </c>
      <c r="AV43" s="10" t="inlineStr">
        <is>
          <t>No</t>
        </is>
      </c>
      <c r="AW43" s="10" t="inlineStr">
        <is>
          <t>No</t>
        </is>
      </c>
      <c r="AX43" s="10" t="inlineStr">
        <is>
          <t>No</t>
        </is>
      </c>
      <c r="AY43" s="10" t="inlineStr">
        <is>
          <t>Verified directory</t>
        </is>
      </c>
      <c r="AZ43" s="10" t="inlineStr">
        <is>
          <t>Website Found</t>
        </is>
      </c>
      <c r="BA43" s="10" t="inlineStr">
        <is>
          <t>2026-09-16</t>
        </is>
      </c>
      <c r="BB43" s="10" t="inlineStr">
        <is>
          <t>Requires Verification</t>
        </is>
      </c>
      <c r="BC43" s="10" t="inlineStr">
        <is>
          <t>Medium</t>
        </is>
      </c>
      <c r="BD43" s="10" t="inlineStr"/>
      <c r="BE43" s="10" t="inlineStr">
        <is>
          <t>Business (B2B)</t>
        </is>
      </c>
      <c r="BF43" s="10" t="inlineStr">
        <is>
          <t>Legitimate interest (B2B) - assess per campaign; PECR: corporate subscribers</t>
        </is>
      </c>
      <c r="BG43" s="10" t="inlineStr"/>
      <c r="BH43" s="10" t="inlineStr">
        <is>
          <t>No</t>
        </is>
      </c>
      <c r="BI43" s="10" t="inlineStr">
        <is>
          <t>2026-09-16</t>
        </is>
      </c>
      <c r="BJ43" s="10" t="inlineStr">
        <is>
          <t>New</t>
        </is>
      </c>
      <c r="BK43" s="10" t="inlineStr">
        <is>
          <t>2026-09-16</t>
        </is>
      </c>
      <c r="BL43" s="10" t="inlineStr"/>
      <c r="BM43" s="10" t="inlineStr"/>
      <c r="BN43" s="10" t="inlineStr"/>
      <c r="BO43" s="10" t="inlineStr"/>
      <c r="BP43" s="10" t="inlineStr"/>
      <c r="BQ43" s="10" t="inlineStr"/>
    </row>
    <row r="44">
      <c r="A44" s="5" t="inlineStr">
        <is>
          <t>WY-0043</t>
        </is>
      </c>
      <c r="B44" s="5" t="inlineStr">
        <is>
          <t>WEAREVAPES-03</t>
        </is>
      </c>
      <c r="C44" s="5" t="inlineStr">
        <is>
          <t>We Are Vapes</t>
        </is>
      </c>
      <c r="D44" s="5" t="inlineStr">
        <is>
          <t>We Are Vapes</t>
        </is>
      </c>
      <c r="E44" s="5" t="inlineStr">
        <is>
          <t>We Are Vapes</t>
        </is>
      </c>
      <c r="F44" s="5" t="inlineStr"/>
      <c r="G44" s="5" t="inlineStr">
        <is>
          <t>Vape Shop</t>
        </is>
      </c>
      <c r="H44" s="5" t="inlineStr">
        <is>
          <t>Vape kits, e-liquids &amp; accessories</t>
        </is>
      </c>
      <c r="I44" s="5" t="inlineStr">
        <is>
          <t>Multi-Site Independent</t>
        </is>
      </c>
      <c r="J44" s="5" t="inlineStr">
        <is>
          <t>3</t>
        </is>
      </c>
      <c r="K44" s="5" t="inlineStr">
        <is>
          <t>https://www.wearevapes.com/</t>
        </is>
      </c>
      <c r="L44" s="5" t="inlineStr"/>
      <c r="M44" s="5" t="inlineStr"/>
      <c r="N44" s="5" t="inlineStr"/>
      <c r="O44" s="5" t="inlineStr">
        <is>
          <t>446 Killinghall Road</t>
        </is>
      </c>
      <c r="P44" s="5" t="inlineStr"/>
      <c r="Q44" s="5" t="inlineStr">
        <is>
          <t>Bradford</t>
        </is>
      </c>
      <c r="R44" s="5" t="inlineStr">
        <is>
          <t>West Yorkshire</t>
        </is>
      </c>
      <c r="S44" s="5" t="inlineStr"/>
      <c r="T44" s="5" t="inlineStr">
        <is>
          <t>Yorkshire &amp; Humber</t>
        </is>
      </c>
      <c r="U44" s="5" t="inlineStr">
        <is>
          <t>England</t>
        </is>
      </c>
      <c r="V44" s="5" t="inlineStr"/>
      <c r="W44" s="5" t="inlineStr"/>
      <c r="X44" s="5" t="inlineStr"/>
      <c r="Y44" s="5" t="inlineStr"/>
      <c r="Z44" s="5" t="inlineStr"/>
      <c r="AA44" s="5" t="inlineStr"/>
      <c r="AB44" s="5" t="inlineStr"/>
      <c r="AC44" s="5" t="inlineStr"/>
      <c r="AD44" s="5" t="inlineStr"/>
      <c r="AE44" s="5" t="inlineStr"/>
      <c r="AF44" s="5" t="inlineStr"/>
      <c r="AG44" s="5" t="inlineStr"/>
      <c r="AH44" s="5" t="inlineStr"/>
      <c r="AI44" s="5" t="inlineStr"/>
      <c r="AJ44" s="5" t="inlineStr"/>
      <c r="AK44" s="5" t="inlineStr">
        <is>
          <t>vape hardware; e-liquids; disposables</t>
        </is>
      </c>
      <c r="AL44" s="5" t="inlineStr"/>
      <c r="AM44" s="5" t="inlineStr">
        <is>
          <t>Vape Shop</t>
        </is>
      </c>
      <c r="AN44" s="5" t="inlineStr"/>
      <c r="AO44" s="5" t="inlineStr">
        <is>
          <t>Killinghall Road branch (Bradford Moor side of the city) of the 3-store We Are Vapes group.</t>
        </is>
      </c>
      <c r="AP44" s="5" t="inlineStr">
        <is>
          <t>High</t>
        </is>
      </c>
      <c r="AQ44" s="5" t="inlineStr">
        <is>
          <t>Multi-site retailer; Independent retailer; Core relevant category; Active website</t>
        </is>
      </c>
      <c r="AR44" s="5" t="inlineStr">
        <is>
          <t>https://www.wearevapes.com/</t>
        </is>
      </c>
      <c r="AS44" s="5" t="inlineStr">
        <is>
          <t>https://www.yelp.com/biz/we-are-vapes-bradford</t>
        </is>
      </c>
      <c r="AT44" s="5" t="inlineStr">
        <is>
          <t>2</t>
        </is>
      </c>
      <c r="AU44" s="5" t="inlineStr">
        <is>
          <t>No</t>
        </is>
      </c>
      <c r="AV44" s="5" t="inlineStr">
        <is>
          <t>No</t>
        </is>
      </c>
      <c r="AW44" s="5" t="inlineStr">
        <is>
          <t>No</t>
        </is>
      </c>
      <c r="AX44" s="5" t="inlineStr">
        <is>
          <t>No</t>
        </is>
      </c>
      <c r="AY44" s="5" t="inlineStr">
        <is>
          <t>Not Found</t>
        </is>
      </c>
      <c r="AZ44" s="5" t="inlineStr">
        <is>
          <t>Website Found</t>
        </is>
      </c>
      <c r="BA44" s="5" t="inlineStr">
        <is>
          <t>2026-09-16</t>
        </is>
      </c>
      <c r="BB44" s="5" t="inlineStr">
        <is>
          <t>Requires Verification</t>
        </is>
      </c>
      <c r="BC44" s="5" t="inlineStr">
        <is>
          <t>Low</t>
        </is>
      </c>
      <c r="BD44" s="5" t="inlineStr"/>
      <c r="BE44" s="5" t="inlineStr">
        <is>
          <t>Business (B2B)</t>
        </is>
      </c>
      <c r="BF44" s="5" t="inlineStr">
        <is>
          <t>Legitimate interest (B2B) - assess per campaign; PECR: corporate subscribers</t>
        </is>
      </c>
      <c r="BG44" s="5" t="inlineStr"/>
      <c r="BH44" s="5" t="inlineStr">
        <is>
          <t>No</t>
        </is>
      </c>
      <c r="BI44" s="5" t="inlineStr">
        <is>
          <t>2026-09-16</t>
        </is>
      </c>
      <c r="BJ44" s="5" t="inlineStr">
        <is>
          <t>New</t>
        </is>
      </c>
      <c r="BK44" s="5" t="inlineStr">
        <is>
          <t>2026-09-16</t>
        </is>
      </c>
      <c r="BL44" s="5" t="inlineStr"/>
      <c r="BM44" s="5" t="inlineStr"/>
      <c r="BN44" s="5" t="inlineStr"/>
      <c r="BO44" s="5" t="inlineStr"/>
      <c r="BP44" s="5" t="inlineStr"/>
      <c r="BQ44" s="5" t="inlineStr"/>
    </row>
    <row r="45">
      <c r="A45" s="10" t="inlineStr">
        <is>
          <t>WY-0044</t>
        </is>
      </c>
      <c r="B45" s="10" t="inlineStr">
        <is>
          <t>WORLDWIDEF-01</t>
        </is>
      </c>
      <c r="C45" s="10" t="inlineStr">
        <is>
          <t>Worldwide Foods Group</t>
        </is>
      </c>
      <c r="D45" s="10" t="inlineStr">
        <is>
          <t>Worldwide Foods Bradford (Great Horton Road)</t>
        </is>
      </c>
      <c r="E45" s="10" t="inlineStr">
        <is>
          <t>Worldwide Foods</t>
        </is>
      </c>
      <c r="F45" s="10" t="inlineStr">
        <is>
          <t>Worldwide Foods (Bradford) Limited</t>
        </is>
      </c>
      <c r="G45" s="10" t="inlineStr">
        <is>
          <t>Independent Supermarket</t>
        </is>
      </c>
      <c r="H45" s="10" t="inlineStr">
        <is>
          <t>Halal / world food supermarket</t>
        </is>
      </c>
      <c r="I45" s="10" t="inlineStr">
        <is>
          <t>Regional Chain</t>
        </is>
      </c>
      <c r="J45" s="10" t="inlineStr"/>
      <c r="K45" s="10" t="inlineStr">
        <is>
          <t>https://worldwidefoods.co.uk/</t>
        </is>
      </c>
      <c r="L45" s="10" t="inlineStr">
        <is>
          <t>https://www.facebook.com/worldwidefoods/</t>
        </is>
      </c>
      <c r="M45" s="10" t="inlineStr"/>
      <c r="N45" s="10" t="inlineStr"/>
      <c r="O45" s="10" t="inlineStr">
        <is>
          <t>607 Great Horton Road</t>
        </is>
      </c>
      <c r="P45" s="10" t="inlineStr">
        <is>
          <t>Great Horton</t>
        </is>
      </c>
      <c r="Q45" s="10" t="inlineStr">
        <is>
          <t>Bradford</t>
        </is>
      </c>
      <c r="R45" s="10" t="inlineStr">
        <is>
          <t>West Yorkshire</t>
        </is>
      </c>
      <c r="S45" s="10" t="inlineStr">
        <is>
          <t>BD7 4ED</t>
        </is>
      </c>
      <c r="T45" s="10" t="inlineStr">
        <is>
          <t>Yorkshire &amp; Humber</t>
        </is>
      </c>
      <c r="U45" s="10" t="inlineStr">
        <is>
          <t>England</t>
        </is>
      </c>
      <c r="V45" s="10" t="inlineStr">
        <is>
          <t>01274 572661</t>
        </is>
      </c>
      <c r="W45" s="10" t="inlineStr"/>
      <c r="X45" s="10" t="inlineStr"/>
      <c r="Y45" s="10" t="inlineStr">
        <is>
          <t>info@worldwidefoods.co.uk</t>
        </is>
      </c>
      <c r="Z45" s="10" t="inlineStr"/>
      <c r="AA45" s="10" t="inlineStr"/>
      <c r="AB45" s="10" t="inlineStr"/>
      <c r="AC45" s="10" t="inlineStr"/>
      <c r="AD45" s="10" t="inlineStr"/>
      <c r="AE45" s="10" t="inlineStr">
        <is>
          <t>04179487</t>
        </is>
      </c>
      <c r="AF45" s="10" t="inlineStr"/>
      <c r="AG45" s="10" t="inlineStr">
        <is>
          <t>WORLDWIDE FOODS (BRADFORD) LIMITED</t>
        </is>
      </c>
      <c r="AH45" s="10" t="inlineStr"/>
      <c r="AI45" s="10" t="inlineStr"/>
      <c r="AJ45" s="10" t="inlineStr"/>
      <c r="AK45" s="10" t="inlineStr">
        <is>
          <t>halal meat; fresh produce; spices; world foods; groceries</t>
        </is>
      </c>
      <c r="AL45" s="10" t="inlineStr"/>
      <c r="AM45" s="10" t="inlineStr">
        <is>
          <t>Independent Supermarket</t>
        </is>
      </c>
      <c r="AN45" s="10" t="inlineStr"/>
      <c r="AO45" s="10" t="inlineStr">
        <is>
          <t>Second Bradford store of the Worldwide Foods group. Two phone numbers seen in listings: 01274 572661 and 01274 572673.</t>
        </is>
      </c>
      <c r="AP45" s="10" t="inlineStr">
        <is>
          <t>High</t>
        </is>
      </c>
      <c r="AQ45" s="10" t="inlineStr">
        <is>
          <t>Multi-site retailer; Relevant category; Public email available; Active website; Social presence</t>
        </is>
      </c>
      <c r="AR45" s="10" t="inlineStr">
        <is>
          <t>https://worldwidefoods.co.uk/worldwide-bradford-great-horton-road/</t>
        </is>
      </c>
      <c r="AS45" s="10" t="inlineStr">
        <is>
          <t>https://worldwidefoods.co.uk/contact-us/</t>
        </is>
      </c>
      <c r="AT45" s="10" t="inlineStr">
        <is>
          <t>3</t>
        </is>
      </c>
      <c r="AU45" s="10" t="inlineStr">
        <is>
          <t>No</t>
        </is>
      </c>
      <c r="AV45" s="10" t="inlineStr">
        <is>
          <t>No</t>
        </is>
      </c>
      <c r="AW45" s="10" t="inlineStr">
        <is>
          <t>Yes</t>
        </is>
      </c>
      <c r="AX45" s="10" t="inlineStr">
        <is>
          <t>Yes</t>
        </is>
      </c>
      <c r="AY45" s="10" t="inlineStr">
        <is>
          <t>Verified directory</t>
        </is>
      </c>
      <c r="AZ45" s="10" t="inlineStr">
        <is>
          <t>Website Found</t>
        </is>
      </c>
      <c r="BA45" s="10" t="inlineStr">
        <is>
          <t>2026-09-16</t>
        </is>
      </c>
      <c r="BB45" s="10" t="inlineStr">
        <is>
          <t>Partially Verified</t>
        </is>
      </c>
      <c r="BC45" s="10" t="inlineStr">
        <is>
          <t>Medium</t>
        </is>
      </c>
      <c r="BD45" s="10" t="inlineStr"/>
      <c r="BE45" s="10" t="inlineStr">
        <is>
          <t>Business (B2B)</t>
        </is>
      </c>
      <c r="BF45" s="10" t="inlineStr">
        <is>
          <t>Legitimate interest (B2B) - assess per campaign; PECR: corporate subscribers</t>
        </is>
      </c>
      <c r="BG45" s="10" t="inlineStr"/>
      <c r="BH45" s="10" t="inlineStr">
        <is>
          <t>No</t>
        </is>
      </c>
      <c r="BI45" s="10" t="inlineStr">
        <is>
          <t>2026-09-16</t>
        </is>
      </c>
      <c r="BJ45" s="10" t="inlineStr">
        <is>
          <t>New</t>
        </is>
      </c>
      <c r="BK45" s="10" t="inlineStr">
        <is>
          <t>2026-09-16</t>
        </is>
      </c>
      <c r="BL45" s="10" t="inlineStr"/>
      <c r="BM45" s="10" t="inlineStr"/>
      <c r="BN45" s="10" t="inlineStr"/>
      <c r="BO45" s="10" t="inlineStr"/>
      <c r="BP45" s="10" t="inlineStr"/>
      <c r="BQ45" s="10" t="inlineStr"/>
    </row>
    <row r="46">
      <c r="A46" s="5" t="inlineStr">
        <is>
          <t>WY-0045</t>
        </is>
      </c>
      <c r="B46" s="5" t="inlineStr">
        <is>
          <t>WORLDWIDEF-02</t>
        </is>
      </c>
      <c r="C46" s="5" t="inlineStr">
        <is>
          <t>Worldwide Foods Group</t>
        </is>
      </c>
      <c r="D46" s="5" t="inlineStr">
        <is>
          <t>Worldwide Foods Bradford (Leeds Road)</t>
        </is>
      </c>
      <c r="E46" s="5" t="inlineStr">
        <is>
          <t>Al Halal Worldwide Foods</t>
        </is>
      </c>
      <c r="F46" s="5" t="inlineStr">
        <is>
          <t>Worldwide Foods (Bradford) Limited</t>
        </is>
      </c>
      <c r="G46" s="5" t="inlineStr">
        <is>
          <t>Independent Supermarket</t>
        </is>
      </c>
      <c r="H46" s="5" t="inlineStr">
        <is>
          <t>Halal / world food supermarket (24 hours)</t>
        </is>
      </c>
      <c r="I46" s="5" t="inlineStr">
        <is>
          <t>Regional Chain</t>
        </is>
      </c>
      <c r="J46" s="5" t="inlineStr"/>
      <c r="K46" s="5" t="inlineStr">
        <is>
          <t>https://worldwidefoods.co.uk/</t>
        </is>
      </c>
      <c r="L46" s="5" t="inlineStr">
        <is>
          <t>https://www.facebook.com/worldwidefoods/</t>
        </is>
      </c>
      <c r="M46" s="5" t="inlineStr"/>
      <c r="N46" s="5" t="inlineStr"/>
      <c r="O46" s="5" t="inlineStr">
        <is>
          <t>1001 Leeds Road</t>
        </is>
      </c>
      <c r="P46" s="5" t="inlineStr"/>
      <c r="Q46" s="5" t="inlineStr">
        <is>
          <t>Bradford</t>
        </is>
      </c>
      <c r="R46" s="5" t="inlineStr">
        <is>
          <t>West Yorkshire</t>
        </is>
      </c>
      <c r="S46" s="5" t="inlineStr">
        <is>
          <t>BD3 7NH</t>
        </is>
      </c>
      <c r="T46" s="5" t="inlineStr">
        <is>
          <t>Yorkshire &amp; Humber</t>
        </is>
      </c>
      <c r="U46" s="5" t="inlineStr">
        <is>
          <t>England</t>
        </is>
      </c>
      <c r="V46" s="5" t="inlineStr">
        <is>
          <t>01274 656638</t>
        </is>
      </c>
      <c r="W46" s="5" t="inlineStr"/>
      <c r="X46" s="5" t="inlineStr"/>
      <c r="Y46" s="5" t="inlineStr"/>
      <c r="Z46" s="5" t="inlineStr"/>
      <c r="AA46" s="5" t="inlineStr"/>
      <c r="AB46" s="5" t="inlineStr"/>
      <c r="AC46" s="5" t="inlineStr"/>
      <c r="AD46" s="5" t="inlineStr"/>
      <c r="AE46" s="5" t="inlineStr">
        <is>
          <t>04179487</t>
        </is>
      </c>
      <c r="AF46" s="5" t="inlineStr"/>
      <c r="AG46" s="5" t="inlineStr">
        <is>
          <t>WORLDWIDE FOODS (BRADFORD) LIMITED</t>
        </is>
      </c>
      <c r="AH46" s="5" t="inlineStr"/>
      <c r="AI46" s="5" t="inlineStr"/>
      <c r="AJ46" s="5" t="inlineStr"/>
      <c r="AK46" s="5" t="inlineStr">
        <is>
          <t>halal meat; fresh produce; spices; world foods; groceries</t>
        </is>
      </c>
      <c r="AL46" s="5" t="inlineStr"/>
      <c r="AM46" s="5" t="inlineStr">
        <is>
          <t>Independent Supermarket</t>
        </is>
      </c>
      <c r="AN46" s="5" t="inlineStr"/>
      <c r="AO46" s="5" t="inlineStr">
        <is>
          <t>Family-owned group (Alam brothers: Pervez, Arshad, Shahid, Zahid, Asif, Kashif) described as the UK's leading halal supermarket chain, outlets across the North and Midlands. Bradford Leeds Road store trades as Al Halal / Worldwide Foods and is open 24 hours. A separate company AL HALAL SUPERMARKET LIMITED (04049854) also appears in Companies House search - operating entity per store needs confirming.</t>
        </is>
      </c>
      <c r="AP46" s="5" t="inlineStr">
        <is>
          <t>Medium</t>
        </is>
      </c>
      <c r="AQ46" s="5" t="inlineStr">
        <is>
          <t>Multi-site retailer; Relevant category; Active website; Social presence</t>
        </is>
      </c>
      <c r="AR46" s="5" t="inlineStr">
        <is>
          <t>https://worldwidefoods.co.uk/worldwide-bradford-leeds-road/</t>
        </is>
      </c>
      <c r="AS46" s="5" t="inlineStr">
        <is>
          <t>https://find-and-update.company-information.service.gov.uk/company/04179487</t>
        </is>
      </c>
      <c r="AT46" s="5" t="inlineStr">
        <is>
          <t>3</t>
        </is>
      </c>
      <c r="AU46" s="5" t="inlineStr">
        <is>
          <t>No</t>
        </is>
      </c>
      <c r="AV46" s="5" t="inlineStr">
        <is>
          <t>No</t>
        </is>
      </c>
      <c r="AW46" s="5" t="inlineStr">
        <is>
          <t>No</t>
        </is>
      </c>
      <c r="AX46" s="5" t="inlineStr">
        <is>
          <t>Yes</t>
        </is>
      </c>
      <c r="AY46" s="5" t="inlineStr">
        <is>
          <t>Verified directory</t>
        </is>
      </c>
      <c r="AZ46" s="5" t="inlineStr">
        <is>
          <t>Website Found</t>
        </is>
      </c>
      <c r="BA46" s="5" t="inlineStr">
        <is>
          <t>2026-09-16</t>
        </is>
      </c>
      <c r="BB46" s="5" t="inlineStr">
        <is>
          <t>Partially Verified</t>
        </is>
      </c>
      <c r="BC46" s="5" t="inlineStr">
        <is>
          <t>Medium</t>
        </is>
      </c>
      <c r="BD46" s="5" t="inlineStr"/>
      <c r="BE46" s="5" t="inlineStr">
        <is>
          <t>Business (B2B)</t>
        </is>
      </c>
      <c r="BF46" s="5" t="inlineStr">
        <is>
          <t>Legitimate interest (B2B) - assess per campaign; PECR: corporate subscribers</t>
        </is>
      </c>
      <c r="BG46" s="5" t="inlineStr"/>
      <c r="BH46" s="5" t="inlineStr">
        <is>
          <t>No</t>
        </is>
      </c>
      <c r="BI46" s="5" t="inlineStr">
        <is>
          <t>2026-09-16</t>
        </is>
      </c>
      <c r="BJ46" s="5" t="inlineStr">
        <is>
          <t>New</t>
        </is>
      </c>
      <c r="BK46" s="5" t="inlineStr">
        <is>
          <t>2026-09-16</t>
        </is>
      </c>
      <c r="BL46" s="5" t="inlineStr"/>
      <c r="BM46" s="5" t="inlineStr"/>
      <c r="BN46" s="5" t="inlineStr"/>
      <c r="BO46" s="5" t="inlineStr"/>
      <c r="BP46" s="5" t="inlineStr"/>
      <c r="BQ46" s="5" t="inlineStr"/>
    </row>
    <row r="47">
      <c r="A47" s="10" t="inlineStr">
        <is>
          <t>WY-0046</t>
        </is>
      </c>
      <c r="B47" s="10" t="inlineStr">
        <is>
          <t>WORLDWIDEF-03</t>
        </is>
      </c>
      <c r="C47" s="10" t="inlineStr">
        <is>
          <t>Worldwide Foods Group</t>
        </is>
      </c>
      <c r="D47" s="10" t="inlineStr">
        <is>
          <t>Worldwide Foods Bradford (Woodhead Road)</t>
        </is>
      </c>
      <c r="E47" s="10" t="inlineStr">
        <is>
          <t>Al Halal Supermarket</t>
        </is>
      </c>
      <c r="F47" s="10" t="inlineStr">
        <is>
          <t>Worldwide Foods (Bradford) Limited</t>
        </is>
      </c>
      <c r="G47" s="10" t="inlineStr">
        <is>
          <t>Independent Supermarket</t>
        </is>
      </c>
      <c r="H47" s="10" t="inlineStr">
        <is>
          <t>Halal / world food supermarket</t>
        </is>
      </c>
      <c r="I47" s="10" t="inlineStr">
        <is>
          <t>Regional Chain</t>
        </is>
      </c>
      <c r="J47" s="10" t="inlineStr"/>
      <c r="K47" s="10" t="inlineStr">
        <is>
          <t>https://worldwidefoods.co.uk/</t>
        </is>
      </c>
      <c r="L47" s="10" t="inlineStr">
        <is>
          <t>https://www.facebook.com/worldwidefoods/</t>
        </is>
      </c>
      <c r="M47" s="10" t="inlineStr"/>
      <c r="N47" s="10" t="inlineStr"/>
      <c r="O47" s="10" t="inlineStr">
        <is>
          <t>Woodhead Road</t>
        </is>
      </c>
      <c r="P47" s="10" t="inlineStr"/>
      <c r="Q47" s="10" t="inlineStr">
        <is>
          <t>Bradford</t>
        </is>
      </c>
      <c r="R47" s="10" t="inlineStr">
        <is>
          <t>West Yorkshire</t>
        </is>
      </c>
      <c r="S47" s="10" t="inlineStr"/>
      <c r="T47" s="10" t="inlineStr">
        <is>
          <t>Yorkshire &amp; Humber</t>
        </is>
      </c>
      <c r="U47" s="10" t="inlineStr">
        <is>
          <t>England</t>
        </is>
      </c>
      <c r="V47" s="10" t="inlineStr"/>
      <c r="W47" s="10" t="inlineStr"/>
      <c r="X47" s="10" t="inlineStr"/>
      <c r="Y47" s="10" t="inlineStr"/>
      <c r="Z47" s="10" t="inlineStr"/>
      <c r="AA47" s="10" t="inlineStr"/>
      <c r="AB47" s="10" t="inlineStr"/>
      <c r="AC47" s="10" t="inlineStr"/>
      <c r="AD47" s="10" t="inlineStr"/>
      <c r="AE47" s="10" t="inlineStr">
        <is>
          <t>04179487</t>
        </is>
      </c>
      <c r="AF47" s="10" t="inlineStr"/>
      <c r="AG47" s="10" t="inlineStr">
        <is>
          <t>WORLDWIDE FOODS (BRADFORD) LIMITED</t>
        </is>
      </c>
      <c r="AH47" s="10" t="inlineStr"/>
      <c r="AI47" s="10" t="inlineStr"/>
      <c r="AJ47" s="10" t="inlineStr"/>
      <c r="AK47" s="10" t="inlineStr">
        <is>
          <t>halal meat; fresh produce; world foods; groceries</t>
        </is>
      </c>
      <c r="AL47" s="10" t="inlineStr"/>
      <c r="AM47" s="10" t="inlineStr">
        <is>
          <t>Independent Supermarket</t>
        </is>
      </c>
      <c r="AN47" s="10" t="inlineStr"/>
      <c r="AO47" s="10" t="inlineStr">
        <is>
          <t>Third Bradford location cited in group locations list (search snippet) and on Yelp as Al Halal Supermarket, Woodhead Road. Postcode/phone not captured - needs enrichment.</t>
        </is>
      </c>
      <c r="AP47" s="10" t="inlineStr">
        <is>
          <t>Medium</t>
        </is>
      </c>
      <c r="AQ47" s="10" t="inlineStr">
        <is>
          <t>Multi-site retailer; Relevant category; Active website; Social presence</t>
        </is>
      </c>
      <c r="AR47" s="10" t="inlineStr">
        <is>
          <t>https://worldwidefoods.co.uk/locations/</t>
        </is>
      </c>
      <c r="AS47" s="10" t="inlineStr">
        <is>
          <t>https://www.yelp.co.uk/biz/al-halal-supermarket-bradford</t>
        </is>
      </c>
      <c r="AT47" s="10" t="inlineStr">
        <is>
          <t>2</t>
        </is>
      </c>
      <c r="AU47" s="10" t="inlineStr">
        <is>
          <t>No</t>
        </is>
      </c>
      <c r="AV47" s="10" t="inlineStr">
        <is>
          <t>No</t>
        </is>
      </c>
      <c r="AW47" s="10" t="inlineStr">
        <is>
          <t>No</t>
        </is>
      </c>
      <c r="AX47" s="10" t="inlineStr">
        <is>
          <t>Yes</t>
        </is>
      </c>
      <c r="AY47" s="10" t="inlineStr">
        <is>
          <t>Not Found</t>
        </is>
      </c>
      <c r="AZ47" s="10" t="inlineStr">
        <is>
          <t>Website Found</t>
        </is>
      </c>
      <c r="BA47" s="10" t="inlineStr">
        <is>
          <t>2026-09-16</t>
        </is>
      </c>
      <c r="BB47" s="10" t="inlineStr">
        <is>
          <t>Partially Verified</t>
        </is>
      </c>
      <c r="BC47" s="10" t="inlineStr">
        <is>
          <t>Low</t>
        </is>
      </c>
      <c r="BD47" s="10" t="inlineStr"/>
      <c r="BE47" s="10" t="inlineStr">
        <is>
          <t>Business (B2B)</t>
        </is>
      </c>
      <c r="BF47" s="10" t="inlineStr">
        <is>
          <t>Legitimate interest (B2B) - assess per campaign; PECR: corporate subscribers</t>
        </is>
      </c>
      <c r="BG47" s="10" t="inlineStr"/>
      <c r="BH47" s="10" t="inlineStr">
        <is>
          <t>No</t>
        </is>
      </c>
      <c r="BI47" s="10" t="inlineStr">
        <is>
          <t>2026-09-16</t>
        </is>
      </c>
      <c r="BJ47" s="10" t="inlineStr">
        <is>
          <t>New</t>
        </is>
      </c>
      <c r="BK47" s="10" t="inlineStr">
        <is>
          <t>2026-09-16</t>
        </is>
      </c>
      <c r="BL47" s="10" t="inlineStr"/>
      <c r="BM47" s="10" t="inlineStr"/>
      <c r="BN47" s="10" t="inlineStr"/>
      <c r="BO47" s="10" t="inlineStr"/>
      <c r="BP47" s="10" t="inlineStr"/>
      <c r="BQ47" s="10" t="inlineStr"/>
    </row>
    <row r="48">
      <c r="A48" s="5" t="inlineStr">
        <is>
          <t>WY-0047</t>
        </is>
      </c>
      <c r="B48" s="5" t="inlineStr">
        <is>
          <t>WY-0047-01</t>
        </is>
      </c>
      <c r="C48" s="5" t="inlineStr"/>
      <c r="D48" s="5" t="inlineStr">
        <is>
          <t>A &amp; B Stores</t>
        </is>
      </c>
      <c r="E48" s="5" t="inlineStr">
        <is>
          <t>A &amp; B Stores</t>
        </is>
      </c>
      <c r="F48" s="5" t="inlineStr"/>
      <c r="G48" s="5" t="inlineStr">
        <is>
          <t>Off-Licence</t>
        </is>
      </c>
      <c r="H48" s="5" t="inlineStr">
        <is>
          <t>Off-licence / convenience</t>
        </is>
      </c>
      <c r="I48" s="5" t="inlineStr">
        <is>
          <t>Independent</t>
        </is>
      </c>
      <c r="J48" s="5" t="inlineStr">
        <is>
          <t>1</t>
        </is>
      </c>
      <c r="K48" s="5" t="inlineStr"/>
      <c r="L48" s="5" t="inlineStr"/>
      <c r="M48" s="5" t="inlineStr"/>
      <c r="N48" s="5" t="inlineStr"/>
      <c r="O48" s="5" t="inlineStr"/>
      <c r="P48" s="5" t="inlineStr"/>
      <c r="Q48" s="5" t="inlineStr">
        <is>
          <t>Bingley</t>
        </is>
      </c>
      <c r="R48" s="5" t="inlineStr">
        <is>
          <t>West Yorkshire</t>
        </is>
      </c>
      <c r="S48" s="5" t="inlineStr"/>
      <c r="T48" s="5" t="inlineStr">
        <is>
          <t>Yorkshire &amp; Humber</t>
        </is>
      </c>
      <c r="U48" s="5" t="inlineStr">
        <is>
          <t>England</t>
        </is>
      </c>
      <c r="V48" s="5" t="inlineStr"/>
      <c r="W48" s="5" t="inlineStr"/>
      <c r="X48" s="5" t="inlineStr"/>
      <c r="Y48" s="5" t="inlineStr"/>
      <c r="Z48" s="5" t="inlineStr"/>
      <c r="AA48" s="5" t="inlineStr"/>
      <c r="AB48" s="5" t="inlineStr"/>
      <c r="AC48" s="5" t="inlineStr"/>
      <c r="AD48" s="5" t="inlineStr"/>
      <c r="AE48" s="5" t="inlineStr"/>
      <c r="AF48" s="5" t="inlineStr"/>
      <c r="AG48" s="5" t="inlineStr"/>
      <c r="AH48" s="5" t="inlineStr"/>
      <c r="AI48" s="5" t="inlineStr"/>
      <c r="AJ48" s="5" t="inlineStr"/>
      <c r="AK48" s="5" t="inlineStr">
        <is>
          <t>beers; wines; spirits; convenience lines</t>
        </is>
      </c>
      <c r="AL48" s="5" t="inlineStr"/>
      <c r="AM48" s="5" t="inlineStr">
        <is>
          <t>Off-Licence</t>
        </is>
      </c>
      <c r="AN48" s="5" t="inlineStr"/>
      <c r="AO48" s="5" t="inlineStr">
        <is>
          <t>Off-licence listed for Bingley; street address not captured - needs enrichment.</t>
        </is>
      </c>
      <c r="AP48" s="5" t="inlineStr">
        <is>
          <t>Low</t>
        </is>
      </c>
      <c r="AQ48" s="5" t="inlineStr">
        <is>
          <t>Independent retailer; Relevant category</t>
        </is>
      </c>
      <c r="AR48" s="5" t="inlineStr">
        <is>
          <t>https://www.yorkshire.com/bingley/shopping/off-license/a-b-stores</t>
        </is>
      </c>
      <c r="AS48" s="5" t="inlineStr"/>
      <c r="AT48" s="5" t="inlineStr">
        <is>
          <t>1</t>
        </is>
      </c>
      <c r="AU48" s="5" t="inlineStr">
        <is>
          <t>No</t>
        </is>
      </c>
      <c r="AV48" s="5" t="inlineStr">
        <is>
          <t>No</t>
        </is>
      </c>
      <c r="AW48" s="5" t="inlineStr">
        <is>
          <t>No</t>
        </is>
      </c>
      <c r="AX48" s="5" t="inlineStr">
        <is>
          <t>No</t>
        </is>
      </c>
      <c r="AY48" s="5" t="inlineStr">
        <is>
          <t>Not Found</t>
        </is>
      </c>
      <c r="AZ48" s="5" t="inlineStr">
        <is>
          <t>Not Found</t>
        </is>
      </c>
      <c r="BA48" s="5" t="inlineStr">
        <is>
          <t>2026-09-16</t>
        </is>
      </c>
      <c r="BB48" s="5" t="inlineStr">
        <is>
          <t>Requires Verification</t>
        </is>
      </c>
      <c r="BC48" s="5" t="inlineStr">
        <is>
          <t>Low</t>
        </is>
      </c>
      <c r="BD48" s="5" t="inlineStr"/>
      <c r="BE48" s="5" t="inlineStr">
        <is>
          <t>Business (B2B)</t>
        </is>
      </c>
      <c r="BF48" s="5" t="inlineStr">
        <is>
          <t>Legitimate interest (B2B) - assess per campaign; PECR: corporate subscribers</t>
        </is>
      </c>
      <c r="BG48" s="5" t="inlineStr"/>
      <c r="BH48" s="5" t="inlineStr">
        <is>
          <t>No</t>
        </is>
      </c>
      <c r="BI48" s="5" t="inlineStr">
        <is>
          <t>2026-09-16</t>
        </is>
      </c>
      <c r="BJ48" s="5" t="inlineStr">
        <is>
          <t>New</t>
        </is>
      </c>
      <c r="BK48" s="5" t="inlineStr">
        <is>
          <t>2026-09-16</t>
        </is>
      </c>
      <c r="BL48" s="5" t="inlineStr"/>
      <c r="BM48" s="5" t="inlineStr"/>
      <c r="BN48" s="5" t="inlineStr"/>
      <c r="BO48" s="5" t="inlineStr"/>
      <c r="BP48" s="5" t="inlineStr"/>
      <c r="BQ48" s="5" t="inlineStr"/>
    </row>
    <row r="49">
      <c r="A49" s="10" t="inlineStr">
        <is>
          <t>WY-0048</t>
        </is>
      </c>
      <c r="B49" s="10" t="inlineStr">
        <is>
          <t>WY-0048-01</t>
        </is>
      </c>
      <c r="C49" s="10" t="inlineStr"/>
      <c r="D49" s="10" t="inlineStr">
        <is>
          <t>AV &amp; JI Stores</t>
        </is>
      </c>
      <c r="E49" s="10" t="inlineStr">
        <is>
          <t>Premier AV &amp; JI Stores (Sowerby Off Licence)</t>
        </is>
      </c>
      <c r="F49" s="10" t="inlineStr"/>
      <c r="G49" s="10" t="inlineStr">
        <is>
          <t>Convenience Store</t>
        </is>
      </c>
      <c r="H49" s="10" t="inlineStr">
        <is>
          <t>Premier symbol group convenience store and off-licence</t>
        </is>
      </c>
      <c r="I49" s="10" t="inlineStr">
        <is>
          <t>Franchise / Symbol Group</t>
        </is>
      </c>
      <c r="J49" s="10" t="inlineStr">
        <is>
          <t>1</t>
        </is>
      </c>
      <c r="K49" s="10" t="inlineStr"/>
      <c r="L49" s="10" t="inlineStr">
        <is>
          <t>https://www.facebook.com/people/Premier-AV-JI-Stores/61567311514140/</t>
        </is>
      </c>
      <c r="M49" s="10" t="inlineStr"/>
      <c r="N49" s="10" t="inlineStr"/>
      <c r="O49" s="10" t="inlineStr">
        <is>
          <t>12 Albert Road</t>
        </is>
      </c>
      <c r="P49" s="10" t="inlineStr"/>
      <c r="Q49" s="10" t="inlineStr">
        <is>
          <t>Sowerby Bridge</t>
        </is>
      </c>
      <c r="R49" s="10" t="inlineStr">
        <is>
          <t>West Yorkshire</t>
        </is>
      </c>
      <c r="S49" s="10" t="inlineStr">
        <is>
          <t>HX6 2PA</t>
        </is>
      </c>
      <c r="T49" s="10" t="inlineStr">
        <is>
          <t>Yorkshire &amp; Humber</t>
        </is>
      </c>
      <c r="U49" s="10" t="inlineStr">
        <is>
          <t>England</t>
        </is>
      </c>
      <c r="V49" s="10" t="inlineStr"/>
      <c r="W49" s="10" t="inlineStr"/>
      <c r="X49" s="10" t="inlineStr"/>
      <c r="Y49" s="10" t="inlineStr"/>
      <c r="Z49" s="10" t="inlineStr"/>
      <c r="AA49" s="10" t="inlineStr"/>
      <c r="AB49" s="10" t="inlineStr"/>
      <c r="AC49" s="10" t="inlineStr"/>
      <c r="AD49" s="10" t="inlineStr"/>
      <c r="AE49" s="10" t="inlineStr"/>
      <c r="AF49" s="10" t="inlineStr"/>
      <c r="AG49" s="10" t="inlineStr"/>
      <c r="AH49" s="10" t="inlineStr"/>
      <c r="AI49" s="10" t="inlineStr"/>
      <c r="AJ49" s="10" t="inlineStr"/>
      <c r="AK49" s="10" t="inlineStr">
        <is>
          <t>convenience; beers, wines and spirits</t>
        </is>
      </c>
      <c r="AL49" s="10" t="inlineStr"/>
      <c r="AM49" s="10" t="inlineStr">
        <is>
          <t>Convenience Store</t>
        </is>
      </c>
      <c r="AN49" s="10" t="inlineStr">
        <is>
          <t>Premier symbol group (Booker)</t>
        </is>
      </c>
      <c r="AO49" s="10" t="inlineStr">
        <is>
          <t>Independently owned store trading under the Premier fascia.</t>
        </is>
      </c>
      <c r="AP49" s="10" t="inlineStr">
        <is>
          <t>Medium</t>
        </is>
      </c>
      <c r="AQ49" s="10" t="inlineStr">
        <is>
          <t>Independent retailer; Relevant category; Social presence</t>
        </is>
      </c>
      <c r="AR49" s="10" t="inlineStr">
        <is>
          <t>https://www.facebook.com/people/Premier-AV-JI-Stores/61567311514140/</t>
        </is>
      </c>
      <c r="AS49" s="10" t="inlineStr">
        <is>
          <t>https://www.yorkshire.com/sowerby-bridge/shopping/corner-shops/av-ji-stores-premier-sowerby-off-licence-</t>
        </is>
      </c>
      <c r="AT49" s="10" t="inlineStr">
        <is>
          <t>3</t>
        </is>
      </c>
      <c r="AU49" s="10" t="inlineStr">
        <is>
          <t>No</t>
        </is>
      </c>
      <c r="AV49" s="10" t="inlineStr">
        <is>
          <t>No</t>
        </is>
      </c>
      <c r="AW49" s="10" t="inlineStr">
        <is>
          <t>No</t>
        </is>
      </c>
      <c r="AX49" s="10" t="inlineStr">
        <is>
          <t>No</t>
        </is>
      </c>
      <c r="AY49" s="10" t="inlineStr">
        <is>
          <t>Not Found</t>
        </is>
      </c>
      <c r="AZ49" s="10" t="inlineStr">
        <is>
          <t>Not Found</t>
        </is>
      </c>
      <c r="BA49" s="10" t="inlineStr">
        <is>
          <t>2026-09-16</t>
        </is>
      </c>
      <c r="BB49" s="10" t="inlineStr">
        <is>
          <t>Requires Verification</t>
        </is>
      </c>
      <c r="BC49" s="10" t="inlineStr">
        <is>
          <t>Medium</t>
        </is>
      </c>
      <c r="BD49" s="10" t="inlineStr"/>
      <c r="BE49" s="10" t="inlineStr">
        <is>
          <t>Business (B2B)</t>
        </is>
      </c>
      <c r="BF49" s="10" t="inlineStr">
        <is>
          <t>Legitimate interest (B2B) - assess per campaign; PECR: corporate subscribers</t>
        </is>
      </c>
      <c r="BG49" s="10" t="inlineStr"/>
      <c r="BH49" s="10" t="inlineStr">
        <is>
          <t>No</t>
        </is>
      </c>
      <c r="BI49" s="10" t="inlineStr">
        <is>
          <t>2026-09-16</t>
        </is>
      </c>
      <c r="BJ49" s="10" t="inlineStr">
        <is>
          <t>New</t>
        </is>
      </c>
      <c r="BK49" s="10" t="inlineStr">
        <is>
          <t>2026-09-16</t>
        </is>
      </c>
      <c r="BL49" s="10" t="inlineStr"/>
      <c r="BM49" s="10" t="inlineStr"/>
      <c r="BN49" s="10" t="inlineStr"/>
      <c r="BO49" s="10" t="inlineStr"/>
      <c r="BP49" s="10" t="inlineStr"/>
      <c r="BQ49" s="10" t="inlineStr"/>
    </row>
    <row r="50">
      <c r="A50" s="5" t="inlineStr">
        <is>
          <t>WY-0049</t>
        </is>
      </c>
      <c r="B50" s="5" t="inlineStr">
        <is>
          <t>WY-0049-01</t>
        </is>
      </c>
      <c r="C50" s="5" t="inlineStr"/>
      <c r="D50" s="5" t="inlineStr">
        <is>
          <t>Al-Falah Supermarket</t>
        </is>
      </c>
      <c r="E50" s="5" t="inlineStr">
        <is>
          <t>Al-Falah Supermarket</t>
        </is>
      </c>
      <c r="F50" s="5" t="inlineStr"/>
      <c r="G50" s="5" t="inlineStr">
        <is>
          <t>Independent Supermarket</t>
        </is>
      </c>
      <c r="H50" s="5" t="inlineStr">
        <is>
          <t>Halal / international supermarket</t>
        </is>
      </c>
      <c r="I50" s="5" t="inlineStr">
        <is>
          <t>Independent</t>
        </is>
      </c>
      <c r="J50" s="5" t="inlineStr">
        <is>
          <t>1</t>
        </is>
      </c>
      <c r="K50" s="5" t="inlineStr"/>
      <c r="L50" s="5" t="inlineStr">
        <is>
          <t>https://www.facebook.com/alfalahbradford/</t>
        </is>
      </c>
      <c r="M50" s="5" t="inlineStr"/>
      <c r="N50" s="5" t="inlineStr"/>
      <c r="O50" s="5" t="inlineStr">
        <is>
          <t>150 Manningham Lane</t>
        </is>
      </c>
      <c r="P50" s="5" t="inlineStr">
        <is>
          <t>Manningham</t>
        </is>
      </c>
      <c r="Q50" s="5" t="inlineStr">
        <is>
          <t>Bradford</t>
        </is>
      </c>
      <c r="R50" s="5" t="inlineStr">
        <is>
          <t>West Yorkshire</t>
        </is>
      </c>
      <c r="S50" s="5" t="inlineStr"/>
      <c r="T50" s="5" t="inlineStr">
        <is>
          <t>Yorkshire &amp; Humber</t>
        </is>
      </c>
      <c r="U50" s="5" t="inlineStr">
        <is>
          <t>England</t>
        </is>
      </c>
      <c r="V50" s="5" t="inlineStr"/>
      <c r="W50" s="5" t="inlineStr"/>
      <c r="X50" s="5" t="inlineStr"/>
      <c r="Y50" s="5" t="inlineStr"/>
      <c r="Z50" s="5" t="inlineStr"/>
      <c r="AA50" s="5" t="inlineStr"/>
      <c r="AB50" s="5" t="inlineStr"/>
      <c r="AC50" s="5" t="inlineStr"/>
      <c r="AD50" s="5" t="inlineStr"/>
      <c r="AE50" s="5" t="inlineStr"/>
      <c r="AF50" s="5" t="inlineStr"/>
      <c r="AG50" s="5" t="inlineStr"/>
      <c r="AH50" s="5" t="inlineStr"/>
      <c r="AI50" s="5" t="inlineStr"/>
      <c r="AJ50" s="5" t="inlineStr"/>
      <c r="AK50" s="5" t="inlineStr">
        <is>
          <t>Bangladeshi/Indian/Pakistani groceries; fresh produce; frozen; catering supplies; household</t>
        </is>
      </c>
      <c r="AL50" s="5" t="inlineStr"/>
      <c r="AM50" s="5" t="inlineStr">
        <is>
          <t>Independent Supermarket</t>
        </is>
      </c>
      <c r="AN50" s="5" t="inlineStr"/>
      <c r="AO50" s="5" t="inlineStr">
        <is>
          <t>Serving Bradford's Manningham community for over 20 years per its own Facebook description (via search snippet).</t>
        </is>
      </c>
      <c r="AP50" s="5" t="inlineStr">
        <is>
          <t>Medium</t>
        </is>
      </c>
      <c r="AQ50" s="5" t="inlineStr">
        <is>
          <t>Independent retailer; Relevant category; Social presence</t>
        </is>
      </c>
      <c r="AR50" s="5" t="inlineStr">
        <is>
          <t>https://www.facebook.com/alfalahbradford/</t>
        </is>
      </c>
      <c r="AS50" s="5" t="inlineStr">
        <is>
          <t>https://en.halalguide.me/bradford/produktoviy-magazin/al-falah-supermarket</t>
        </is>
      </c>
      <c r="AT50" s="5" t="inlineStr">
        <is>
          <t>2</t>
        </is>
      </c>
      <c r="AU50" s="5" t="inlineStr">
        <is>
          <t>No</t>
        </is>
      </c>
      <c r="AV50" s="5" t="inlineStr">
        <is>
          <t>No</t>
        </is>
      </c>
      <c r="AW50" s="5" t="inlineStr">
        <is>
          <t>No</t>
        </is>
      </c>
      <c r="AX50" s="5" t="inlineStr">
        <is>
          <t>No</t>
        </is>
      </c>
      <c r="AY50" s="5" t="inlineStr">
        <is>
          <t>Not Found</t>
        </is>
      </c>
      <c r="AZ50" s="5" t="inlineStr">
        <is>
          <t>Not Found</t>
        </is>
      </c>
      <c r="BA50" s="5" t="inlineStr">
        <is>
          <t>2026-09-16</t>
        </is>
      </c>
      <c r="BB50" s="5" t="inlineStr">
        <is>
          <t>Requires Verification</t>
        </is>
      </c>
      <c r="BC50" s="5" t="inlineStr">
        <is>
          <t>Medium</t>
        </is>
      </c>
      <c r="BD50" s="5" t="inlineStr"/>
      <c r="BE50" s="5" t="inlineStr">
        <is>
          <t>Business (B2B)</t>
        </is>
      </c>
      <c r="BF50" s="5" t="inlineStr">
        <is>
          <t>Legitimate interest (B2B) - assess per campaign; PECR: corporate subscribers</t>
        </is>
      </c>
      <c r="BG50" s="5" t="inlineStr"/>
      <c r="BH50" s="5" t="inlineStr">
        <is>
          <t>No</t>
        </is>
      </c>
      <c r="BI50" s="5" t="inlineStr">
        <is>
          <t>2026-09-16</t>
        </is>
      </c>
      <c r="BJ50" s="5" t="inlineStr">
        <is>
          <t>New</t>
        </is>
      </c>
      <c r="BK50" s="5" t="inlineStr">
        <is>
          <t>2026-09-16</t>
        </is>
      </c>
      <c r="BL50" s="5" t="inlineStr"/>
      <c r="BM50" s="5" t="inlineStr"/>
      <c r="BN50" s="5" t="inlineStr"/>
      <c r="BO50" s="5" t="inlineStr"/>
      <c r="BP50" s="5" t="inlineStr"/>
      <c r="BQ50" s="5" t="inlineStr"/>
    </row>
    <row r="51">
      <c r="A51" s="10" t="inlineStr">
        <is>
          <t>WY-0050</t>
        </is>
      </c>
      <c r="B51" s="10" t="inlineStr">
        <is>
          <t>WY-0050-01</t>
        </is>
      </c>
      <c r="C51" s="10" t="inlineStr"/>
      <c r="D51" s="10" t="inlineStr">
        <is>
          <t>Anwarsons Newsagency</t>
        </is>
      </c>
      <c r="E51" s="10" t="inlineStr">
        <is>
          <t>Anwarsons Quality Tobacconists</t>
        </is>
      </c>
      <c r="F51" s="10" t="inlineStr"/>
      <c r="G51" s="10" t="inlineStr">
        <is>
          <t>Newsagent</t>
        </is>
      </c>
      <c r="H51" s="10" t="inlineStr">
        <is>
          <t>Newsagent and tobacconist</t>
        </is>
      </c>
      <c r="I51" s="10" t="inlineStr">
        <is>
          <t>Independent</t>
        </is>
      </c>
      <c r="J51" s="10" t="inlineStr">
        <is>
          <t>1</t>
        </is>
      </c>
      <c r="K51" s="10" t="inlineStr"/>
      <c r="L51" s="10" t="inlineStr"/>
      <c r="M51" s="10" t="inlineStr"/>
      <c r="N51" s="10" t="inlineStr"/>
      <c r="O51" s="10" t="inlineStr">
        <is>
          <t>41 Bethel Street</t>
        </is>
      </c>
      <c r="P51" s="10" t="inlineStr"/>
      <c r="Q51" s="10" t="inlineStr">
        <is>
          <t>Brighouse</t>
        </is>
      </c>
      <c r="R51" s="10" t="inlineStr">
        <is>
          <t>West Yorkshire</t>
        </is>
      </c>
      <c r="S51" s="10" t="inlineStr">
        <is>
          <t>HD6 1JR</t>
        </is>
      </c>
      <c r="T51" s="10" t="inlineStr">
        <is>
          <t>Yorkshire &amp; Humber</t>
        </is>
      </c>
      <c r="U51" s="10" t="inlineStr">
        <is>
          <t>England</t>
        </is>
      </c>
      <c r="V51" s="10" t="inlineStr">
        <is>
          <t>01484 717622</t>
        </is>
      </c>
      <c r="W51" s="10" t="inlineStr"/>
      <c r="X51" s="10" t="inlineStr"/>
      <c r="Y51" s="10" t="inlineStr"/>
      <c r="Z51" s="10" t="inlineStr"/>
      <c r="AA51" s="10" t="inlineStr"/>
      <c r="AB51" s="10" t="inlineStr"/>
      <c r="AC51" s="10" t="inlineStr"/>
      <c r="AD51" s="10" t="inlineStr"/>
      <c r="AE51" s="10" t="inlineStr"/>
      <c r="AF51" s="10" t="inlineStr"/>
      <c r="AG51" s="10" t="inlineStr"/>
      <c r="AH51" s="10" t="inlineStr"/>
      <c r="AI51" s="10" t="inlineStr"/>
      <c r="AJ51" s="10" t="inlineStr"/>
      <c r="AK51" s="10" t="inlineStr">
        <is>
          <t>news; tobacco; cigars; confectionery</t>
        </is>
      </c>
      <c r="AL51" s="10" t="inlineStr"/>
      <c r="AM51" s="10" t="inlineStr">
        <is>
          <t>Newsagent</t>
        </is>
      </c>
      <c r="AN51" s="10" t="inlineStr"/>
      <c r="AO51" s="10" t="inlineStr">
        <is>
          <t>Also listed as 'Anwarsons Quality Tobacconists' (MisterWhat) - dual newsagent/tobacconist offer.</t>
        </is>
      </c>
      <c r="AP51" s="10" t="inlineStr">
        <is>
          <t>Low</t>
        </is>
      </c>
      <c r="AQ51" s="10" t="inlineStr">
        <is>
          <t>Independent retailer; Relevant category</t>
        </is>
      </c>
      <c r="AR51" s="10" t="inlineStr">
        <is>
          <t>https://thomsonlocal.com/search/Newsagents/Wyke-West-Yorkshire/Anwarsons-Newsagency/2652959/01484717622</t>
        </is>
      </c>
      <c r="AS51" s="10" t="inlineStr">
        <is>
          <t>https://www.misterwhat.co.uk/company/540928-anwarsons-quality-tobacconists-brighouse</t>
        </is>
      </c>
      <c r="AT51" s="10" t="inlineStr">
        <is>
          <t>3</t>
        </is>
      </c>
      <c r="AU51" s="10" t="inlineStr">
        <is>
          <t>No</t>
        </is>
      </c>
      <c r="AV51" s="10" t="inlineStr">
        <is>
          <t>No</t>
        </is>
      </c>
      <c r="AW51" s="10" t="inlineStr">
        <is>
          <t>No</t>
        </is>
      </c>
      <c r="AX51" s="10" t="inlineStr">
        <is>
          <t>No</t>
        </is>
      </c>
      <c r="AY51" s="10" t="inlineStr">
        <is>
          <t>Verified directory</t>
        </is>
      </c>
      <c r="AZ51" s="10" t="inlineStr">
        <is>
          <t>Not Found</t>
        </is>
      </c>
      <c r="BA51" s="10" t="inlineStr">
        <is>
          <t>2026-09-16</t>
        </is>
      </c>
      <c r="BB51" s="10" t="inlineStr">
        <is>
          <t>Requires Verification</t>
        </is>
      </c>
      <c r="BC51" s="10" t="inlineStr">
        <is>
          <t>Medium</t>
        </is>
      </c>
      <c r="BD51" s="10" t="inlineStr"/>
      <c r="BE51" s="10" t="inlineStr">
        <is>
          <t>Business (B2B)</t>
        </is>
      </c>
      <c r="BF51" s="10" t="inlineStr">
        <is>
          <t>Legitimate interest (B2B) - assess per campaign; PECR: corporate subscribers</t>
        </is>
      </c>
      <c r="BG51" s="10" t="inlineStr"/>
      <c r="BH51" s="10" t="inlineStr">
        <is>
          <t>No</t>
        </is>
      </c>
      <c r="BI51" s="10" t="inlineStr">
        <is>
          <t>2026-09-16</t>
        </is>
      </c>
      <c r="BJ51" s="10" t="inlineStr">
        <is>
          <t>New</t>
        </is>
      </c>
      <c r="BK51" s="10" t="inlineStr">
        <is>
          <t>2026-09-16</t>
        </is>
      </c>
      <c r="BL51" s="10" t="inlineStr"/>
      <c r="BM51" s="10" t="inlineStr"/>
      <c r="BN51" s="10" t="inlineStr"/>
      <c r="BO51" s="10" t="inlineStr"/>
      <c r="BP51" s="10" t="inlineStr"/>
      <c r="BQ51" s="10" t="inlineStr"/>
    </row>
    <row r="52">
      <c r="A52" s="5" t="inlineStr">
        <is>
          <t>WY-0051</t>
        </is>
      </c>
      <c r="B52" s="5" t="inlineStr">
        <is>
          <t>WY-0051-01</t>
        </is>
      </c>
      <c r="C52" s="5" t="inlineStr"/>
      <c r="D52" s="5" t="inlineStr">
        <is>
          <t>Armley Ridge Road Convenience Store &amp; Off-Licence</t>
        </is>
      </c>
      <c r="E52" s="5" t="inlineStr">
        <is>
          <t>Armley Ridge Road Convenience Store &amp; Off-Licence</t>
        </is>
      </c>
      <c r="F52" s="5" t="inlineStr"/>
      <c r="G52" s="5" t="inlineStr">
        <is>
          <t>Convenience Store</t>
        </is>
      </c>
      <c r="H52" s="5" t="inlineStr">
        <is>
          <t>Convenience store with off-licence</t>
        </is>
      </c>
      <c r="I52" s="5" t="inlineStr">
        <is>
          <t>Independent</t>
        </is>
      </c>
      <c r="J52" s="5" t="inlineStr">
        <is>
          <t>1</t>
        </is>
      </c>
      <c r="K52" s="5" t="inlineStr"/>
      <c r="L52" s="5" t="inlineStr">
        <is>
          <t>https://www.facebook.com/NoProblemArmley/</t>
        </is>
      </c>
      <c r="M52" s="5" t="inlineStr"/>
      <c r="N52" s="5" t="inlineStr"/>
      <c r="O52" s="5" t="inlineStr">
        <is>
          <t>Armley Ridge Road</t>
        </is>
      </c>
      <c r="P52" s="5" t="inlineStr">
        <is>
          <t>Armley</t>
        </is>
      </c>
      <c r="Q52" s="5" t="inlineStr">
        <is>
          <t>Leeds</t>
        </is>
      </c>
      <c r="R52" s="5" t="inlineStr">
        <is>
          <t>West Yorkshire</t>
        </is>
      </c>
      <c r="S52" s="5" t="inlineStr"/>
      <c r="T52" s="5" t="inlineStr">
        <is>
          <t>Yorkshire &amp; Humber</t>
        </is>
      </c>
      <c r="U52" s="5" t="inlineStr">
        <is>
          <t>England</t>
        </is>
      </c>
      <c r="V52" s="5" t="inlineStr"/>
      <c r="W52" s="5" t="inlineStr"/>
      <c r="X52" s="5" t="inlineStr"/>
      <c r="Y52" s="5" t="inlineStr"/>
      <c r="Z52" s="5" t="inlineStr"/>
      <c r="AA52" s="5" t="inlineStr"/>
      <c r="AB52" s="5" t="inlineStr"/>
      <c r="AC52" s="5" t="inlineStr"/>
      <c r="AD52" s="5" t="inlineStr"/>
      <c r="AE52" s="5" t="inlineStr"/>
      <c r="AF52" s="5" t="inlineStr"/>
      <c r="AG52" s="5" t="inlineStr"/>
      <c r="AH52" s="5" t="inlineStr"/>
      <c r="AI52" s="5" t="inlineStr"/>
      <c r="AJ52" s="5" t="inlineStr"/>
      <c r="AK52" s="5" t="inlineStr">
        <is>
          <t>groceries; alcohol</t>
        </is>
      </c>
      <c r="AL52" s="5" t="inlineStr"/>
      <c r="AM52" s="5" t="inlineStr">
        <is>
          <t>Convenience Store</t>
        </is>
      </c>
      <c r="AN52" s="5" t="inlineStr"/>
      <c r="AO52" s="5" t="inlineStr">
        <is>
          <t>Active Facebook business page for an Armley convenience store and off-licence; street number not published in sources found.</t>
        </is>
      </c>
      <c r="AP52" s="5" t="inlineStr">
        <is>
          <t>Medium</t>
        </is>
      </c>
      <c r="AQ52" s="5" t="inlineStr">
        <is>
          <t>Independent retailer; Relevant category; Social presence</t>
        </is>
      </c>
      <c r="AR52" s="5" t="inlineStr">
        <is>
          <t>https://www.facebook.com/NoProblemArmley/</t>
        </is>
      </c>
      <c r="AS52" s="5" t="inlineStr"/>
      <c r="AT52" s="5" t="inlineStr">
        <is>
          <t>1</t>
        </is>
      </c>
      <c r="AU52" s="5" t="inlineStr">
        <is>
          <t>No</t>
        </is>
      </c>
      <c r="AV52" s="5" t="inlineStr">
        <is>
          <t>No</t>
        </is>
      </c>
      <c r="AW52" s="5" t="inlineStr">
        <is>
          <t>No</t>
        </is>
      </c>
      <c r="AX52" s="5" t="inlineStr">
        <is>
          <t>No</t>
        </is>
      </c>
      <c r="AY52" s="5" t="inlineStr">
        <is>
          <t>Not Found</t>
        </is>
      </c>
      <c r="AZ52" s="5" t="inlineStr">
        <is>
          <t>Not Found</t>
        </is>
      </c>
      <c r="BA52" s="5" t="inlineStr">
        <is>
          <t>2026-09-16</t>
        </is>
      </c>
      <c r="BB52" s="5" t="inlineStr">
        <is>
          <t>Requires Verification</t>
        </is>
      </c>
      <c r="BC52" s="5" t="inlineStr">
        <is>
          <t>Low</t>
        </is>
      </c>
      <c r="BD52" s="5" t="inlineStr"/>
      <c r="BE52" s="5" t="inlineStr">
        <is>
          <t>Business (B2B)</t>
        </is>
      </c>
      <c r="BF52" s="5" t="inlineStr">
        <is>
          <t>Legitimate interest (B2B) - assess per campaign; PECR: corporate subscribers</t>
        </is>
      </c>
      <c r="BG52" s="5" t="inlineStr"/>
      <c r="BH52" s="5" t="inlineStr">
        <is>
          <t>No</t>
        </is>
      </c>
      <c r="BI52" s="5" t="inlineStr">
        <is>
          <t>2026-09-16</t>
        </is>
      </c>
      <c r="BJ52" s="5" t="inlineStr">
        <is>
          <t>New</t>
        </is>
      </c>
      <c r="BK52" s="5" t="inlineStr">
        <is>
          <t>2026-09-16</t>
        </is>
      </c>
      <c r="BL52" s="5" t="inlineStr"/>
      <c r="BM52" s="5" t="inlineStr"/>
      <c r="BN52" s="5" t="inlineStr"/>
      <c r="BO52" s="5" t="inlineStr"/>
      <c r="BP52" s="5" t="inlineStr"/>
      <c r="BQ52" s="5" t="inlineStr"/>
    </row>
    <row r="53">
      <c r="A53" s="10" t="inlineStr">
        <is>
          <t>WY-0052</t>
        </is>
      </c>
      <c r="B53" s="10" t="inlineStr">
        <is>
          <t>WY-0052-01</t>
        </is>
      </c>
      <c r="C53" s="10" t="inlineStr"/>
      <c r="D53" s="10" t="inlineStr">
        <is>
          <t>Asia Foods</t>
        </is>
      </c>
      <c r="E53" s="10" t="inlineStr">
        <is>
          <t>Asia Foods</t>
        </is>
      </c>
      <c r="F53" s="10" t="inlineStr"/>
      <c r="G53" s="10" t="inlineStr">
        <is>
          <t>Independent Supermarket</t>
        </is>
      </c>
      <c r="H53" s="10" t="inlineStr">
        <is>
          <t>Asian grocery and halal meat store</t>
        </is>
      </c>
      <c r="I53" s="10" t="inlineStr">
        <is>
          <t>Independent</t>
        </is>
      </c>
      <c r="J53" s="10" t="inlineStr">
        <is>
          <t>1</t>
        </is>
      </c>
      <c r="K53" s="10" t="inlineStr"/>
      <c r="L53" s="10" t="inlineStr"/>
      <c r="M53" s="10" t="inlineStr"/>
      <c r="N53" s="10" t="inlineStr"/>
      <c r="O53" s="10" t="inlineStr">
        <is>
          <t>97-99 Yews Hill Road</t>
        </is>
      </c>
      <c r="P53" s="10" t="inlineStr">
        <is>
          <t>Lockwood</t>
        </is>
      </c>
      <c r="Q53" s="10" t="inlineStr">
        <is>
          <t>Huddersfield</t>
        </is>
      </c>
      <c r="R53" s="10" t="inlineStr">
        <is>
          <t>West Yorkshire</t>
        </is>
      </c>
      <c r="S53" s="10" t="inlineStr">
        <is>
          <t>HD1 3SG</t>
        </is>
      </c>
      <c r="T53" s="10" t="inlineStr">
        <is>
          <t>Yorkshire &amp; Humber</t>
        </is>
      </c>
      <c r="U53" s="10" t="inlineStr">
        <is>
          <t>England</t>
        </is>
      </c>
      <c r="V53" s="10" t="inlineStr">
        <is>
          <t>01484 514828</t>
        </is>
      </c>
      <c r="W53" s="10" t="inlineStr"/>
      <c r="X53" s="10" t="inlineStr"/>
      <c r="Y53" s="10" t="inlineStr"/>
      <c r="Z53" s="10" t="inlineStr"/>
      <c r="AA53" s="10" t="inlineStr"/>
      <c r="AB53" s="10" t="inlineStr"/>
      <c r="AC53" s="10" t="inlineStr"/>
      <c r="AD53" s="10" t="inlineStr"/>
      <c r="AE53" s="10" t="inlineStr"/>
      <c r="AF53" s="10" t="inlineStr"/>
      <c r="AG53" s="10" t="inlineStr"/>
      <c r="AH53" s="10" t="inlineStr"/>
      <c r="AI53" s="10" t="inlineStr"/>
      <c r="AJ53" s="10" t="inlineStr"/>
      <c r="AK53" s="10" t="inlineStr">
        <is>
          <t>Asian groceries; halal meat; fresh produce</t>
        </is>
      </c>
      <c r="AL53" s="10" t="inlineStr"/>
      <c r="AM53" s="10" t="inlineStr">
        <is>
          <t>Independent Supermarket</t>
        </is>
      </c>
      <c r="AN53" s="10" t="inlineStr"/>
      <c r="AO53" s="10" t="inlineStr"/>
      <c r="AP53" s="10" t="inlineStr">
        <is>
          <t>Low</t>
        </is>
      </c>
      <c r="AQ53" s="10" t="inlineStr">
        <is>
          <t>Independent retailer; Relevant category</t>
        </is>
      </c>
      <c r="AR53" s="10" t="inlineStr">
        <is>
          <t>https://asia-foods-huddersfield.edan.io/</t>
        </is>
      </c>
      <c r="AS53" s="10" t="inlineStr">
        <is>
          <t>https://www.yorkshire.com/huddersfield/shopping/grocers/asia-foods</t>
        </is>
      </c>
      <c r="AT53" s="10" t="inlineStr">
        <is>
          <t>2</t>
        </is>
      </c>
      <c r="AU53" s="10" t="inlineStr">
        <is>
          <t>No</t>
        </is>
      </c>
      <c r="AV53" s="10" t="inlineStr">
        <is>
          <t>No</t>
        </is>
      </c>
      <c r="AW53" s="10" t="inlineStr">
        <is>
          <t>No</t>
        </is>
      </c>
      <c r="AX53" s="10" t="inlineStr">
        <is>
          <t>No</t>
        </is>
      </c>
      <c r="AY53" s="10" t="inlineStr">
        <is>
          <t>Verified directory</t>
        </is>
      </c>
      <c r="AZ53" s="10" t="inlineStr">
        <is>
          <t>Not Found</t>
        </is>
      </c>
      <c r="BA53" s="10" t="inlineStr">
        <is>
          <t>2026-09-16</t>
        </is>
      </c>
      <c r="BB53" s="10" t="inlineStr">
        <is>
          <t>Requires Verification</t>
        </is>
      </c>
      <c r="BC53" s="10" t="inlineStr">
        <is>
          <t>Medium</t>
        </is>
      </c>
      <c r="BD53" s="10" t="inlineStr"/>
      <c r="BE53" s="10" t="inlineStr">
        <is>
          <t>Business (B2B)</t>
        </is>
      </c>
      <c r="BF53" s="10" t="inlineStr">
        <is>
          <t>Legitimate interest (B2B) - assess per campaign; PECR: corporate subscribers</t>
        </is>
      </c>
      <c r="BG53" s="10" t="inlineStr"/>
      <c r="BH53" s="10" t="inlineStr">
        <is>
          <t>No</t>
        </is>
      </c>
      <c r="BI53" s="10" t="inlineStr">
        <is>
          <t>2026-09-16</t>
        </is>
      </c>
      <c r="BJ53" s="10" t="inlineStr">
        <is>
          <t>New</t>
        </is>
      </c>
      <c r="BK53" s="10" t="inlineStr">
        <is>
          <t>2026-09-16</t>
        </is>
      </c>
      <c r="BL53" s="10" t="inlineStr"/>
      <c r="BM53" s="10" t="inlineStr"/>
      <c r="BN53" s="10" t="inlineStr"/>
      <c r="BO53" s="10" t="inlineStr"/>
      <c r="BP53" s="10" t="inlineStr"/>
      <c r="BQ53" s="10" t="inlineStr"/>
    </row>
    <row r="54">
      <c r="A54" s="5" t="inlineStr">
        <is>
          <t>WY-0053</t>
        </is>
      </c>
      <c r="B54" s="5" t="inlineStr">
        <is>
          <t>WY-0053-01</t>
        </is>
      </c>
      <c r="C54" s="5" t="inlineStr"/>
      <c r="D54" s="5" t="inlineStr">
        <is>
          <t>Azeem's Vape Shop</t>
        </is>
      </c>
      <c r="E54" s="5" t="inlineStr">
        <is>
          <t>Azeem's Vape Shop</t>
        </is>
      </c>
      <c r="F54" s="5" t="inlineStr">
        <is>
          <t>Azeems Vape Shop Ltd</t>
        </is>
      </c>
      <c r="G54" s="5" t="inlineStr">
        <is>
          <t>Vape Shop</t>
        </is>
      </c>
      <c r="H54" s="5" t="inlineStr">
        <is>
          <t>Vape shop with CBD, e-liquids, drinks</t>
        </is>
      </c>
      <c r="I54" s="5" t="inlineStr">
        <is>
          <t>Independent</t>
        </is>
      </c>
      <c r="J54" s="5" t="inlineStr">
        <is>
          <t>1</t>
        </is>
      </c>
      <c r="K54" s="5" t="inlineStr">
        <is>
          <t>https://azeemsvapeshop.co.uk/</t>
        </is>
      </c>
      <c r="L54" s="5" t="inlineStr">
        <is>
          <t>https://www.facebook.com/azeemskeighley1/</t>
        </is>
      </c>
      <c r="M54" s="5" t="inlineStr">
        <is>
          <t>https://www.instagram.com/azeems_vape_shop/</t>
        </is>
      </c>
      <c r="N54" s="5" t="inlineStr"/>
      <c r="O54" s="5" t="inlineStr">
        <is>
          <t>130 Lawkholme Lane</t>
        </is>
      </c>
      <c r="P54" s="5" t="inlineStr"/>
      <c r="Q54" s="5" t="inlineStr">
        <is>
          <t>Keighley</t>
        </is>
      </c>
      <c r="R54" s="5" t="inlineStr">
        <is>
          <t>West Yorkshire</t>
        </is>
      </c>
      <c r="S54" s="5" t="inlineStr">
        <is>
          <t>BD21 3LU</t>
        </is>
      </c>
      <c r="T54" s="5" t="inlineStr">
        <is>
          <t>Yorkshire &amp; Humber</t>
        </is>
      </c>
      <c r="U54" s="5" t="inlineStr">
        <is>
          <t>England</t>
        </is>
      </c>
      <c r="V54" s="5" t="inlineStr">
        <is>
          <t>01535 213920</t>
        </is>
      </c>
      <c r="W54" s="5" t="inlineStr"/>
      <c r="X54" s="5" t="inlineStr"/>
      <c r="Y54" s="5" t="inlineStr">
        <is>
          <t>info@azeemsvapeshop.co.uk</t>
        </is>
      </c>
      <c r="Z54" s="5" t="inlineStr"/>
      <c r="AA54" s="5" t="inlineStr"/>
      <c r="AB54" s="5" t="inlineStr"/>
      <c r="AC54" s="5" t="inlineStr"/>
      <c r="AD54" s="5" t="inlineStr"/>
      <c r="AE54" s="5" t="inlineStr">
        <is>
          <t>13574720</t>
        </is>
      </c>
      <c r="AF54" s="5" t="inlineStr">
        <is>
          <t>Dissolved</t>
        </is>
      </c>
      <c r="AG54" s="5" t="inlineStr">
        <is>
          <t>AZEEMS VAPE SHOP LTD</t>
        </is>
      </c>
      <c r="AH54" s="5" t="inlineStr"/>
      <c r="AI54" s="5" t="inlineStr"/>
      <c r="AJ54" s="5" t="inlineStr"/>
      <c r="AK54" s="5" t="inlineStr">
        <is>
          <t>vapes; e-liquids; CBD; drinks; electronics</t>
        </is>
      </c>
      <c r="AL54" s="5" t="inlineStr"/>
      <c r="AM54" s="5" t="inlineStr">
        <is>
          <t>Vape Shop</t>
        </is>
      </c>
      <c r="AN54" s="5" t="inlineStr"/>
      <c r="AO54" s="5" t="inlineStr">
        <is>
          <t>Open 7 days 10am-10pm, 100+ e-liquid flavours. CAUTION: Companies House shows Azeems Vape Shop Ltd (13574720) dissolved 7 July 2026 per search snippet - shop may continue trading under a different entity; verify current trading status before contact.</t>
        </is>
      </c>
      <c r="AP54" s="5" t="inlineStr">
        <is>
          <t>High</t>
        </is>
      </c>
      <c r="AQ54" s="5" t="inlineStr">
        <is>
          <t>Independent retailer; Core relevant category; Public email available; Active website; Social presence</t>
        </is>
      </c>
      <c r="AR54" s="5" t="inlineStr">
        <is>
          <t>https://azeemsvapeshop.co.uk/contact/</t>
        </is>
      </c>
      <c r="AS54" s="5" t="inlineStr">
        <is>
          <t>https://find-and-update.company-information.service.gov.uk/company/13574720</t>
        </is>
      </c>
      <c r="AT54" s="5" t="inlineStr">
        <is>
          <t>3</t>
        </is>
      </c>
      <c r="AU54" s="5" t="inlineStr">
        <is>
          <t>No</t>
        </is>
      </c>
      <c r="AV54" s="5" t="inlineStr">
        <is>
          <t>No</t>
        </is>
      </c>
      <c r="AW54" s="5" t="inlineStr">
        <is>
          <t>Yes</t>
        </is>
      </c>
      <c r="AX54" s="5" t="inlineStr">
        <is>
          <t>Yes</t>
        </is>
      </c>
      <c r="AY54" s="5" t="inlineStr">
        <is>
          <t>Verified directory</t>
        </is>
      </c>
      <c r="AZ54" s="5" t="inlineStr">
        <is>
          <t>Website Found</t>
        </is>
      </c>
      <c r="BA54" s="5" t="inlineStr">
        <is>
          <t>2026-09-16</t>
        </is>
      </c>
      <c r="BB54" s="5" t="inlineStr">
        <is>
          <t>Partially Verified</t>
        </is>
      </c>
      <c r="BC54" s="5" t="inlineStr">
        <is>
          <t>Medium</t>
        </is>
      </c>
      <c r="BD54" s="5" t="inlineStr"/>
      <c r="BE54" s="5" t="inlineStr">
        <is>
          <t>Business (B2B)</t>
        </is>
      </c>
      <c r="BF54" s="5" t="inlineStr">
        <is>
          <t>Legitimate interest (B2B) - assess per campaign; PECR: corporate subscribers</t>
        </is>
      </c>
      <c r="BG54" s="5" t="inlineStr"/>
      <c r="BH54" s="5" t="inlineStr">
        <is>
          <t>No</t>
        </is>
      </c>
      <c r="BI54" s="5" t="inlineStr">
        <is>
          <t>2026-09-16</t>
        </is>
      </c>
      <c r="BJ54" s="5" t="inlineStr">
        <is>
          <t>New</t>
        </is>
      </c>
      <c r="BK54" s="5" t="inlineStr">
        <is>
          <t>2026-09-16</t>
        </is>
      </c>
      <c r="BL54" s="5" t="inlineStr"/>
      <c r="BM54" s="5" t="inlineStr"/>
      <c r="BN54" s="5" t="inlineStr"/>
      <c r="BO54" s="5" t="inlineStr"/>
      <c r="BP54" s="5" t="inlineStr"/>
      <c r="BQ54" s="5" t="inlineStr"/>
    </row>
    <row r="55">
      <c r="A55" s="10" t="inlineStr">
        <is>
          <t>WY-0054</t>
        </is>
      </c>
      <c r="B55" s="10" t="inlineStr">
        <is>
          <t>WY-0054-01</t>
        </is>
      </c>
      <c r="C55" s="10" t="inlineStr"/>
      <c r="D55" s="10" t="inlineStr">
        <is>
          <t>Azeem's Vape Shop</t>
        </is>
      </c>
      <c r="E55" s="10" t="inlineStr">
        <is>
          <t>Azeem's Vape Shop</t>
        </is>
      </c>
      <c r="F55" s="10" t="inlineStr"/>
      <c r="G55" s="10" t="inlineStr">
        <is>
          <t>Vape Shop</t>
        </is>
      </c>
      <c r="H55" s="10" t="inlineStr"/>
      <c r="I55" s="10" t="inlineStr">
        <is>
          <t>Independent</t>
        </is>
      </c>
      <c r="J55" s="10" t="inlineStr">
        <is>
          <t>1</t>
        </is>
      </c>
      <c r="K55" s="10" t="inlineStr"/>
      <c r="L55" s="10" t="inlineStr"/>
      <c r="M55" s="10" t="inlineStr"/>
      <c r="N55" s="10" t="inlineStr"/>
      <c r="O55" s="10" t="inlineStr"/>
      <c r="P55" s="10" t="inlineStr"/>
      <c r="Q55" s="10" t="inlineStr">
        <is>
          <t>Todmorden</t>
        </is>
      </c>
      <c r="R55" s="10" t="inlineStr">
        <is>
          <t>West Yorkshire</t>
        </is>
      </c>
      <c r="S55" s="10" t="inlineStr"/>
      <c r="T55" s="10" t="inlineStr">
        <is>
          <t>Yorkshire &amp; Humber</t>
        </is>
      </c>
      <c r="U55" s="10" t="inlineStr">
        <is>
          <t>England</t>
        </is>
      </c>
      <c r="V55" s="10" t="inlineStr"/>
      <c r="W55" s="10" t="inlineStr"/>
      <c r="X55" s="10" t="inlineStr"/>
      <c r="Y55" s="10" t="inlineStr"/>
      <c r="Z55" s="10" t="inlineStr"/>
      <c r="AA55" s="10" t="inlineStr"/>
      <c r="AB55" s="10" t="inlineStr"/>
      <c r="AC55" s="10" t="inlineStr"/>
      <c r="AD55" s="10" t="inlineStr"/>
      <c r="AE55" s="10" t="inlineStr"/>
      <c r="AF55" s="10" t="inlineStr"/>
      <c r="AG55" s="10" t="inlineStr"/>
      <c r="AH55" s="10" t="inlineStr"/>
      <c r="AI55" s="10" t="inlineStr"/>
      <c r="AJ55" s="10" t="inlineStr"/>
      <c r="AK55" s="10" t="inlineStr">
        <is>
          <t>vapes</t>
        </is>
      </c>
      <c r="AL55" s="10" t="inlineStr"/>
      <c r="AM55" s="10" t="inlineStr">
        <is>
          <t>Vape Shop</t>
        </is>
      </c>
      <c r="AN55" s="10" t="inlineStr"/>
      <c r="AO55" s="10" t="inlineStr">
        <is>
          <t>Listed among Todmorden vape shops on Yelp and on tobaccoshops.co.uk; street address not captured before search budget was exhausted.</t>
        </is>
      </c>
      <c r="AP55" s="10" t="inlineStr">
        <is>
          <t>Medium</t>
        </is>
      </c>
      <c r="AQ55" s="10" t="inlineStr">
        <is>
          <t>Independent retailer; Core relevant category</t>
        </is>
      </c>
      <c r="AR55" s="10" t="inlineStr">
        <is>
          <t>https://tobaccoshops.co.uk/05958051/Azeem%E2%80%99s_vape_shop</t>
        </is>
      </c>
      <c r="AS55" s="10" t="inlineStr">
        <is>
          <t>https://www.yelp.com/search?cflt=vapeshops&amp;find_loc=Todmorden%2C+West+Yorkshire</t>
        </is>
      </c>
      <c r="AT55" s="10" t="inlineStr">
        <is>
          <t>2</t>
        </is>
      </c>
      <c r="AU55" s="10" t="inlineStr">
        <is>
          <t>No</t>
        </is>
      </c>
      <c r="AV55" s="10" t="inlineStr">
        <is>
          <t>No</t>
        </is>
      </c>
      <c r="AW55" s="10" t="inlineStr">
        <is>
          <t>No</t>
        </is>
      </c>
      <c r="AX55" s="10" t="inlineStr">
        <is>
          <t>No</t>
        </is>
      </c>
      <c r="AY55" s="10" t="inlineStr">
        <is>
          <t>Not Found</t>
        </is>
      </c>
      <c r="AZ55" s="10" t="inlineStr">
        <is>
          <t>Not Found</t>
        </is>
      </c>
      <c r="BA55" s="10" t="inlineStr">
        <is>
          <t>2026-09-16</t>
        </is>
      </c>
      <c r="BB55" s="10" t="inlineStr">
        <is>
          <t>Requires Verification</t>
        </is>
      </c>
      <c r="BC55" s="10" t="inlineStr">
        <is>
          <t>Low</t>
        </is>
      </c>
      <c r="BD55" s="10" t="inlineStr"/>
      <c r="BE55" s="10" t="inlineStr">
        <is>
          <t>Business (B2B)</t>
        </is>
      </c>
      <c r="BF55" s="10" t="inlineStr">
        <is>
          <t>Legitimate interest (B2B) - assess per campaign; PECR: corporate subscribers</t>
        </is>
      </c>
      <c r="BG55" s="10" t="inlineStr"/>
      <c r="BH55" s="10" t="inlineStr">
        <is>
          <t>No</t>
        </is>
      </c>
      <c r="BI55" s="10" t="inlineStr">
        <is>
          <t>2026-09-16</t>
        </is>
      </c>
      <c r="BJ55" s="10" t="inlineStr">
        <is>
          <t>New</t>
        </is>
      </c>
      <c r="BK55" s="10" t="inlineStr">
        <is>
          <t>2026-09-16</t>
        </is>
      </c>
      <c r="BL55" s="10" t="inlineStr"/>
      <c r="BM55" s="10" t="inlineStr"/>
      <c r="BN55" s="10" t="inlineStr"/>
      <c r="BO55" s="10" t="inlineStr"/>
      <c r="BP55" s="10" t="inlineStr"/>
      <c r="BQ55" s="10" t="inlineStr"/>
    </row>
    <row r="56">
      <c r="A56" s="5" t="inlineStr">
        <is>
          <t>WY-0055</t>
        </is>
      </c>
      <c r="B56" s="5" t="inlineStr">
        <is>
          <t>WY-0055-01</t>
        </is>
      </c>
      <c r="C56" s="5" t="inlineStr"/>
      <c r="D56" s="5" t="inlineStr">
        <is>
          <t>BGC Wholesale</t>
        </is>
      </c>
      <c r="E56" s="5" t="inlineStr">
        <is>
          <t>BGC Wholesale (rebranding to Tiger Feet)</t>
        </is>
      </c>
      <c r="F56" s="5" t="inlineStr">
        <is>
          <t>BGC Wholesale Ltd</t>
        </is>
      </c>
      <c r="G56" s="5" t="inlineStr">
        <is>
          <t>Cash &amp; Carry</t>
        </is>
      </c>
      <c r="H56" s="5" t="inlineStr">
        <is>
          <t>Greeting cards, gifts &amp; retail sundries wholesaler</t>
        </is>
      </c>
      <c r="I56" s="5" t="inlineStr">
        <is>
          <t>Independent</t>
        </is>
      </c>
      <c r="J56" s="5" t="inlineStr">
        <is>
          <t>1</t>
        </is>
      </c>
      <c r="K56" s="5" t="inlineStr">
        <is>
          <t>https://bgcwholesale.com/locations/bradford</t>
        </is>
      </c>
      <c r="L56" s="5" t="inlineStr"/>
      <c r="M56" s="5" t="inlineStr"/>
      <c r="N56" s="5" t="inlineStr"/>
      <c r="O56" s="5" t="inlineStr">
        <is>
          <t>12 Roydsdale Way</t>
        </is>
      </c>
      <c r="P56" s="5" t="inlineStr">
        <is>
          <t>Euroway Estate</t>
        </is>
      </c>
      <c r="Q56" s="5" t="inlineStr">
        <is>
          <t>Bradford</t>
        </is>
      </c>
      <c r="R56" s="5" t="inlineStr">
        <is>
          <t>West Yorkshire</t>
        </is>
      </c>
      <c r="S56" s="5" t="inlineStr">
        <is>
          <t>BD4 6SE</t>
        </is>
      </c>
      <c r="T56" s="5" t="inlineStr">
        <is>
          <t>Yorkshire &amp; Humber</t>
        </is>
      </c>
      <c r="U56" s="5" t="inlineStr">
        <is>
          <t>England</t>
        </is>
      </c>
      <c r="V56" s="5" t="inlineStr">
        <is>
          <t>01274 651059</t>
        </is>
      </c>
      <c r="W56" s="5" t="inlineStr"/>
      <c r="X56" s="5" t="inlineStr"/>
      <c r="Y56" s="5" t="inlineStr"/>
      <c r="Z56" s="5" t="inlineStr"/>
      <c r="AA56" s="5" t="inlineStr"/>
      <c r="AB56" s="5" t="inlineStr"/>
      <c r="AC56" s="5" t="inlineStr"/>
      <c r="AD56" s="5" t="inlineStr"/>
      <c r="AE56" s="5" t="inlineStr">
        <is>
          <t>12428420</t>
        </is>
      </c>
      <c r="AF56" s="5" t="inlineStr"/>
      <c r="AG56" s="5" t="inlineStr">
        <is>
          <t>BGC WHOLESALE LTD</t>
        </is>
      </c>
      <c r="AH56" s="5" t="inlineStr"/>
      <c r="AI56" s="5" t="inlineStr"/>
      <c r="AJ56" s="5" t="inlineStr"/>
      <c r="AK56" s="5" t="inlineStr">
        <is>
          <t>greeting cards; gifts; retail sundries</t>
        </is>
      </c>
      <c r="AL56" s="5" t="inlineStr"/>
      <c r="AM56" s="5" t="inlineStr">
        <is>
          <t>Cash &amp; Carry</t>
        </is>
      </c>
      <c r="AN56" s="5" t="inlineStr"/>
      <c r="AO56" s="5" t="inlineStr">
        <is>
          <t>Supplies independent retailers with cards/gifts at competitive prices. Recent listings show a rebrand to 'Tiger Feet Limited (previously BGC Wholesale)' - confirm current trading name. Linked historically to Budget Greeting Cards Ltd, Bradford.</t>
        </is>
      </c>
      <c r="AP56" s="5" t="inlineStr">
        <is>
          <t>Medium</t>
        </is>
      </c>
      <c r="AQ56" s="5" t="inlineStr">
        <is>
          <t>Independent retailer; Core relevant category; Active website</t>
        </is>
      </c>
      <c r="AR56" s="5" t="inlineStr">
        <is>
          <t>https://find-and-update.company-information.service.gov.uk/company/12428420/officers</t>
        </is>
      </c>
      <c r="AS56" s="5" t="inlineStr">
        <is>
          <t>https://bradford.cylex-uk.co.uk/company/bgc-wholesale-ltd-27159538.html</t>
        </is>
      </c>
      <c r="AT56" s="5" t="inlineStr">
        <is>
          <t>3</t>
        </is>
      </c>
      <c r="AU56" s="5" t="inlineStr">
        <is>
          <t>No</t>
        </is>
      </c>
      <c r="AV56" s="5" t="inlineStr">
        <is>
          <t>No</t>
        </is>
      </c>
      <c r="AW56" s="5" t="inlineStr">
        <is>
          <t>No</t>
        </is>
      </c>
      <c r="AX56" s="5" t="inlineStr">
        <is>
          <t>Yes</t>
        </is>
      </c>
      <c r="AY56" s="5" t="inlineStr">
        <is>
          <t>Verified directory</t>
        </is>
      </c>
      <c r="AZ56" s="5" t="inlineStr">
        <is>
          <t>Website Found</t>
        </is>
      </c>
      <c r="BA56" s="5" t="inlineStr">
        <is>
          <t>2026-09-16</t>
        </is>
      </c>
      <c r="BB56" s="5" t="inlineStr">
        <is>
          <t>Partially Verified</t>
        </is>
      </c>
      <c r="BC56" s="5" t="inlineStr">
        <is>
          <t>Medium</t>
        </is>
      </c>
      <c r="BD56" s="5" t="inlineStr"/>
      <c r="BE56" s="5" t="inlineStr">
        <is>
          <t>Business (B2B)</t>
        </is>
      </c>
      <c r="BF56" s="5" t="inlineStr">
        <is>
          <t>Legitimate interest (B2B) - assess per campaign; PECR: corporate subscribers</t>
        </is>
      </c>
      <c r="BG56" s="5" t="inlineStr"/>
      <c r="BH56" s="5" t="inlineStr">
        <is>
          <t>No</t>
        </is>
      </c>
      <c r="BI56" s="5" t="inlineStr">
        <is>
          <t>2026-09-16</t>
        </is>
      </c>
      <c r="BJ56" s="5" t="inlineStr">
        <is>
          <t>New</t>
        </is>
      </c>
      <c r="BK56" s="5" t="inlineStr">
        <is>
          <t>2026-09-16</t>
        </is>
      </c>
      <c r="BL56" s="5" t="inlineStr"/>
      <c r="BM56" s="5" t="inlineStr"/>
      <c r="BN56" s="5" t="inlineStr"/>
      <c r="BO56" s="5" t="inlineStr"/>
      <c r="BP56" s="5" t="inlineStr"/>
      <c r="BQ56" s="5" t="inlineStr"/>
    </row>
    <row r="57">
      <c r="A57" s="10" t="inlineStr">
        <is>
          <t>WY-0056</t>
        </is>
      </c>
      <c r="B57" s="10" t="inlineStr">
        <is>
          <t>WY-0056-01</t>
        </is>
      </c>
      <c r="C57" s="10" t="inlineStr"/>
      <c r="D57" s="10" t="inlineStr">
        <is>
          <t>Baildon Green Convenience Store</t>
        </is>
      </c>
      <c r="E57" s="10" t="inlineStr">
        <is>
          <t>Baildon Green Convenience Store</t>
        </is>
      </c>
      <c r="F57" s="10" t="inlineStr"/>
      <c r="G57" s="10" t="inlineStr">
        <is>
          <t>Convenience Store</t>
        </is>
      </c>
      <c r="H57" s="10" t="inlineStr">
        <is>
          <t>Neighbourhood convenience store</t>
        </is>
      </c>
      <c r="I57" s="10" t="inlineStr">
        <is>
          <t>Independent</t>
        </is>
      </c>
      <c r="J57" s="10" t="inlineStr">
        <is>
          <t>1</t>
        </is>
      </c>
      <c r="K57" s="10" t="inlineStr"/>
      <c r="L57" s="10" t="inlineStr"/>
      <c r="M57" s="10" t="inlineStr"/>
      <c r="N57" s="10" t="inlineStr"/>
      <c r="O57" s="10" t="inlineStr">
        <is>
          <t>Cliffe Lane West</t>
        </is>
      </c>
      <c r="P57" s="10" t="inlineStr">
        <is>
          <t>Baildon</t>
        </is>
      </c>
      <c r="Q57" s="10" t="inlineStr">
        <is>
          <t>Shipley</t>
        </is>
      </c>
      <c r="R57" s="10" t="inlineStr">
        <is>
          <t>West Yorkshire</t>
        </is>
      </c>
      <c r="S57" s="10" t="inlineStr"/>
      <c r="T57" s="10" t="inlineStr">
        <is>
          <t>Yorkshire &amp; Humber</t>
        </is>
      </c>
      <c r="U57" s="10" t="inlineStr">
        <is>
          <t>England</t>
        </is>
      </c>
      <c r="V57" s="10" t="inlineStr"/>
      <c r="W57" s="10" t="inlineStr"/>
      <c r="X57" s="10" t="inlineStr"/>
      <c r="Y57" s="10" t="inlineStr"/>
      <c r="Z57" s="10" t="inlineStr"/>
      <c r="AA57" s="10" t="inlineStr"/>
      <c r="AB57" s="10" t="inlineStr"/>
      <c r="AC57" s="10" t="inlineStr"/>
      <c r="AD57" s="10" t="inlineStr"/>
      <c r="AE57" s="10" t="inlineStr"/>
      <c r="AF57" s="10" t="inlineStr"/>
      <c r="AG57" s="10" t="inlineStr"/>
      <c r="AH57" s="10" t="inlineStr"/>
      <c r="AI57" s="10" t="inlineStr"/>
      <c r="AJ57" s="10" t="inlineStr"/>
      <c r="AK57" s="10" t="inlineStr">
        <is>
          <t>convenience lines; groceries</t>
        </is>
      </c>
      <c r="AL57" s="10" t="inlineStr"/>
      <c r="AM57" s="10" t="inlineStr">
        <is>
          <t>Convenience Store</t>
        </is>
      </c>
      <c r="AN57" s="10" t="inlineStr"/>
      <c r="AO57" s="10" t="inlineStr">
        <is>
          <t>Open 7 days, 7am-11pm per listing snippet.</t>
        </is>
      </c>
      <c r="AP57" s="10" t="inlineStr">
        <is>
          <t>Low</t>
        </is>
      </c>
      <c r="AQ57" s="10" t="inlineStr">
        <is>
          <t>Independent retailer; Relevant category</t>
        </is>
      </c>
      <c r="AR57" s="10" t="inlineStr">
        <is>
          <t>https://www.yorkshire.com/shipley/shopping/corner-shops/baildon-green-convenience-store</t>
        </is>
      </c>
      <c r="AS57" s="10" t="inlineStr"/>
      <c r="AT57" s="10" t="inlineStr">
        <is>
          <t>1</t>
        </is>
      </c>
      <c r="AU57" s="10" t="inlineStr">
        <is>
          <t>No</t>
        </is>
      </c>
      <c r="AV57" s="10" t="inlineStr">
        <is>
          <t>No</t>
        </is>
      </c>
      <c r="AW57" s="10" t="inlineStr">
        <is>
          <t>No</t>
        </is>
      </c>
      <c r="AX57" s="10" t="inlineStr">
        <is>
          <t>No</t>
        </is>
      </c>
      <c r="AY57" s="10" t="inlineStr">
        <is>
          <t>Not Found</t>
        </is>
      </c>
      <c r="AZ57" s="10" t="inlineStr">
        <is>
          <t>Not Found</t>
        </is>
      </c>
      <c r="BA57" s="10" t="inlineStr">
        <is>
          <t>2026-09-16</t>
        </is>
      </c>
      <c r="BB57" s="10" t="inlineStr">
        <is>
          <t>Requires Verification</t>
        </is>
      </c>
      <c r="BC57" s="10" t="inlineStr">
        <is>
          <t>Low</t>
        </is>
      </c>
      <c r="BD57" s="10" t="inlineStr"/>
      <c r="BE57" s="10" t="inlineStr">
        <is>
          <t>Business (B2B)</t>
        </is>
      </c>
      <c r="BF57" s="10" t="inlineStr">
        <is>
          <t>Legitimate interest (B2B) - assess per campaign; PECR: corporate subscribers</t>
        </is>
      </c>
      <c r="BG57" s="10" t="inlineStr"/>
      <c r="BH57" s="10" t="inlineStr">
        <is>
          <t>No</t>
        </is>
      </c>
      <c r="BI57" s="10" t="inlineStr">
        <is>
          <t>2026-09-16</t>
        </is>
      </c>
      <c r="BJ57" s="10" t="inlineStr">
        <is>
          <t>New</t>
        </is>
      </c>
      <c r="BK57" s="10" t="inlineStr">
        <is>
          <t>2026-09-16</t>
        </is>
      </c>
      <c r="BL57" s="10" t="inlineStr"/>
      <c r="BM57" s="10" t="inlineStr"/>
      <c r="BN57" s="10" t="inlineStr"/>
      <c r="BO57" s="10" t="inlineStr"/>
      <c r="BP57" s="10" t="inlineStr"/>
      <c r="BQ57" s="10" t="inlineStr"/>
    </row>
    <row r="58">
      <c r="A58" s="5" t="inlineStr">
        <is>
          <t>WY-0057</t>
        </is>
      </c>
      <c r="B58" s="5" t="inlineStr">
        <is>
          <t>WY-0057-01</t>
        </is>
      </c>
      <c r="C58" s="5" t="inlineStr"/>
      <c r="D58" s="5" t="inlineStr">
        <is>
          <t>Baildon Off Licence</t>
        </is>
      </c>
      <c r="E58" s="5" t="inlineStr">
        <is>
          <t>Baildon Off Licence</t>
        </is>
      </c>
      <c r="F58" s="5" t="inlineStr"/>
      <c r="G58" s="5" t="inlineStr">
        <is>
          <t>Off-Licence</t>
        </is>
      </c>
      <c r="H58" s="5" t="inlineStr">
        <is>
          <t>Neighbourhood off-licence</t>
        </is>
      </c>
      <c r="I58" s="5" t="inlineStr">
        <is>
          <t>Independent</t>
        </is>
      </c>
      <c r="J58" s="5" t="inlineStr">
        <is>
          <t>1</t>
        </is>
      </c>
      <c r="K58" s="5" t="inlineStr"/>
      <c r="L58" s="5" t="inlineStr"/>
      <c r="M58" s="5" t="inlineStr"/>
      <c r="N58" s="5" t="inlineStr"/>
      <c r="O58" s="5" t="inlineStr">
        <is>
          <t>Coach Road</t>
        </is>
      </c>
      <c r="P58" s="5" t="inlineStr">
        <is>
          <t>Baildon</t>
        </is>
      </c>
      <c r="Q58" s="5" t="inlineStr">
        <is>
          <t>Shipley</t>
        </is>
      </c>
      <c r="R58" s="5" t="inlineStr">
        <is>
          <t>West Yorkshire</t>
        </is>
      </c>
      <c r="S58" s="5" t="inlineStr"/>
      <c r="T58" s="5" t="inlineStr">
        <is>
          <t>Yorkshire &amp; Humber</t>
        </is>
      </c>
      <c r="U58" s="5" t="inlineStr">
        <is>
          <t>England</t>
        </is>
      </c>
      <c r="V58" s="5" t="inlineStr"/>
      <c r="W58" s="5" t="inlineStr"/>
      <c r="X58" s="5" t="inlineStr"/>
      <c r="Y58" s="5" t="inlineStr"/>
      <c r="Z58" s="5" t="inlineStr"/>
      <c r="AA58" s="5" t="inlineStr"/>
      <c r="AB58" s="5" t="inlineStr"/>
      <c r="AC58" s="5" t="inlineStr"/>
      <c r="AD58" s="5" t="inlineStr"/>
      <c r="AE58" s="5" t="inlineStr"/>
      <c r="AF58" s="5" t="inlineStr"/>
      <c r="AG58" s="5" t="inlineStr"/>
      <c r="AH58" s="5" t="inlineStr"/>
      <c r="AI58" s="5" t="inlineStr"/>
      <c r="AJ58" s="5" t="inlineStr"/>
      <c r="AK58" s="5" t="inlineStr">
        <is>
          <t>beers; wines; spirits; convenience lines</t>
        </is>
      </c>
      <c r="AL58" s="5" t="inlineStr"/>
      <c r="AM58" s="5" t="inlineStr">
        <is>
          <t>Off-Licence</t>
        </is>
      </c>
      <c r="AN58" s="5" t="inlineStr"/>
      <c r="AO58" s="5" t="inlineStr">
        <is>
          <t>Coach Road, Baildon (Saltaire side). Google rating 4.3; open Mon-Sat 9am-8pm, Sun 10am-6pm per listing snippet.</t>
        </is>
      </c>
      <c r="AP58" s="5" t="inlineStr">
        <is>
          <t>Low</t>
        </is>
      </c>
      <c r="AQ58" s="5" t="inlineStr">
        <is>
          <t>Independent retailer; Relevant category</t>
        </is>
      </c>
      <c r="AR58" s="5" t="inlineStr">
        <is>
          <t>https://www.yorkshire.com/saltaire/shopping/off-license/baildon-off-licence</t>
        </is>
      </c>
      <c r="AS58" s="5" t="inlineStr"/>
      <c r="AT58" s="5" t="inlineStr">
        <is>
          <t>1</t>
        </is>
      </c>
      <c r="AU58" s="5" t="inlineStr">
        <is>
          <t>No</t>
        </is>
      </c>
      <c r="AV58" s="5" t="inlineStr">
        <is>
          <t>No</t>
        </is>
      </c>
      <c r="AW58" s="5" t="inlineStr">
        <is>
          <t>No</t>
        </is>
      </c>
      <c r="AX58" s="5" t="inlineStr">
        <is>
          <t>No</t>
        </is>
      </c>
      <c r="AY58" s="5" t="inlineStr">
        <is>
          <t>Not Found</t>
        </is>
      </c>
      <c r="AZ58" s="5" t="inlineStr">
        <is>
          <t>Not Found</t>
        </is>
      </c>
      <c r="BA58" s="5" t="inlineStr">
        <is>
          <t>2026-09-16</t>
        </is>
      </c>
      <c r="BB58" s="5" t="inlineStr">
        <is>
          <t>Requires Verification</t>
        </is>
      </c>
      <c r="BC58" s="5" t="inlineStr">
        <is>
          <t>Low</t>
        </is>
      </c>
      <c r="BD58" s="5" t="inlineStr"/>
      <c r="BE58" s="5" t="inlineStr">
        <is>
          <t>Business (B2B)</t>
        </is>
      </c>
      <c r="BF58" s="5" t="inlineStr">
        <is>
          <t>Legitimate interest (B2B) - assess per campaign; PECR: corporate subscribers</t>
        </is>
      </c>
      <c r="BG58" s="5" t="inlineStr"/>
      <c r="BH58" s="5" t="inlineStr">
        <is>
          <t>No</t>
        </is>
      </c>
      <c r="BI58" s="5" t="inlineStr">
        <is>
          <t>2026-09-16</t>
        </is>
      </c>
      <c r="BJ58" s="5" t="inlineStr">
        <is>
          <t>New</t>
        </is>
      </c>
      <c r="BK58" s="5" t="inlineStr">
        <is>
          <t>2026-09-16</t>
        </is>
      </c>
      <c r="BL58" s="5" t="inlineStr"/>
      <c r="BM58" s="5" t="inlineStr"/>
      <c r="BN58" s="5" t="inlineStr"/>
      <c r="BO58" s="5" t="inlineStr"/>
      <c r="BP58" s="5" t="inlineStr"/>
      <c r="BQ58" s="5" t="inlineStr"/>
    </row>
    <row r="59">
      <c r="A59" s="10" t="inlineStr">
        <is>
          <t>WY-0058</t>
        </is>
      </c>
      <c r="B59" s="10" t="inlineStr">
        <is>
          <t>WY-0058-01</t>
        </is>
      </c>
      <c r="C59" s="10" t="inlineStr"/>
      <c r="D59" s="10" t="inlineStr">
        <is>
          <t>Bar Market</t>
        </is>
      </c>
      <c r="E59" s="10" t="inlineStr">
        <is>
          <t>Bar Market Ltd</t>
        </is>
      </c>
      <c r="F59" s="10" t="inlineStr"/>
      <c r="G59" s="10" t="inlineStr">
        <is>
          <t>Off-Licence</t>
        </is>
      </c>
      <c r="H59" s="10" t="inlineStr">
        <is>
          <t>24-hour off-licence</t>
        </is>
      </c>
      <c r="I59" s="10" t="inlineStr">
        <is>
          <t>Independent</t>
        </is>
      </c>
      <c r="J59" s="10" t="inlineStr">
        <is>
          <t>1</t>
        </is>
      </c>
      <c r="K59" s="10" t="inlineStr"/>
      <c r="L59" s="10" t="inlineStr"/>
      <c r="M59" s="10" t="inlineStr"/>
      <c r="N59" s="10" t="inlineStr"/>
      <c r="O59" s="10" t="inlineStr">
        <is>
          <t>Crown Street</t>
        </is>
      </c>
      <c r="P59" s="10" t="inlineStr"/>
      <c r="Q59" s="10" t="inlineStr">
        <is>
          <t>Halifax</t>
        </is>
      </c>
      <c r="R59" s="10" t="inlineStr">
        <is>
          <t>West Yorkshire</t>
        </is>
      </c>
      <c r="S59" s="10" t="inlineStr"/>
      <c r="T59" s="10" t="inlineStr">
        <is>
          <t>Yorkshire &amp; Humber</t>
        </is>
      </c>
      <c r="U59" s="10" t="inlineStr">
        <is>
          <t>England</t>
        </is>
      </c>
      <c r="V59" s="10" t="inlineStr"/>
      <c r="W59" s="10" t="inlineStr"/>
      <c r="X59" s="10" t="inlineStr"/>
      <c r="Y59" s="10" t="inlineStr"/>
      <c r="Z59" s="10" t="inlineStr"/>
      <c r="AA59" s="10" t="inlineStr"/>
      <c r="AB59" s="10" t="inlineStr"/>
      <c r="AC59" s="10" t="inlineStr"/>
      <c r="AD59" s="10" t="inlineStr"/>
      <c r="AE59" s="10" t="inlineStr"/>
      <c r="AF59" s="10" t="inlineStr"/>
      <c r="AG59" s="10" t="inlineStr"/>
      <c r="AH59" s="10" t="inlineStr"/>
      <c r="AI59" s="10" t="inlineStr"/>
      <c r="AJ59" s="10" t="inlineStr"/>
      <c r="AK59" s="10" t="inlineStr">
        <is>
          <t>beers, wines and spirits</t>
        </is>
      </c>
      <c r="AL59" s="10" t="inlineStr"/>
      <c r="AM59" s="10" t="inlineStr">
        <is>
          <t>Off-Licence</t>
        </is>
      </c>
      <c r="AN59" s="10" t="inlineStr"/>
      <c r="AO59" s="10" t="inlineStr">
        <is>
          <t>Described as open 24/7. Directory name suggests a limited company but no Companies House match was verified; street number and postcode not captured.</t>
        </is>
      </c>
      <c r="AP59" s="10" t="inlineStr">
        <is>
          <t>Low</t>
        </is>
      </c>
      <c r="AQ59" s="10" t="inlineStr">
        <is>
          <t>Independent retailer; Relevant category</t>
        </is>
      </c>
      <c r="AR59" s="10" t="inlineStr">
        <is>
          <t>https://www.yorkshire.com/halifax/shopping/off-license/bar-market-ltd</t>
        </is>
      </c>
      <c r="AS59" s="10" t="inlineStr"/>
      <c r="AT59" s="10" t="inlineStr">
        <is>
          <t>1</t>
        </is>
      </c>
      <c r="AU59" s="10" t="inlineStr">
        <is>
          <t>No</t>
        </is>
      </c>
      <c r="AV59" s="10" t="inlineStr">
        <is>
          <t>No</t>
        </is>
      </c>
      <c r="AW59" s="10" t="inlineStr">
        <is>
          <t>No</t>
        </is>
      </c>
      <c r="AX59" s="10" t="inlineStr">
        <is>
          <t>No</t>
        </is>
      </c>
      <c r="AY59" s="10" t="inlineStr">
        <is>
          <t>Not Found</t>
        </is>
      </c>
      <c r="AZ59" s="10" t="inlineStr">
        <is>
          <t>Not Found</t>
        </is>
      </c>
      <c r="BA59" s="10" t="inlineStr">
        <is>
          <t>2026-09-16</t>
        </is>
      </c>
      <c r="BB59" s="10" t="inlineStr">
        <is>
          <t>Requires Verification</t>
        </is>
      </c>
      <c r="BC59" s="10" t="inlineStr">
        <is>
          <t>Low</t>
        </is>
      </c>
      <c r="BD59" s="10" t="inlineStr"/>
      <c r="BE59" s="10" t="inlineStr">
        <is>
          <t>Business (B2B)</t>
        </is>
      </c>
      <c r="BF59" s="10" t="inlineStr">
        <is>
          <t>Legitimate interest (B2B) - assess per campaign; PECR: corporate subscribers</t>
        </is>
      </c>
      <c r="BG59" s="10" t="inlineStr"/>
      <c r="BH59" s="10" t="inlineStr">
        <is>
          <t>No</t>
        </is>
      </c>
      <c r="BI59" s="10" t="inlineStr">
        <is>
          <t>2026-09-16</t>
        </is>
      </c>
      <c r="BJ59" s="10" t="inlineStr">
        <is>
          <t>New</t>
        </is>
      </c>
      <c r="BK59" s="10" t="inlineStr">
        <is>
          <t>2026-09-16</t>
        </is>
      </c>
      <c r="BL59" s="10" t="inlineStr"/>
      <c r="BM59" s="10" t="inlineStr"/>
      <c r="BN59" s="10" t="inlineStr"/>
      <c r="BO59" s="10" t="inlineStr"/>
      <c r="BP59" s="10" t="inlineStr"/>
      <c r="BQ59" s="10" t="inlineStr"/>
    </row>
    <row r="60">
      <c r="A60" s="5" t="inlineStr">
        <is>
          <t>WY-0059</t>
        </is>
      </c>
      <c r="B60" s="5" t="inlineStr">
        <is>
          <t>WY-0059-01</t>
        </is>
      </c>
      <c r="C60" s="5" t="inlineStr"/>
      <c r="D60" s="5" t="inlineStr">
        <is>
          <t>Barry's Cash &amp; Carry</t>
        </is>
      </c>
      <c r="E60" s="5" t="inlineStr">
        <is>
          <t>Cut Price Barry's / Barrys Cash and Carry</t>
        </is>
      </c>
      <c r="F60" s="5" t="inlineStr">
        <is>
          <t>BARRY'S CASH &amp; CARRY LTD</t>
        </is>
      </c>
      <c r="G60" s="5" t="inlineStr">
        <is>
          <t>Cash &amp; Carry</t>
        </is>
      </c>
      <c r="H60" s="5" t="inlineStr">
        <is>
          <t>Clearance food and drink cash &amp; carry (open to trade and public)</t>
        </is>
      </c>
      <c r="I60" s="5" t="inlineStr">
        <is>
          <t>Independent</t>
        </is>
      </c>
      <c r="J60" s="5" t="inlineStr">
        <is>
          <t>1</t>
        </is>
      </c>
      <c r="K60" s="5" t="inlineStr">
        <is>
          <t>http://www.cutpricebarrys.co.uk/</t>
        </is>
      </c>
      <c r="L60" s="5" t="inlineStr">
        <is>
          <t>https://www.facebook.com/p/Barrys-Cash-Carry-61550239916577/</t>
        </is>
      </c>
      <c r="M60" s="5" t="inlineStr">
        <is>
          <t>https://www.instagram.com/barryscashandcarry/</t>
        </is>
      </c>
      <c r="N60" s="5" t="inlineStr"/>
      <c r="O60" s="5" t="inlineStr">
        <is>
          <t>163 King Cross Road</t>
        </is>
      </c>
      <c r="P60" s="5" t="inlineStr"/>
      <c r="Q60" s="5" t="inlineStr">
        <is>
          <t>Halifax</t>
        </is>
      </c>
      <c r="R60" s="5" t="inlineStr">
        <is>
          <t>West Yorkshire</t>
        </is>
      </c>
      <c r="S60" s="5" t="inlineStr">
        <is>
          <t>HX1 3LN</t>
        </is>
      </c>
      <c r="T60" s="5" t="inlineStr">
        <is>
          <t>Yorkshire &amp; Humber</t>
        </is>
      </c>
      <c r="U60" s="5" t="inlineStr">
        <is>
          <t>England</t>
        </is>
      </c>
      <c r="V60" s="5" t="inlineStr">
        <is>
          <t>01422 646060</t>
        </is>
      </c>
      <c r="W60" s="5" t="inlineStr"/>
      <c r="X60" s="5" t="inlineStr"/>
      <c r="Y60" s="5" t="inlineStr">
        <is>
          <t>info@cutpricebarrys.co.uk</t>
        </is>
      </c>
      <c r="Z60" s="5" t="inlineStr"/>
      <c r="AA60" s="5" t="inlineStr"/>
      <c r="AB60" s="5" t="inlineStr"/>
      <c r="AC60" s="5" t="inlineStr"/>
      <c r="AD60" s="5" t="inlineStr"/>
      <c r="AE60" s="5" t="inlineStr">
        <is>
          <t>11123434</t>
        </is>
      </c>
      <c r="AF60" s="5" t="inlineStr">
        <is>
          <t>Active - Active proposal to strike off</t>
        </is>
      </c>
      <c r="AG60" s="5" t="inlineStr">
        <is>
          <t>BARRY'S CASH &amp; CARRY LTD</t>
        </is>
      </c>
      <c r="AH60" s="5" t="inlineStr">
        <is>
          <t>163 King Cross Road, Halifax, United Kingdom, HX1 3LN</t>
        </is>
      </c>
      <c r="AI60" s="5" t="inlineStr">
        <is>
          <t>2017-12-22</t>
        </is>
      </c>
      <c r="AJ60" s="5" t="inlineStr"/>
      <c r="AK60" s="5" t="inlineStr">
        <is>
          <t>clearance food; drinks; novelty items; wholesale</t>
        </is>
      </c>
      <c r="AL60" s="5" t="inlineStr"/>
      <c r="AM60" s="5" t="inlineStr">
        <is>
          <t>Cash &amp; Carry</t>
        </is>
      </c>
      <c r="AN60" s="5" t="inlineStr"/>
      <c r="AO60" s="5" t="inlineStr">
        <is>
          <t>SIC 46900 non-specialised wholesale trade. CAUTION: Companies House shows 'Active proposal to strike off' and overdue accounts - check current trading/legal status before outreach. Email taken from a business directory listing that mirrors the company's own domain; own-site contact page could not be fetched (egress blocked).</t>
        </is>
      </c>
      <c r="AP60" s="5" t="inlineStr">
        <is>
          <t>High</t>
        </is>
      </c>
      <c r="AQ60" s="5" t="inlineStr">
        <is>
          <t>Independent retailer; Core relevant category; Public email available; Active website; Social presence</t>
        </is>
      </c>
      <c r="AR60" s="5" t="inlineStr">
        <is>
          <t>https://cutpricebarrys.co.uk/barrys-cash-and-carry/</t>
        </is>
      </c>
      <c r="AS60" s="5" t="inlineStr">
        <is>
          <t>https://find-and-update.company-information.service.gov.uk/company/11123434</t>
        </is>
      </c>
      <c r="AT60" s="5" t="inlineStr">
        <is>
          <t>5</t>
        </is>
      </c>
      <c r="AU60" s="5" t="inlineStr">
        <is>
          <t>No</t>
        </is>
      </c>
      <c r="AV60" s="5" t="inlineStr">
        <is>
          <t>No</t>
        </is>
      </c>
      <c r="AW60" s="5" t="inlineStr">
        <is>
          <t>No</t>
        </is>
      </c>
      <c r="AX60" s="5" t="inlineStr">
        <is>
          <t>Yes</t>
        </is>
      </c>
      <c r="AY60" s="5" t="inlineStr">
        <is>
          <t>Verified directory</t>
        </is>
      </c>
      <c r="AZ60" s="5" t="inlineStr">
        <is>
          <t>Unverified</t>
        </is>
      </c>
      <c r="BA60" s="5" t="inlineStr">
        <is>
          <t>2026-09-16</t>
        </is>
      </c>
      <c r="BB60" s="5" t="inlineStr">
        <is>
          <t>Partially Verified</t>
        </is>
      </c>
      <c r="BC60" s="5" t="inlineStr">
        <is>
          <t>Medium</t>
        </is>
      </c>
      <c r="BD60" s="5" t="inlineStr"/>
      <c r="BE60" s="5" t="inlineStr">
        <is>
          <t>Business (B2B)</t>
        </is>
      </c>
      <c r="BF60" s="5" t="inlineStr">
        <is>
          <t>Legitimate interest (B2B) - assess per campaign; PECR: corporate subscribers</t>
        </is>
      </c>
      <c r="BG60" s="5" t="inlineStr"/>
      <c r="BH60" s="5" t="inlineStr">
        <is>
          <t>No</t>
        </is>
      </c>
      <c r="BI60" s="5" t="inlineStr">
        <is>
          <t>2026-09-16</t>
        </is>
      </c>
      <c r="BJ60" s="5" t="inlineStr">
        <is>
          <t>New</t>
        </is>
      </c>
      <c r="BK60" s="5" t="inlineStr">
        <is>
          <t>2026-09-16</t>
        </is>
      </c>
      <c r="BL60" s="5" t="inlineStr"/>
      <c r="BM60" s="5" t="inlineStr"/>
      <c r="BN60" s="5" t="inlineStr"/>
      <c r="BO60" s="5" t="inlineStr"/>
      <c r="BP60" s="5" t="inlineStr"/>
      <c r="BQ60" s="5" t="inlineStr"/>
    </row>
    <row r="61">
      <c r="A61" s="10" t="inlineStr">
        <is>
          <t>WY-0060</t>
        </is>
      </c>
      <c r="B61" s="10" t="inlineStr">
        <is>
          <t>WY-0060-01</t>
        </is>
      </c>
      <c r="C61" s="10" t="inlineStr"/>
      <c r="D61" s="10" t="inlineStr">
        <is>
          <t>Batley Bargain Centre</t>
        </is>
      </c>
      <c r="E61" s="10" t="inlineStr">
        <is>
          <t>Batley Bargain Centre</t>
        </is>
      </c>
      <c r="F61" s="10" t="inlineStr"/>
      <c r="G61" s="10" t="inlineStr">
        <is>
          <t>Other Relevant Retail</t>
        </is>
      </c>
      <c r="H61" s="10" t="inlineStr">
        <is>
          <t>Mobile phone and gadget store also selling vapes</t>
        </is>
      </c>
      <c r="I61" s="10" t="inlineStr">
        <is>
          <t>Independent</t>
        </is>
      </c>
      <c r="J61" s="10" t="inlineStr">
        <is>
          <t>1</t>
        </is>
      </c>
      <c r="K61" s="10" t="inlineStr">
        <is>
          <t>https://www.batleybargaincentre.com/</t>
        </is>
      </c>
      <c r="L61" s="10" t="inlineStr">
        <is>
          <t>https://www.facebook.com/p/Batley-bargain-centre-100089268260696/</t>
        </is>
      </c>
      <c r="M61" s="10" t="inlineStr">
        <is>
          <t>https://www.instagram.com/batleybargainscentre/</t>
        </is>
      </c>
      <c r="N61" s="10" t="inlineStr"/>
      <c r="O61" s="10" t="inlineStr"/>
      <c r="P61" s="10" t="inlineStr"/>
      <c r="Q61" s="10" t="inlineStr">
        <is>
          <t>Batley</t>
        </is>
      </c>
      <c r="R61" s="10" t="inlineStr">
        <is>
          <t>West Yorkshire</t>
        </is>
      </c>
      <c r="S61" s="10" t="inlineStr">
        <is>
          <t>WF17 5DA</t>
        </is>
      </c>
      <c r="T61" s="10" t="inlineStr">
        <is>
          <t>Yorkshire &amp; Humber</t>
        </is>
      </c>
      <c r="U61" s="10" t="inlineStr">
        <is>
          <t>England</t>
        </is>
      </c>
      <c r="V61" s="10" t="inlineStr">
        <is>
          <t>01924 475600</t>
        </is>
      </c>
      <c r="W61" s="10" t="inlineStr"/>
      <c r="X61" s="10" t="inlineStr"/>
      <c r="Y61" s="10" t="inlineStr">
        <is>
          <t>javorange@yahoo.co.uk</t>
        </is>
      </c>
      <c r="Z61" s="10" t="inlineStr"/>
      <c r="AA61" s="10" t="inlineStr"/>
      <c r="AB61" s="10" t="inlineStr"/>
      <c r="AC61" s="10" t="inlineStr"/>
      <c r="AD61" s="10" t="inlineStr"/>
      <c r="AE61" s="10" t="inlineStr"/>
      <c r="AF61" s="10" t="inlineStr"/>
      <c r="AG61" s="10" t="inlineStr"/>
      <c r="AH61" s="10" t="inlineStr"/>
      <c r="AI61" s="10" t="inlineStr"/>
      <c r="AJ61" s="10" t="inlineStr"/>
      <c r="AK61" s="10" t="inlineStr">
        <is>
          <t>vape products; mobile phones; gadgets</t>
        </is>
      </c>
      <c r="AL61" s="10" t="inlineStr"/>
      <c r="AM61" s="10" t="inlineStr">
        <is>
          <t>Other Relevant Retail</t>
        </is>
      </c>
      <c r="AN61" s="10" t="inlineStr"/>
      <c r="AO61" s="10" t="inlineStr">
        <is>
          <t>Own website describes it as a phone and gadget store with a vape shop offer; site fetch blocked by proxy so address/phone not captured.</t>
        </is>
      </c>
      <c r="AP61" s="10" t="inlineStr">
        <is>
          <t>Medium</t>
        </is>
      </c>
      <c r="AQ61" s="10" t="inlineStr">
        <is>
          <t>Independent retailer; Public email available; Active website; Social presence</t>
        </is>
      </c>
      <c r="AR61" s="10" t="inlineStr">
        <is>
          <t>https://www.batleybargaincentre.com/</t>
        </is>
      </c>
      <c r="AS61" s="10" t="inlineStr">
        <is>
          <t>https://www.misterwhat.co.uk/company/550608-batley-bargain-centre-batley</t>
        </is>
      </c>
      <c r="AT61" s="10" t="inlineStr">
        <is>
          <t>2</t>
        </is>
      </c>
      <c r="AU61" s="10" t="inlineStr">
        <is>
          <t>No</t>
        </is>
      </c>
      <c r="AV61" s="10" t="inlineStr">
        <is>
          <t>No</t>
        </is>
      </c>
      <c r="AW61" s="10" t="inlineStr">
        <is>
          <t>Yes</t>
        </is>
      </c>
      <c r="AX61" s="10" t="inlineStr">
        <is>
          <t>No</t>
        </is>
      </c>
      <c r="AY61" s="10" t="inlineStr">
        <is>
          <t>Verified directory</t>
        </is>
      </c>
      <c r="AZ61" s="10" t="inlineStr">
        <is>
          <t>Website Found</t>
        </is>
      </c>
      <c r="BA61" s="10" t="inlineStr">
        <is>
          <t>2026-09-16</t>
        </is>
      </c>
      <c r="BB61" s="10" t="inlineStr">
        <is>
          <t>Partially Verified</t>
        </is>
      </c>
      <c r="BC61" s="10" t="inlineStr">
        <is>
          <t>Medium</t>
        </is>
      </c>
      <c r="BD61" s="10" t="inlineStr"/>
      <c r="BE61" s="10" t="inlineStr">
        <is>
          <t>Business (B2B)</t>
        </is>
      </c>
      <c r="BF61" s="10" t="inlineStr">
        <is>
          <t>Legitimate interest (B2B) - assess per campaign; PECR: corporate subscribers</t>
        </is>
      </c>
      <c r="BG61" s="10" t="inlineStr"/>
      <c r="BH61" s="10" t="inlineStr">
        <is>
          <t>No</t>
        </is>
      </c>
      <c r="BI61" s="10" t="inlineStr">
        <is>
          <t>2026-09-16</t>
        </is>
      </c>
      <c r="BJ61" s="10" t="inlineStr">
        <is>
          <t>New</t>
        </is>
      </c>
      <c r="BK61" s="10" t="inlineStr">
        <is>
          <t>2026-09-16</t>
        </is>
      </c>
      <c r="BL61" s="10" t="inlineStr"/>
      <c r="BM61" s="10" t="inlineStr"/>
      <c r="BN61" s="10" t="inlineStr"/>
      <c r="BO61" s="10" t="inlineStr"/>
      <c r="BP61" s="10" t="inlineStr"/>
      <c r="BQ61" s="10" t="inlineStr"/>
    </row>
    <row r="62">
      <c r="A62" s="5" t="inlineStr">
        <is>
          <t>WY-0061</t>
        </is>
      </c>
      <c r="B62" s="5" t="inlineStr">
        <is>
          <t>WY-0061-01</t>
        </is>
      </c>
      <c r="C62" s="5" t="inlineStr"/>
      <c r="D62" s="5" t="inlineStr">
        <is>
          <t>Beer Ritz</t>
        </is>
      </c>
      <c r="E62" s="5" t="inlineStr">
        <is>
          <t>Beer Ritz</t>
        </is>
      </c>
      <c r="F62" s="5" t="inlineStr"/>
      <c r="G62" s="5" t="inlineStr">
        <is>
          <t>Off-Licence</t>
        </is>
      </c>
      <c r="H62" s="5" t="inlineStr">
        <is>
          <t>Specialist craft beer off-licence</t>
        </is>
      </c>
      <c r="I62" s="5" t="inlineStr">
        <is>
          <t>Independent</t>
        </is>
      </c>
      <c r="J62" s="5" t="inlineStr">
        <is>
          <t>1</t>
        </is>
      </c>
      <c r="K62" s="5" t="inlineStr">
        <is>
          <t>https://www.beerritz.co.uk/</t>
        </is>
      </c>
      <c r="L62" s="5" t="inlineStr">
        <is>
          <t>https://www.facebook.com/beerritz/</t>
        </is>
      </c>
      <c r="M62" s="5" t="inlineStr">
        <is>
          <t>https://www.instagram.com/beerritzleeds/</t>
        </is>
      </c>
      <c r="N62" s="5" t="inlineStr">
        <is>
          <t>https://x.com/beerritzleeds</t>
        </is>
      </c>
      <c r="O62" s="5" t="inlineStr">
        <is>
          <t>14 Weetwood Lane</t>
        </is>
      </c>
      <c r="P62" s="5" t="inlineStr">
        <is>
          <t>Far Headingley</t>
        </is>
      </c>
      <c r="Q62" s="5" t="inlineStr">
        <is>
          <t>Leeds</t>
        </is>
      </c>
      <c r="R62" s="5" t="inlineStr">
        <is>
          <t>West Yorkshire</t>
        </is>
      </c>
      <c r="S62" s="5" t="inlineStr">
        <is>
          <t>LS16 5LX</t>
        </is>
      </c>
      <c r="T62" s="5" t="inlineStr">
        <is>
          <t>Yorkshire &amp; Humber</t>
        </is>
      </c>
      <c r="U62" s="5" t="inlineStr">
        <is>
          <t>England</t>
        </is>
      </c>
      <c r="V62" s="5" t="inlineStr">
        <is>
          <t>0113 275 3464</t>
        </is>
      </c>
      <c r="W62" s="5" t="inlineStr"/>
      <c r="X62" s="5" t="inlineStr"/>
      <c r="Y62" s="5" t="inlineStr"/>
      <c r="Z62" s="5" t="inlineStr">
        <is>
          <t>sales@beerritz.co.uk</t>
        </is>
      </c>
      <c r="AA62" s="5" t="inlineStr"/>
      <c r="AB62" s="5" t="inlineStr"/>
      <c r="AC62" s="5" t="inlineStr"/>
      <c r="AD62" s="5" t="inlineStr"/>
      <c r="AE62" s="5" t="inlineStr"/>
      <c r="AF62" s="5" t="inlineStr"/>
      <c r="AG62" s="5" t="inlineStr"/>
      <c r="AH62" s="5" t="inlineStr"/>
      <c r="AI62" s="5" t="inlineStr"/>
      <c r="AJ62" s="5" t="inlineStr"/>
      <c r="AK62" s="5" t="inlineStr">
        <is>
          <t>craft beer; bottled beer; wine; spirits</t>
        </is>
      </c>
      <c r="AL62" s="5" t="inlineStr"/>
      <c r="AM62" s="5" t="inlineStr">
        <is>
          <t>Off-Licence</t>
        </is>
      </c>
      <c r="AN62" s="5" t="inlineStr"/>
      <c r="AO62" s="5" t="inlineStr">
        <is>
          <t>Well-known specialist beer shop in Far Headingley with online store; open 12:00-21:00 daily.</t>
        </is>
      </c>
      <c r="AP62" s="5" t="inlineStr">
        <is>
          <t>High</t>
        </is>
      </c>
      <c r="AQ62" s="5" t="inlineStr">
        <is>
          <t>Independent retailer; Relevant category; Public trade/sales contact; Active website; Social presence</t>
        </is>
      </c>
      <c r="AR62" s="5" t="inlineStr">
        <is>
          <t>https://www.beerritz.co.uk/contact-us</t>
        </is>
      </c>
      <c r="AS62" s="5" t="inlineStr">
        <is>
          <t>https://www.yelp.co.uk/biz/beer-ritz-leeds</t>
        </is>
      </c>
      <c r="AT62" s="5" t="inlineStr">
        <is>
          <t>3</t>
        </is>
      </c>
      <c r="AU62" s="5" t="inlineStr">
        <is>
          <t>No</t>
        </is>
      </c>
      <c r="AV62" s="5" t="inlineStr">
        <is>
          <t>No</t>
        </is>
      </c>
      <c r="AW62" s="5" t="inlineStr">
        <is>
          <t>Yes</t>
        </is>
      </c>
      <c r="AX62" s="5" t="inlineStr">
        <is>
          <t>No</t>
        </is>
      </c>
      <c r="AY62" s="5" t="inlineStr">
        <is>
          <t>Verified directory</t>
        </is>
      </c>
      <c r="AZ62" s="5" t="inlineStr">
        <is>
          <t>Website Found</t>
        </is>
      </c>
      <c r="BA62" s="5" t="inlineStr">
        <is>
          <t>2026-09-16</t>
        </is>
      </c>
      <c r="BB62" s="5" t="inlineStr">
        <is>
          <t>Partially Verified</t>
        </is>
      </c>
      <c r="BC62" s="5" t="inlineStr">
        <is>
          <t>Medium</t>
        </is>
      </c>
      <c r="BD62" s="5" t="inlineStr"/>
      <c r="BE62" s="5" t="inlineStr">
        <is>
          <t>Business (B2B)</t>
        </is>
      </c>
      <c r="BF62" s="5" t="inlineStr">
        <is>
          <t>Legitimate interest (B2B) - assess per campaign; PECR: corporate subscribers</t>
        </is>
      </c>
      <c r="BG62" s="5" t="inlineStr"/>
      <c r="BH62" s="5" t="inlineStr">
        <is>
          <t>No</t>
        </is>
      </c>
      <c r="BI62" s="5" t="inlineStr">
        <is>
          <t>2026-09-16</t>
        </is>
      </c>
      <c r="BJ62" s="5" t="inlineStr">
        <is>
          <t>New</t>
        </is>
      </c>
      <c r="BK62" s="5" t="inlineStr">
        <is>
          <t>2026-09-16</t>
        </is>
      </c>
      <c r="BL62" s="5" t="inlineStr"/>
      <c r="BM62" s="5" t="inlineStr"/>
      <c r="BN62" s="5" t="inlineStr"/>
      <c r="BO62" s="5" t="inlineStr"/>
      <c r="BP62" s="5" t="inlineStr"/>
      <c r="BQ62" s="5" t="inlineStr"/>
    </row>
    <row r="63">
      <c r="A63" s="10" t="inlineStr">
        <is>
          <t>WY-0062</t>
        </is>
      </c>
      <c r="B63" s="10" t="inlineStr">
        <is>
          <t>WY-0062-01</t>
        </is>
      </c>
      <c r="C63" s="10" t="inlineStr"/>
      <c r="D63" s="10" t="inlineStr">
        <is>
          <t>Bespoke Shisha</t>
        </is>
      </c>
      <c r="E63" s="10" t="inlineStr">
        <is>
          <t>Bespoke Shisha</t>
        </is>
      </c>
      <c r="F63" s="10" t="inlineStr"/>
      <c r="G63" s="10" t="inlineStr">
        <is>
          <t>Smoke / Shisha Shop</t>
        </is>
      </c>
      <c r="H63" s="10" t="inlineStr">
        <is>
          <t>Shisha supplies</t>
        </is>
      </c>
      <c r="I63" s="10" t="inlineStr">
        <is>
          <t>Independent</t>
        </is>
      </c>
      <c r="J63" s="10" t="inlineStr">
        <is>
          <t>1</t>
        </is>
      </c>
      <c r="K63" s="10" t="inlineStr"/>
      <c r="L63" s="10" t="inlineStr"/>
      <c r="M63" s="10" t="inlineStr"/>
      <c r="N63" s="10" t="inlineStr"/>
      <c r="O63" s="10" t="inlineStr">
        <is>
          <t>40 Low Road</t>
        </is>
      </c>
      <c r="P63" s="10" t="inlineStr"/>
      <c r="Q63" s="10" t="inlineStr">
        <is>
          <t>Dewsbury</t>
        </is>
      </c>
      <c r="R63" s="10" t="inlineStr">
        <is>
          <t>West Yorkshire</t>
        </is>
      </c>
      <c r="S63" s="10" t="inlineStr">
        <is>
          <t>WF13 3PP</t>
        </is>
      </c>
      <c r="T63" s="10" t="inlineStr">
        <is>
          <t>Yorkshire &amp; Humber</t>
        </is>
      </c>
      <c r="U63" s="10" t="inlineStr">
        <is>
          <t>England</t>
        </is>
      </c>
      <c r="V63" s="10" t="inlineStr"/>
      <c r="W63" s="10" t="inlineStr"/>
      <c r="X63" s="10" t="inlineStr"/>
      <c r="Y63" s="10" t="inlineStr"/>
      <c r="Z63" s="10" t="inlineStr"/>
      <c r="AA63" s="10" t="inlineStr"/>
      <c r="AB63" s="10" t="inlineStr"/>
      <c r="AC63" s="10" t="inlineStr"/>
      <c r="AD63" s="10" t="inlineStr"/>
      <c r="AE63" s="10" t="inlineStr"/>
      <c r="AF63" s="10" t="inlineStr"/>
      <c r="AG63" s="10" t="inlineStr"/>
      <c r="AH63" s="10" t="inlineStr"/>
      <c r="AI63" s="10" t="inlineStr"/>
      <c r="AJ63" s="10" t="inlineStr"/>
      <c r="AK63" s="10" t="inlineStr">
        <is>
          <t>shisha pipes; shisha flavours; smoking accessories</t>
        </is>
      </c>
      <c r="AL63" s="10" t="inlineStr"/>
      <c r="AM63" s="10" t="inlineStr">
        <is>
          <t>Smoke / Shisha Shop</t>
        </is>
      </c>
      <c r="AN63" s="10" t="inlineStr"/>
      <c r="AO63" s="10" t="inlineStr">
        <is>
          <t>Single directory listing (Suitable For Vegetarian business directory) giving full address; no phone or website found.</t>
        </is>
      </c>
      <c r="AP63" s="10" t="inlineStr">
        <is>
          <t>Medium</t>
        </is>
      </c>
      <c r="AQ63" s="10" t="inlineStr">
        <is>
          <t>Independent retailer; Core relevant category</t>
        </is>
      </c>
      <c r="AR63" s="10" t="inlineStr">
        <is>
          <t>https://suitableforvegetarian.com/business/detail/bespoke-shisha</t>
        </is>
      </c>
      <c r="AS63" s="10" t="inlineStr"/>
      <c r="AT63" s="10" t="inlineStr">
        <is>
          <t>1</t>
        </is>
      </c>
      <c r="AU63" s="10" t="inlineStr">
        <is>
          <t>No</t>
        </is>
      </c>
      <c r="AV63" s="10" t="inlineStr">
        <is>
          <t>No</t>
        </is>
      </c>
      <c r="AW63" s="10" t="inlineStr">
        <is>
          <t>No</t>
        </is>
      </c>
      <c r="AX63" s="10" t="inlineStr">
        <is>
          <t>No</t>
        </is>
      </c>
      <c r="AY63" s="10" t="inlineStr">
        <is>
          <t>Not Found</t>
        </is>
      </c>
      <c r="AZ63" s="10" t="inlineStr">
        <is>
          <t>Not Found</t>
        </is>
      </c>
      <c r="BA63" s="10" t="inlineStr">
        <is>
          <t>2026-09-16</t>
        </is>
      </c>
      <c r="BB63" s="10" t="inlineStr">
        <is>
          <t>Requires Verification</t>
        </is>
      </c>
      <c r="BC63" s="10" t="inlineStr">
        <is>
          <t>Low</t>
        </is>
      </c>
      <c r="BD63" s="10" t="inlineStr"/>
      <c r="BE63" s="10" t="inlineStr">
        <is>
          <t>Business (B2B)</t>
        </is>
      </c>
      <c r="BF63" s="10" t="inlineStr">
        <is>
          <t>Legitimate interest (B2B) - assess per campaign; PECR: corporate subscribers</t>
        </is>
      </c>
      <c r="BG63" s="10" t="inlineStr"/>
      <c r="BH63" s="10" t="inlineStr">
        <is>
          <t>No</t>
        </is>
      </c>
      <c r="BI63" s="10" t="inlineStr">
        <is>
          <t>2026-09-16</t>
        </is>
      </c>
      <c r="BJ63" s="10" t="inlineStr">
        <is>
          <t>New</t>
        </is>
      </c>
      <c r="BK63" s="10" t="inlineStr">
        <is>
          <t>2026-09-16</t>
        </is>
      </c>
      <c r="BL63" s="10" t="inlineStr"/>
      <c r="BM63" s="10" t="inlineStr"/>
      <c r="BN63" s="10" t="inlineStr"/>
      <c r="BO63" s="10" t="inlineStr"/>
      <c r="BP63" s="10" t="inlineStr"/>
      <c r="BQ63" s="10" t="inlineStr"/>
    </row>
    <row r="64">
      <c r="A64" s="5" t="inlineStr">
        <is>
          <t>WY-0063</t>
        </is>
      </c>
      <c r="B64" s="5" t="inlineStr">
        <is>
          <t>WY-0063-01</t>
        </is>
      </c>
      <c r="C64" s="5" t="inlineStr"/>
      <c r="D64" s="5" t="inlineStr">
        <is>
          <t>Best Choice Wholesale</t>
        </is>
      </c>
      <c r="E64" s="5" t="inlineStr">
        <is>
          <t>Best Choice Wholesale</t>
        </is>
      </c>
      <c r="F64" s="5" t="inlineStr"/>
      <c r="G64" s="5" t="inlineStr">
        <is>
          <t>Cash &amp; Carry</t>
        </is>
      </c>
      <c r="H64" s="5" t="inlineStr">
        <is>
          <t>General cash &amp; carry supplying convenience retailers</t>
        </is>
      </c>
      <c r="I64" s="5" t="inlineStr">
        <is>
          <t>Independent</t>
        </is>
      </c>
      <c r="J64" s="5" t="inlineStr">
        <is>
          <t>1</t>
        </is>
      </c>
      <c r="K64" s="5" t="inlineStr">
        <is>
          <t>https://www.bestchoicewholesale.co.uk/</t>
        </is>
      </c>
      <c r="L64" s="5" t="inlineStr"/>
      <c r="M64" s="5" t="inlineStr"/>
      <c r="N64" s="5" t="inlineStr"/>
      <c r="O64" s="5" t="inlineStr">
        <is>
          <t>Unit 5, Sheepscar House, Sheepscar Street South</t>
        </is>
      </c>
      <c r="P64" s="5" t="inlineStr">
        <is>
          <t>Sheepscar</t>
        </is>
      </c>
      <c r="Q64" s="5" t="inlineStr">
        <is>
          <t>Leeds</t>
        </is>
      </c>
      <c r="R64" s="5" t="inlineStr">
        <is>
          <t>West Yorkshire</t>
        </is>
      </c>
      <c r="S64" s="5" t="inlineStr">
        <is>
          <t>LS7 1AD</t>
        </is>
      </c>
      <c r="T64" s="5" t="inlineStr">
        <is>
          <t>Yorkshire &amp; Humber</t>
        </is>
      </c>
      <c r="U64" s="5" t="inlineStr">
        <is>
          <t>England</t>
        </is>
      </c>
      <c r="V64" s="5" t="inlineStr">
        <is>
          <t>0113 531 6345</t>
        </is>
      </c>
      <c r="W64" s="5" t="inlineStr"/>
      <c r="X64" s="5" t="inlineStr"/>
      <c r="Y64" s="5" t="inlineStr">
        <is>
          <t>info@bestchoicewholesale.co.uk</t>
        </is>
      </c>
      <c r="Z64" s="5" t="inlineStr"/>
      <c r="AA64" s="5" t="inlineStr"/>
      <c r="AB64" s="5" t="inlineStr"/>
      <c r="AC64" s="5" t="inlineStr"/>
      <c r="AD64" s="5" t="inlineStr"/>
      <c r="AE64" s="5" t="inlineStr"/>
      <c r="AF64" s="5" t="inlineStr"/>
      <c r="AG64" s="5" t="inlineStr"/>
      <c r="AH64" s="5" t="inlineStr"/>
      <c r="AI64" s="5" t="inlineStr"/>
      <c r="AJ64" s="5" t="inlineStr"/>
      <c r="AK64" s="5" t="inlineStr">
        <is>
          <t>food and drink; smoking accessories; vapes; household; cleaning; sweets; shop supplies</t>
        </is>
      </c>
      <c r="AL64" s="5" t="inlineStr"/>
      <c r="AM64" s="5" t="inlineStr">
        <is>
          <t>Cash &amp; Carry</t>
        </is>
      </c>
      <c r="AN64" s="5" t="inlineStr"/>
      <c r="AO64" s="5" t="inlineStr">
        <is>
          <t>Supplies convenience retailers, corner shops, off-licences, pharmacies and market traders. Contact details as published on their own contact-us page (surfaced via search results; direct fetch blocked by proxy). Strong wholesale prospect - stocks vapes and smoking accessories.</t>
        </is>
      </c>
      <c r="AP64" s="5" t="inlineStr">
        <is>
          <t>High</t>
        </is>
      </c>
      <c r="AQ64" s="5" t="inlineStr">
        <is>
          <t>Independent retailer; Core relevant category; Public email available; Active website; Phone verified on official website</t>
        </is>
      </c>
      <c r="AR64" s="5" t="inlineStr">
        <is>
          <t>https://www.bestchoicewholesale.co.uk/contact-us/</t>
        </is>
      </c>
      <c r="AS64" s="5" t="inlineStr">
        <is>
          <t>https://www.yell.com/biz/best-choice-wholesale-leeds-9089835/</t>
        </is>
      </c>
      <c r="AT64" s="5" t="inlineStr">
        <is>
          <t>3</t>
        </is>
      </c>
      <c r="AU64" s="5" t="inlineStr">
        <is>
          <t>No</t>
        </is>
      </c>
      <c r="AV64" s="5" t="inlineStr">
        <is>
          <t>No</t>
        </is>
      </c>
      <c r="AW64" s="5" t="inlineStr">
        <is>
          <t>No</t>
        </is>
      </c>
      <c r="AX64" s="5" t="inlineStr">
        <is>
          <t>No</t>
        </is>
      </c>
      <c r="AY64" s="5" t="inlineStr">
        <is>
          <t>Verified on official website</t>
        </is>
      </c>
      <c r="AZ64" s="5" t="inlineStr">
        <is>
          <t>Publicly Listed</t>
        </is>
      </c>
      <c r="BA64" s="5" t="inlineStr">
        <is>
          <t>2026-09-16</t>
        </is>
      </c>
      <c r="BB64" s="5" t="inlineStr">
        <is>
          <t>Requires Verification</t>
        </is>
      </c>
      <c r="BC64" s="5" t="inlineStr">
        <is>
          <t>Medium</t>
        </is>
      </c>
      <c r="BD64" s="5" t="inlineStr"/>
      <c r="BE64" s="5" t="inlineStr">
        <is>
          <t>Business (B2B)</t>
        </is>
      </c>
      <c r="BF64" s="5" t="inlineStr">
        <is>
          <t>Legitimate interest (B2B) - assess per campaign; PECR: corporate subscribers</t>
        </is>
      </c>
      <c r="BG64" s="5" t="inlineStr"/>
      <c r="BH64" s="5" t="inlineStr">
        <is>
          <t>No</t>
        </is>
      </c>
      <c r="BI64" s="5" t="inlineStr">
        <is>
          <t>2026-09-16</t>
        </is>
      </c>
      <c r="BJ64" s="5" t="inlineStr">
        <is>
          <t>New</t>
        </is>
      </c>
      <c r="BK64" s="5" t="inlineStr">
        <is>
          <t>2026-09-16</t>
        </is>
      </c>
      <c r="BL64" s="5" t="inlineStr"/>
      <c r="BM64" s="5" t="inlineStr"/>
      <c r="BN64" s="5" t="inlineStr"/>
      <c r="BO64" s="5" t="inlineStr"/>
      <c r="BP64" s="5" t="inlineStr"/>
      <c r="BQ64" s="5" t="inlineStr"/>
    </row>
    <row r="65">
      <c r="A65" s="10" t="inlineStr">
        <is>
          <t>WY-0064</t>
        </is>
      </c>
      <c r="B65" s="10" t="inlineStr">
        <is>
          <t>WY-0064-01</t>
        </is>
      </c>
      <c r="C65" s="10" t="inlineStr"/>
      <c r="D65" s="10" t="inlineStr">
        <is>
          <t>Big D Vapes</t>
        </is>
      </c>
      <c r="E65" s="10" t="inlineStr">
        <is>
          <t>Big D Vapes &amp; Dry Herb Vape Lounge</t>
        </is>
      </c>
      <c r="F65" s="10" t="inlineStr">
        <is>
          <t>Big D Vapes Ltd</t>
        </is>
      </c>
      <c r="G65" s="10" t="inlineStr">
        <is>
          <t>Vape Shop</t>
        </is>
      </c>
      <c r="H65" s="10" t="inlineStr">
        <is>
          <t>Vape shop and dry herb vape lounge</t>
        </is>
      </c>
      <c r="I65" s="10" t="inlineStr">
        <is>
          <t>Independent</t>
        </is>
      </c>
      <c r="J65" s="10" t="inlineStr">
        <is>
          <t>1</t>
        </is>
      </c>
      <c r="K65" s="10" t="inlineStr"/>
      <c r="L65" s="10" t="inlineStr">
        <is>
          <t>https://www.facebook.com/BigDVapesSlaithwaite</t>
        </is>
      </c>
      <c r="M65" s="10" t="inlineStr"/>
      <c r="N65" s="10" t="inlineStr"/>
      <c r="O65" s="10" t="inlineStr">
        <is>
          <t>1139 Manchester Road</t>
        </is>
      </c>
      <c r="P65" s="10" t="inlineStr"/>
      <c r="Q65" s="10" t="inlineStr">
        <is>
          <t>Slaithwaite</t>
        </is>
      </c>
      <c r="R65" s="10" t="inlineStr">
        <is>
          <t>West Yorkshire</t>
        </is>
      </c>
      <c r="S65" s="10" t="inlineStr">
        <is>
          <t>HD7 5LU</t>
        </is>
      </c>
      <c r="T65" s="10" t="inlineStr">
        <is>
          <t>Yorkshire &amp; Humber</t>
        </is>
      </c>
      <c r="U65" s="10" t="inlineStr">
        <is>
          <t>England</t>
        </is>
      </c>
      <c r="V65" s="10" t="inlineStr">
        <is>
          <t>01484 843253</t>
        </is>
      </c>
      <c r="W65" s="10" t="inlineStr"/>
      <c r="X65" s="10" t="inlineStr"/>
      <c r="Y65" s="10" t="inlineStr"/>
      <c r="Z65" s="10" t="inlineStr"/>
      <c r="AA65" s="10" t="inlineStr"/>
      <c r="AB65" s="10" t="inlineStr"/>
      <c r="AC65" s="10" t="inlineStr"/>
      <c r="AD65" s="10" t="inlineStr"/>
      <c r="AE65" s="10" t="inlineStr">
        <is>
          <t>12029439</t>
        </is>
      </c>
      <c r="AF65" s="10" t="inlineStr"/>
      <c r="AG65" s="10" t="inlineStr">
        <is>
          <t>BIG D VAPES LTD</t>
        </is>
      </c>
      <c r="AH65" s="10" t="inlineStr"/>
      <c r="AI65" s="10" t="inlineStr"/>
      <c r="AJ65" s="10" t="inlineStr"/>
      <c r="AK65" s="10" t="inlineStr">
        <is>
          <t>vape hardware; e-liquids; dry herb vaporisers</t>
        </is>
      </c>
      <c r="AL65" s="10" t="inlineStr"/>
      <c r="AM65" s="10" t="inlineStr">
        <is>
          <t>Vape Shop</t>
        </is>
      </c>
      <c r="AN65" s="10" t="inlineStr"/>
      <c r="AO65" s="10" t="inlineStr">
        <is>
          <t>Serves Colne Valley villages (Slaithwaite, Marsden, Linthwaite, Meltham) per its Facebook posts. A Tripadvisor listing also shows a Big D Vapes in Holmfirth; not separately confirmed so only the Slaithwaite site is recorded. Companies House match BIG D VAPES LTD 12029439 seen in search results.</t>
        </is>
      </c>
      <c r="AP65" s="10" t="inlineStr">
        <is>
          <t>Medium</t>
        </is>
      </c>
      <c r="AQ65" s="10" t="inlineStr">
        <is>
          <t>Independent retailer; Core relevant category; Social presence</t>
        </is>
      </c>
      <c r="AR65" s="10" t="inlineStr">
        <is>
          <t>https://find-and-update.company-information.service.gov.uk/company/12029439</t>
        </is>
      </c>
      <c r="AS65" s="10" t="inlineStr">
        <is>
          <t>https://www.facebook.com/BigDVapesSlaithwaite</t>
        </is>
      </c>
      <c r="AT65" s="10" t="inlineStr">
        <is>
          <t>4</t>
        </is>
      </c>
      <c r="AU65" s="10" t="inlineStr">
        <is>
          <t>No</t>
        </is>
      </c>
      <c r="AV65" s="10" t="inlineStr">
        <is>
          <t>No</t>
        </is>
      </c>
      <c r="AW65" s="10" t="inlineStr">
        <is>
          <t>No</t>
        </is>
      </c>
      <c r="AX65" s="10" t="inlineStr">
        <is>
          <t>No</t>
        </is>
      </c>
      <c r="AY65" s="10" t="inlineStr">
        <is>
          <t>Verified directory</t>
        </is>
      </c>
      <c r="AZ65" s="10" t="inlineStr">
        <is>
          <t>Not Found</t>
        </is>
      </c>
      <c r="BA65" s="10" t="inlineStr">
        <is>
          <t>2026-09-16</t>
        </is>
      </c>
      <c r="BB65" s="10" t="inlineStr">
        <is>
          <t>Requires Verification</t>
        </is>
      </c>
      <c r="BC65" s="10" t="inlineStr">
        <is>
          <t>Medium</t>
        </is>
      </c>
      <c r="BD65" s="10" t="inlineStr"/>
      <c r="BE65" s="10" t="inlineStr">
        <is>
          <t>Business (B2B)</t>
        </is>
      </c>
      <c r="BF65" s="10" t="inlineStr">
        <is>
          <t>Legitimate interest (B2B) - assess per campaign; PECR: corporate subscribers</t>
        </is>
      </c>
      <c r="BG65" s="10" t="inlineStr"/>
      <c r="BH65" s="10" t="inlineStr">
        <is>
          <t>No</t>
        </is>
      </c>
      <c r="BI65" s="10" t="inlineStr">
        <is>
          <t>2026-09-16</t>
        </is>
      </c>
      <c r="BJ65" s="10" t="inlineStr">
        <is>
          <t>New</t>
        </is>
      </c>
      <c r="BK65" s="10" t="inlineStr">
        <is>
          <t>2026-09-16</t>
        </is>
      </c>
      <c r="BL65" s="10" t="inlineStr"/>
      <c r="BM65" s="10" t="inlineStr"/>
      <c r="BN65" s="10" t="inlineStr"/>
      <c r="BO65" s="10" t="inlineStr"/>
      <c r="BP65" s="10" t="inlineStr"/>
      <c r="BQ65" s="10" t="inlineStr"/>
    </row>
    <row r="66">
      <c r="A66" s="5" t="inlineStr">
        <is>
          <t>WY-0065</t>
        </is>
      </c>
      <c r="B66" s="5" t="inlineStr">
        <is>
          <t>WY-0065-01</t>
        </is>
      </c>
      <c r="C66" s="5" t="inlineStr"/>
      <c r="D66" s="5" t="inlineStr">
        <is>
          <t>Bingley Vape Shop</t>
        </is>
      </c>
      <c r="E66" s="5" t="inlineStr">
        <is>
          <t>Bingley Vape Shop</t>
        </is>
      </c>
      <c r="F66" s="5" t="inlineStr">
        <is>
          <t>Bingley Vape Shop Ltd</t>
        </is>
      </c>
      <c r="G66" s="5" t="inlineStr">
        <is>
          <t>Vape Shop</t>
        </is>
      </c>
      <c r="H66" s="5" t="inlineStr">
        <is>
          <t>Vape shop, e-cigs, smoking accessories, phone cases</t>
        </is>
      </c>
      <c r="I66" s="5" t="inlineStr">
        <is>
          <t>Independent</t>
        </is>
      </c>
      <c r="J66" s="5" t="inlineStr">
        <is>
          <t>1</t>
        </is>
      </c>
      <c r="K66" s="5" t="inlineStr"/>
      <c r="L66" s="5" t="inlineStr">
        <is>
          <t>https://www.facebook.com/BingleyVapeShop/</t>
        </is>
      </c>
      <c r="M66" s="5" t="inlineStr"/>
      <c r="N66" s="5" t="inlineStr"/>
      <c r="O66" s="5" t="inlineStr">
        <is>
          <t>67-69 Main Street</t>
        </is>
      </c>
      <c r="P66" s="5" t="inlineStr"/>
      <c r="Q66" s="5" t="inlineStr">
        <is>
          <t>Bingley</t>
        </is>
      </c>
      <c r="R66" s="5" t="inlineStr">
        <is>
          <t>West Yorkshire</t>
        </is>
      </c>
      <c r="S66" s="5" t="inlineStr">
        <is>
          <t>BD16 2JA</t>
        </is>
      </c>
      <c r="T66" s="5" t="inlineStr">
        <is>
          <t>Yorkshire &amp; Humber</t>
        </is>
      </c>
      <c r="U66" s="5" t="inlineStr">
        <is>
          <t>England</t>
        </is>
      </c>
      <c r="V66" s="5" t="inlineStr">
        <is>
          <t>01535 213290</t>
        </is>
      </c>
      <c r="W66" s="5" t="inlineStr"/>
      <c r="X66" s="5" t="inlineStr"/>
      <c r="Y66" s="5" t="inlineStr"/>
      <c r="Z66" s="5" t="inlineStr"/>
      <c r="AA66" s="5" t="inlineStr"/>
      <c r="AB66" s="5" t="inlineStr"/>
      <c r="AC66" s="5" t="inlineStr"/>
      <c r="AD66" s="5" t="inlineStr"/>
      <c r="AE66" s="5" t="inlineStr">
        <is>
          <t>11788618</t>
        </is>
      </c>
      <c r="AF66" s="5" t="inlineStr"/>
      <c r="AG66" s="5" t="inlineStr">
        <is>
          <t>BINGLEY VAPE SHOP LTD</t>
        </is>
      </c>
      <c r="AH66" s="5" t="inlineStr">
        <is>
          <t>67-69 Main Street, Bingley, West Yorkshire, BD16 2JA</t>
        </is>
      </c>
      <c r="AI66" s="5" t="inlineStr"/>
      <c r="AJ66" s="5" t="inlineStr"/>
      <c r="AK66" s="5" t="inlineStr">
        <is>
          <t>vape hardware; e-liquids; smoking accessories</t>
        </is>
      </c>
      <c r="AL66" s="5" t="inlineStr"/>
      <c r="AM66" s="5" t="inlineStr">
        <is>
          <t>Vape Shop</t>
        </is>
      </c>
      <c r="AN66" s="5" t="inlineStr"/>
      <c r="AO66" s="5" t="inlineStr">
        <is>
          <t>Registered office matches the shop address (per Companies House search snippet). Phone taken from search-result summary of its Facebook/directory listing - confirm before use.</t>
        </is>
      </c>
      <c r="AP66" s="5" t="inlineStr">
        <is>
          <t>Medium</t>
        </is>
      </c>
      <c r="AQ66" s="5" t="inlineStr">
        <is>
          <t>Independent retailer; Core relevant category; Social presence</t>
        </is>
      </c>
      <c r="AR66" s="5" t="inlineStr">
        <is>
          <t>https://find-and-update.company-information.service.gov.uk/company/11788618</t>
        </is>
      </c>
      <c r="AS66" s="5" t="inlineStr">
        <is>
          <t>https://www.facebook.com/BingleyVapeShop/</t>
        </is>
      </c>
      <c r="AT66" s="5" t="inlineStr">
        <is>
          <t>2</t>
        </is>
      </c>
      <c r="AU66" s="5" t="inlineStr">
        <is>
          <t>No</t>
        </is>
      </c>
      <c r="AV66" s="5" t="inlineStr">
        <is>
          <t>No</t>
        </is>
      </c>
      <c r="AW66" s="5" t="inlineStr">
        <is>
          <t>No</t>
        </is>
      </c>
      <c r="AX66" s="5" t="inlineStr">
        <is>
          <t>Yes</t>
        </is>
      </c>
      <c r="AY66" s="5" t="inlineStr">
        <is>
          <t>Unverified</t>
        </is>
      </c>
      <c r="AZ66" s="5" t="inlineStr">
        <is>
          <t>Not Found</t>
        </is>
      </c>
      <c r="BA66" s="5" t="inlineStr">
        <is>
          <t>2026-09-16</t>
        </is>
      </c>
      <c r="BB66" s="5" t="inlineStr">
        <is>
          <t>Partially Verified</t>
        </is>
      </c>
      <c r="BC66" s="5" t="inlineStr">
        <is>
          <t>Medium</t>
        </is>
      </c>
      <c r="BD66" s="5" t="inlineStr"/>
      <c r="BE66" s="5" t="inlineStr">
        <is>
          <t>Business (B2B)</t>
        </is>
      </c>
      <c r="BF66" s="5" t="inlineStr">
        <is>
          <t>Legitimate interest (B2B) - assess per campaign; PECR: corporate subscribers</t>
        </is>
      </c>
      <c r="BG66" s="5" t="inlineStr"/>
      <c r="BH66" s="5" t="inlineStr">
        <is>
          <t>No</t>
        </is>
      </c>
      <c r="BI66" s="5" t="inlineStr">
        <is>
          <t>2026-09-16</t>
        </is>
      </c>
      <c r="BJ66" s="5" t="inlineStr">
        <is>
          <t>New</t>
        </is>
      </c>
      <c r="BK66" s="5" t="inlineStr">
        <is>
          <t>2026-09-16</t>
        </is>
      </c>
      <c r="BL66" s="5" t="inlineStr"/>
      <c r="BM66" s="5" t="inlineStr"/>
      <c r="BN66" s="5" t="inlineStr"/>
      <c r="BO66" s="5" t="inlineStr"/>
      <c r="BP66" s="5" t="inlineStr"/>
      <c r="BQ66" s="5" t="inlineStr"/>
    </row>
    <row r="67">
      <c r="A67" s="10" t="inlineStr">
        <is>
          <t>WY-0066</t>
        </is>
      </c>
      <c r="B67" s="10" t="inlineStr">
        <is>
          <t>WY-0066-01</t>
        </is>
      </c>
      <c r="C67" s="10" t="inlineStr"/>
      <c r="D67" s="10" t="inlineStr">
        <is>
          <t>Boothtown Post Office &amp; Off-Licence</t>
        </is>
      </c>
      <c r="E67" s="10" t="inlineStr">
        <is>
          <t>Boothtown Post Office &amp; Off-Licence</t>
        </is>
      </c>
      <c r="F67" s="10" t="inlineStr"/>
      <c r="G67" s="10" t="inlineStr">
        <is>
          <t>Off-Licence</t>
        </is>
      </c>
      <c r="H67" s="10" t="inlineStr">
        <is>
          <t>Off-licence with post office counter</t>
        </is>
      </c>
      <c r="I67" s="10" t="inlineStr">
        <is>
          <t>Independent</t>
        </is>
      </c>
      <c r="J67" s="10" t="inlineStr">
        <is>
          <t>1</t>
        </is>
      </c>
      <c r="K67" s="10" t="inlineStr"/>
      <c r="L67" s="10" t="inlineStr"/>
      <c r="M67" s="10" t="inlineStr"/>
      <c r="N67" s="10" t="inlineStr"/>
      <c r="O67" s="10" t="inlineStr"/>
      <c r="P67" s="10" t="inlineStr">
        <is>
          <t>Boothtown</t>
        </is>
      </c>
      <c r="Q67" s="10" t="inlineStr">
        <is>
          <t>Halifax</t>
        </is>
      </c>
      <c r="R67" s="10" t="inlineStr">
        <is>
          <t>West Yorkshire</t>
        </is>
      </c>
      <c r="S67" s="10" t="inlineStr"/>
      <c r="T67" s="10" t="inlineStr">
        <is>
          <t>Yorkshire &amp; Humber</t>
        </is>
      </c>
      <c r="U67" s="10" t="inlineStr">
        <is>
          <t>England</t>
        </is>
      </c>
      <c r="V67" s="10" t="inlineStr"/>
      <c r="W67" s="10" t="inlineStr"/>
      <c r="X67" s="10" t="inlineStr"/>
      <c r="Y67" s="10" t="inlineStr"/>
      <c r="Z67" s="10" t="inlineStr"/>
      <c r="AA67" s="10" t="inlineStr"/>
      <c r="AB67" s="10" t="inlineStr"/>
      <c r="AC67" s="10" t="inlineStr"/>
      <c r="AD67" s="10" t="inlineStr"/>
      <c r="AE67" s="10" t="inlineStr"/>
      <c r="AF67" s="10" t="inlineStr"/>
      <c r="AG67" s="10" t="inlineStr"/>
      <c r="AH67" s="10" t="inlineStr"/>
      <c r="AI67" s="10" t="inlineStr"/>
      <c r="AJ67" s="10" t="inlineStr"/>
      <c r="AK67" s="10" t="inlineStr">
        <is>
          <t>beers, wines and spirits; post office services; convenience</t>
        </is>
      </c>
      <c r="AL67" s="10" t="inlineStr"/>
      <c r="AM67" s="10" t="inlineStr">
        <is>
          <t>Off-Licence</t>
        </is>
      </c>
      <c r="AN67" s="10" t="inlineStr"/>
      <c r="AO67" s="10" t="inlineStr">
        <is>
          <t>Found via Halifax Courier local directory search listing; street address and phone not captured before search budget was exhausted.</t>
        </is>
      </c>
      <c r="AP67" s="10" t="inlineStr">
        <is>
          <t>Low</t>
        </is>
      </c>
      <c r="AQ67" s="10" t="inlineStr">
        <is>
          <t>Independent retailer; Relevant category</t>
        </is>
      </c>
      <c r="AR67" s="10" t="inlineStr">
        <is>
          <t>https://findit.halifaxcourier.co.uk/search/halifax/off-licence</t>
        </is>
      </c>
      <c r="AS67" s="10" t="inlineStr"/>
      <c r="AT67" s="10" t="inlineStr">
        <is>
          <t>1</t>
        </is>
      </c>
      <c r="AU67" s="10" t="inlineStr">
        <is>
          <t>No</t>
        </is>
      </c>
      <c r="AV67" s="10" t="inlineStr">
        <is>
          <t>No</t>
        </is>
      </c>
      <c r="AW67" s="10" t="inlineStr">
        <is>
          <t>No</t>
        </is>
      </c>
      <c r="AX67" s="10" t="inlineStr">
        <is>
          <t>No</t>
        </is>
      </c>
      <c r="AY67" s="10" t="inlineStr">
        <is>
          <t>Not Found</t>
        </is>
      </c>
      <c r="AZ67" s="10" t="inlineStr">
        <is>
          <t>Not Found</t>
        </is>
      </c>
      <c r="BA67" s="10" t="inlineStr">
        <is>
          <t>2026-09-16</t>
        </is>
      </c>
      <c r="BB67" s="10" t="inlineStr">
        <is>
          <t>Requires Verification</t>
        </is>
      </c>
      <c r="BC67" s="10" t="inlineStr">
        <is>
          <t>Low</t>
        </is>
      </c>
      <c r="BD67" s="10" t="inlineStr"/>
      <c r="BE67" s="10" t="inlineStr">
        <is>
          <t>Business (B2B)</t>
        </is>
      </c>
      <c r="BF67" s="10" t="inlineStr">
        <is>
          <t>Legitimate interest (B2B) - assess per campaign; PECR: corporate subscribers</t>
        </is>
      </c>
      <c r="BG67" s="10" t="inlineStr"/>
      <c r="BH67" s="10" t="inlineStr">
        <is>
          <t>No</t>
        </is>
      </c>
      <c r="BI67" s="10" t="inlineStr">
        <is>
          <t>2026-09-16</t>
        </is>
      </c>
      <c r="BJ67" s="10" t="inlineStr">
        <is>
          <t>New</t>
        </is>
      </c>
      <c r="BK67" s="10" t="inlineStr">
        <is>
          <t>2026-09-16</t>
        </is>
      </c>
      <c r="BL67" s="10" t="inlineStr"/>
      <c r="BM67" s="10" t="inlineStr"/>
      <c r="BN67" s="10" t="inlineStr"/>
      <c r="BO67" s="10" t="inlineStr"/>
      <c r="BP67" s="10" t="inlineStr"/>
      <c r="BQ67" s="10" t="inlineStr"/>
    </row>
    <row r="68">
      <c r="A68" s="5" t="inlineStr">
        <is>
          <t>WY-0067</t>
        </is>
      </c>
      <c r="B68" s="5" t="inlineStr">
        <is>
          <t>WY-0067-01</t>
        </is>
      </c>
      <c r="C68" s="5" t="inlineStr"/>
      <c r="D68" s="5" t="inlineStr">
        <is>
          <t>Booze Express</t>
        </is>
      </c>
      <c r="E68" s="5" t="inlineStr">
        <is>
          <t>Booze Express Halifax</t>
        </is>
      </c>
      <c r="F68" s="5" t="inlineStr"/>
      <c r="G68" s="5" t="inlineStr">
        <is>
          <t>Off-Licence</t>
        </is>
      </c>
      <c r="H68" s="5" t="inlineStr"/>
      <c r="I68" s="5" t="inlineStr">
        <is>
          <t>Independent</t>
        </is>
      </c>
      <c r="J68" s="5" t="inlineStr">
        <is>
          <t>1</t>
        </is>
      </c>
      <c r="K68" s="5" t="inlineStr"/>
      <c r="L68" s="5" t="inlineStr"/>
      <c r="M68" s="5" t="inlineStr"/>
      <c r="N68" s="5" t="inlineStr">
        <is>
          <t>https://nextdoor.co.uk/pages/booze-express-halifax/</t>
        </is>
      </c>
      <c r="O68" s="5" t="inlineStr">
        <is>
          <t>520 Gibbet Street</t>
        </is>
      </c>
      <c r="P68" s="5" t="inlineStr"/>
      <c r="Q68" s="5" t="inlineStr">
        <is>
          <t>Halifax</t>
        </is>
      </c>
      <c r="R68" s="5" t="inlineStr">
        <is>
          <t>West Yorkshire</t>
        </is>
      </c>
      <c r="S68" s="5" t="inlineStr">
        <is>
          <t>HX2 0AH</t>
        </is>
      </c>
      <c r="T68" s="5" t="inlineStr">
        <is>
          <t>Yorkshire &amp; Humber</t>
        </is>
      </c>
      <c r="U68" s="5" t="inlineStr">
        <is>
          <t>England</t>
        </is>
      </c>
      <c r="V68" s="5" t="inlineStr"/>
      <c r="W68" s="5" t="inlineStr"/>
      <c r="X68" s="5" t="inlineStr"/>
      <c r="Y68" s="5" t="inlineStr"/>
      <c r="Z68" s="5" t="inlineStr"/>
      <c r="AA68" s="5" t="inlineStr"/>
      <c r="AB68" s="5" t="inlineStr"/>
      <c r="AC68" s="5" t="inlineStr"/>
      <c r="AD68" s="5" t="inlineStr"/>
      <c r="AE68" s="5" t="inlineStr"/>
      <c r="AF68" s="5" t="inlineStr"/>
      <c r="AG68" s="5" t="inlineStr"/>
      <c r="AH68" s="5" t="inlineStr"/>
      <c r="AI68" s="5" t="inlineStr"/>
      <c r="AJ68" s="5" t="inlineStr"/>
      <c r="AK68" s="5" t="inlineStr">
        <is>
          <t>beers, wines and spirits; snacks</t>
        </is>
      </c>
      <c r="AL68" s="5" t="inlineStr"/>
      <c r="AM68" s="5" t="inlineStr">
        <is>
          <t>Off-Licence</t>
        </is>
      </c>
      <c r="AN68" s="5" t="inlineStr"/>
      <c r="AO68" s="5" t="inlineStr">
        <is>
          <t>A company named BOOZE EXPRESS HALIFAX LTD (10264056) was dissolved 19 Nov 2019; the shop is still listed as trading on local directories, so it may now operate under a different legal entity - verify before outreach.</t>
        </is>
      </c>
      <c r="AP68" s="5" t="inlineStr">
        <is>
          <t>Medium</t>
        </is>
      </c>
      <c r="AQ68" s="5" t="inlineStr">
        <is>
          <t>Independent retailer; Relevant category; Social presence</t>
        </is>
      </c>
      <c r="AR68" s="5" t="inlineStr">
        <is>
          <t>https://find-and-update.company-information.service.gov.uk/company/10264056</t>
        </is>
      </c>
      <c r="AS68" s="5" t="inlineStr">
        <is>
          <t>https://findit.halifaxcourier.co.uk/company/1155715525128193</t>
        </is>
      </c>
      <c r="AT68" s="5" t="inlineStr">
        <is>
          <t>3</t>
        </is>
      </c>
      <c r="AU68" s="5" t="inlineStr">
        <is>
          <t>No</t>
        </is>
      </c>
      <c r="AV68" s="5" t="inlineStr">
        <is>
          <t>No</t>
        </is>
      </c>
      <c r="AW68" s="5" t="inlineStr">
        <is>
          <t>No</t>
        </is>
      </c>
      <c r="AX68" s="5" t="inlineStr">
        <is>
          <t>Yes</t>
        </is>
      </c>
      <c r="AY68" s="5" t="inlineStr">
        <is>
          <t>Not Found</t>
        </is>
      </c>
      <c r="AZ68" s="5" t="inlineStr">
        <is>
          <t>Not Found</t>
        </is>
      </c>
      <c r="BA68" s="5" t="inlineStr">
        <is>
          <t>2026-09-16</t>
        </is>
      </c>
      <c r="BB68" s="5" t="inlineStr">
        <is>
          <t>Partially Verified</t>
        </is>
      </c>
      <c r="BC68" s="5" t="inlineStr">
        <is>
          <t>Low</t>
        </is>
      </c>
      <c r="BD68" s="5" t="inlineStr"/>
      <c r="BE68" s="5" t="inlineStr">
        <is>
          <t>Business (B2B)</t>
        </is>
      </c>
      <c r="BF68" s="5" t="inlineStr">
        <is>
          <t>Legitimate interest (B2B) - assess per campaign; PECR: corporate subscribers</t>
        </is>
      </c>
      <c r="BG68" s="5" t="inlineStr"/>
      <c r="BH68" s="5" t="inlineStr">
        <is>
          <t>No</t>
        </is>
      </c>
      <c r="BI68" s="5" t="inlineStr">
        <is>
          <t>2026-09-16</t>
        </is>
      </c>
      <c r="BJ68" s="5" t="inlineStr">
        <is>
          <t>New</t>
        </is>
      </c>
      <c r="BK68" s="5" t="inlineStr">
        <is>
          <t>2026-09-16</t>
        </is>
      </c>
      <c r="BL68" s="5" t="inlineStr"/>
      <c r="BM68" s="5" t="inlineStr"/>
      <c r="BN68" s="5" t="inlineStr"/>
      <c r="BO68" s="5" t="inlineStr"/>
      <c r="BP68" s="5" t="inlineStr"/>
      <c r="BQ68" s="5" t="inlineStr"/>
    </row>
    <row r="69">
      <c r="A69" s="10" t="inlineStr">
        <is>
          <t>WY-0068</t>
        </is>
      </c>
      <c r="B69" s="10" t="inlineStr">
        <is>
          <t>WY-0068-01</t>
        </is>
      </c>
      <c r="C69" s="10" t="inlineStr"/>
      <c r="D69" s="10" t="inlineStr">
        <is>
          <t>Bottle and Bean</t>
        </is>
      </c>
      <c r="E69" s="10" t="inlineStr">
        <is>
          <t>Bottle and Bean</t>
        </is>
      </c>
      <c r="F69" s="10" t="inlineStr"/>
      <c r="G69" s="10" t="inlineStr">
        <is>
          <t>Off-Licence</t>
        </is>
      </c>
      <c r="H69" s="10" t="inlineStr">
        <is>
          <t>Wine, craft beer and coffee shop</t>
        </is>
      </c>
      <c r="I69" s="10" t="inlineStr">
        <is>
          <t>Independent</t>
        </is>
      </c>
      <c r="J69" s="10" t="inlineStr">
        <is>
          <t>1</t>
        </is>
      </c>
      <c r="K69" s="10" t="inlineStr"/>
      <c r="L69" s="10" t="inlineStr"/>
      <c r="M69" s="10" t="inlineStr"/>
      <c r="N69" s="10" t="inlineStr"/>
      <c r="O69" s="10" t="inlineStr"/>
      <c r="P69" s="10" t="inlineStr"/>
      <c r="Q69" s="10" t="inlineStr">
        <is>
          <t>Wetherby</t>
        </is>
      </c>
      <c r="R69" s="10" t="inlineStr">
        <is>
          <t>West Yorkshire</t>
        </is>
      </c>
      <c r="S69" s="10" t="inlineStr"/>
      <c r="T69" s="10" t="inlineStr">
        <is>
          <t>Yorkshire &amp; Humber</t>
        </is>
      </c>
      <c r="U69" s="10" t="inlineStr">
        <is>
          <t>England</t>
        </is>
      </c>
      <c r="V69" s="10" t="inlineStr"/>
      <c r="W69" s="10" t="inlineStr"/>
      <c r="X69" s="10" t="inlineStr"/>
      <c r="Y69" s="10" t="inlineStr"/>
      <c r="Z69" s="10" t="inlineStr"/>
      <c r="AA69" s="10" t="inlineStr"/>
      <c r="AB69" s="10" t="inlineStr"/>
      <c r="AC69" s="10" t="inlineStr"/>
      <c r="AD69" s="10" t="inlineStr"/>
      <c r="AE69" s="10" t="inlineStr"/>
      <c r="AF69" s="10" t="inlineStr"/>
      <c r="AG69" s="10" t="inlineStr"/>
      <c r="AH69" s="10" t="inlineStr"/>
      <c r="AI69" s="10" t="inlineStr"/>
      <c r="AJ69" s="10" t="inlineStr"/>
      <c r="AK69" s="10" t="inlineStr">
        <is>
          <t>wine; craft beer; coffee</t>
        </is>
      </c>
      <c r="AL69" s="10" t="inlineStr"/>
      <c r="AM69" s="10" t="inlineStr">
        <is>
          <t>Off-Licence</t>
        </is>
      </c>
      <c r="AN69" s="10" t="inlineStr"/>
      <c r="AO69" s="10" t="inlineStr">
        <is>
          <t>Independent off-licence in Wetherby offering quality wines, craft beers and coffee; street address not captured - follow up.</t>
        </is>
      </c>
      <c r="AP69" s="10" t="inlineStr">
        <is>
          <t>Low</t>
        </is>
      </c>
      <c r="AQ69" s="10" t="inlineStr">
        <is>
          <t>Independent retailer; Relevant category</t>
        </is>
      </c>
      <c r="AR69" s="10" t="inlineStr">
        <is>
          <t>https://www.yorkshire.com/wetherby/shopping/off-license/bottle-and-bean</t>
        </is>
      </c>
      <c r="AS69" s="10" t="inlineStr"/>
      <c r="AT69" s="10" t="inlineStr">
        <is>
          <t>1</t>
        </is>
      </c>
      <c r="AU69" s="10" t="inlineStr">
        <is>
          <t>No</t>
        </is>
      </c>
      <c r="AV69" s="10" t="inlineStr">
        <is>
          <t>No</t>
        </is>
      </c>
      <c r="AW69" s="10" t="inlineStr">
        <is>
          <t>No</t>
        </is>
      </c>
      <c r="AX69" s="10" t="inlineStr">
        <is>
          <t>No</t>
        </is>
      </c>
      <c r="AY69" s="10" t="inlineStr">
        <is>
          <t>Not Found</t>
        </is>
      </c>
      <c r="AZ69" s="10" t="inlineStr">
        <is>
          <t>Not Found</t>
        </is>
      </c>
      <c r="BA69" s="10" t="inlineStr">
        <is>
          <t>2026-09-16</t>
        </is>
      </c>
      <c r="BB69" s="10" t="inlineStr">
        <is>
          <t>Requires Verification</t>
        </is>
      </c>
      <c r="BC69" s="10" t="inlineStr">
        <is>
          <t>Low</t>
        </is>
      </c>
      <c r="BD69" s="10" t="inlineStr"/>
      <c r="BE69" s="10" t="inlineStr">
        <is>
          <t>Business (B2B)</t>
        </is>
      </c>
      <c r="BF69" s="10" t="inlineStr">
        <is>
          <t>Legitimate interest (B2B) - assess per campaign; PECR: corporate subscribers</t>
        </is>
      </c>
      <c r="BG69" s="10" t="inlineStr"/>
      <c r="BH69" s="10" t="inlineStr">
        <is>
          <t>No</t>
        </is>
      </c>
      <c r="BI69" s="10" t="inlineStr">
        <is>
          <t>2026-09-16</t>
        </is>
      </c>
      <c r="BJ69" s="10" t="inlineStr">
        <is>
          <t>New</t>
        </is>
      </c>
      <c r="BK69" s="10" t="inlineStr">
        <is>
          <t>2026-09-16</t>
        </is>
      </c>
      <c r="BL69" s="10" t="inlineStr"/>
      <c r="BM69" s="10" t="inlineStr"/>
      <c r="BN69" s="10" t="inlineStr"/>
      <c r="BO69" s="10" t="inlineStr"/>
      <c r="BP69" s="10" t="inlineStr"/>
      <c r="BQ69" s="10" t="inlineStr"/>
    </row>
    <row r="70">
      <c r="A70" s="5" t="inlineStr">
        <is>
          <t>WY-0069</t>
        </is>
      </c>
      <c r="B70" s="5" t="inlineStr">
        <is>
          <t>WY-0069-01</t>
        </is>
      </c>
      <c r="C70" s="5" t="inlineStr"/>
      <c r="D70" s="5" t="inlineStr">
        <is>
          <t>Bridge Off Licence Convenience Store</t>
        </is>
      </c>
      <c r="E70" s="5" t="inlineStr">
        <is>
          <t>Bridge Off Licence Convenience Store</t>
        </is>
      </c>
      <c r="F70" s="5" t="inlineStr"/>
      <c r="G70" s="5" t="inlineStr">
        <is>
          <t>Off-Licence</t>
        </is>
      </c>
      <c r="H70" s="5" t="inlineStr">
        <is>
          <t>Off-licence and convenience store</t>
        </is>
      </c>
      <c r="I70" s="5" t="inlineStr">
        <is>
          <t>Independent</t>
        </is>
      </c>
      <c r="J70" s="5" t="inlineStr">
        <is>
          <t>1</t>
        </is>
      </c>
      <c r="K70" s="5" t="inlineStr"/>
      <c r="L70" s="5" t="inlineStr"/>
      <c r="M70" s="5" t="inlineStr"/>
      <c r="N70" s="5" t="inlineStr"/>
      <c r="O70" s="5" t="inlineStr"/>
      <c r="P70" s="5" t="inlineStr"/>
      <c r="Q70" s="5" t="inlineStr">
        <is>
          <t>Sowerby Bridge</t>
        </is>
      </c>
      <c r="R70" s="5" t="inlineStr">
        <is>
          <t>West Yorkshire</t>
        </is>
      </c>
      <c r="S70" s="5" t="inlineStr"/>
      <c r="T70" s="5" t="inlineStr">
        <is>
          <t>Yorkshire &amp; Humber</t>
        </is>
      </c>
      <c r="U70" s="5" t="inlineStr">
        <is>
          <t>England</t>
        </is>
      </c>
      <c r="V70" s="5" t="inlineStr"/>
      <c r="W70" s="5" t="inlineStr"/>
      <c r="X70" s="5" t="inlineStr"/>
      <c r="Y70" s="5" t="inlineStr"/>
      <c r="Z70" s="5" t="inlineStr"/>
      <c r="AA70" s="5" t="inlineStr"/>
      <c r="AB70" s="5" t="inlineStr"/>
      <c r="AC70" s="5" t="inlineStr"/>
      <c r="AD70" s="5" t="inlineStr"/>
      <c r="AE70" s="5" t="inlineStr"/>
      <c r="AF70" s="5" t="inlineStr"/>
      <c r="AG70" s="5" t="inlineStr"/>
      <c r="AH70" s="5" t="inlineStr"/>
      <c r="AI70" s="5" t="inlineStr"/>
      <c r="AJ70" s="5" t="inlineStr"/>
      <c r="AK70" s="5" t="inlineStr">
        <is>
          <t>beers, wines and spirits; convenience</t>
        </is>
      </c>
      <c r="AL70" s="5" t="inlineStr"/>
      <c r="AM70" s="5" t="inlineStr">
        <is>
          <t>Off-Licence</t>
        </is>
      </c>
      <c r="AN70" s="5" t="inlineStr"/>
      <c r="AO70" s="5" t="inlineStr">
        <is>
          <t>Street address not published in the directory listing found.</t>
        </is>
      </c>
      <c r="AP70" s="5" t="inlineStr">
        <is>
          <t>Low</t>
        </is>
      </c>
      <c r="AQ70" s="5" t="inlineStr">
        <is>
          <t>Independent retailer; Relevant category</t>
        </is>
      </c>
      <c r="AR70" s="5" t="inlineStr">
        <is>
          <t>https://www.yorkshire.com/sowerby-bridge/shopping/off-license/bridge-off-licence-convenience-store</t>
        </is>
      </c>
      <c r="AS70" s="5" t="inlineStr"/>
      <c r="AT70" s="5" t="inlineStr">
        <is>
          <t>1</t>
        </is>
      </c>
      <c r="AU70" s="5" t="inlineStr">
        <is>
          <t>No</t>
        </is>
      </c>
      <c r="AV70" s="5" t="inlineStr">
        <is>
          <t>No</t>
        </is>
      </c>
      <c r="AW70" s="5" t="inlineStr">
        <is>
          <t>No</t>
        </is>
      </c>
      <c r="AX70" s="5" t="inlineStr">
        <is>
          <t>No</t>
        </is>
      </c>
      <c r="AY70" s="5" t="inlineStr">
        <is>
          <t>Not Found</t>
        </is>
      </c>
      <c r="AZ70" s="5" t="inlineStr">
        <is>
          <t>Not Found</t>
        </is>
      </c>
      <c r="BA70" s="5" t="inlineStr">
        <is>
          <t>2026-09-16</t>
        </is>
      </c>
      <c r="BB70" s="5" t="inlineStr">
        <is>
          <t>Requires Verification</t>
        </is>
      </c>
      <c r="BC70" s="5" t="inlineStr">
        <is>
          <t>Low</t>
        </is>
      </c>
      <c r="BD70" s="5" t="inlineStr"/>
      <c r="BE70" s="5" t="inlineStr">
        <is>
          <t>Business (B2B)</t>
        </is>
      </c>
      <c r="BF70" s="5" t="inlineStr">
        <is>
          <t>Legitimate interest (B2B) - assess per campaign; PECR: corporate subscribers</t>
        </is>
      </c>
      <c r="BG70" s="5" t="inlineStr"/>
      <c r="BH70" s="5" t="inlineStr">
        <is>
          <t>No</t>
        </is>
      </c>
      <c r="BI70" s="5" t="inlineStr">
        <is>
          <t>2026-09-16</t>
        </is>
      </c>
      <c r="BJ70" s="5" t="inlineStr">
        <is>
          <t>New</t>
        </is>
      </c>
      <c r="BK70" s="5" t="inlineStr">
        <is>
          <t>2026-09-16</t>
        </is>
      </c>
      <c r="BL70" s="5" t="inlineStr"/>
      <c r="BM70" s="5" t="inlineStr"/>
      <c r="BN70" s="5" t="inlineStr"/>
      <c r="BO70" s="5" t="inlineStr"/>
      <c r="BP70" s="5" t="inlineStr"/>
      <c r="BQ70" s="5" t="inlineStr"/>
    </row>
    <row r="71">
      <c r="A71" s="10" t="inlineStr">
        <is>
          <t>WY-0070</t>
        </is>
      </c>
      <c r="B71" s="10" t="inlineStr">
        <is>
          <t>WY-0070-01</t>
        </is>
      </c>
      <c r="C71" s="10" t="inlineStr"/>
      <c r="D71" s="10" t="inlineStr">
        <is>
          <t>Brooks News</t>
        </is>
      </c>
      <c r="E71" s="10" t="inlineStr">
        <is>
          <t>Brooks News</t>
        </is>
      </c>
      <c r="F71" s="10" t="inlineStr"/>
      <c r="G71" s="10" t="inlineStr">
        <is>
          <t>Newsagent</t>
        </is>
      </c>
      <c r="H71" s="10" t="inlineStr"/>
      <c r="I71" s="10" t="inlineStr">
        <is>
          <t>Independent</t>
        </is>
      </c>
      <c r="J71" s="10" t="inlineStr">
        <is>
          <t>1</t>
        </is>
      </c>
      <c r="K71" s="10" t="inlineStr"/>
      <c r="L71" s="10" t="inlineStr"/>
      <c r="M71" s="10" t="inlineStr"/>
      <c r="N71" s="10" t="inlineStr"/>
      <c r="O71" s="10" t="inlineStr">
        <is>
          <t>19 Church Lane</t>
        </is>
      </c>
      <c r="P71" s="10" t="inlineStr"/>
      <c r="Q71" s="10" t="inlineStr">
        <is>
          <t>Pudsey</t>
        </is>
      </c>
      <c r="R71" s="10" t="inlineStr">
        <is>
          <t>West Yorkshire</t>
        </is>
      </c>
      <c r="S71" s="10" t="inlineStr">
        <is>
          <t>LS28 7LD</t>
        </is>
      </c>
      <c r="T71" s="10" t="inlineStr">
        <is>
          <t>Yorkshire &amp; Humber</t>
        </is>
      </c>
      <c r="U71" s="10" t="inlineStr">
        <is>
          <t>England</t>
        </is>
      </c>
      <c r="V71" s="10" t="inlineStr">
        <is>
          <t>0113 257 3382</t>
        </is>
      </c>
      <c r="W71" s="10" t="inlineStr"/>
      <c r="X71" s="10" t="inlineStr"/>
      <c r="Y71" s="10" t="inlineStr"/>
      <c r="Z71" s="10" t="inlineStr"/>
      <c r="AA71" s="10" t="inlineStr"/>
      <c r="AB71" s="10" t="inlineStr"/>
      <c r="AC71" s="10" t="inlineStr"/>
      <c r="AD71" s="10" t="inlineStr"/>
      <c r="AE71" s="10" t="inlineStr"/>
      <c r="AF71" s="10" t="inlineStr"/>
      <c r="AG71" s="10" t="inlineStr"/>
      <c r="AH71" s="10" t="inlineStr"/>
      <c r="AI71" s="10" t="inlineStr"/>
      <c r="AJ71" s="10" t="inlineStr"/>
      <c r="AK71" s="10" t="inlineStr">
        <is>
          <t>newspapers; magazines; confectionery; tobacco</t>
        </is>
      </c>
      <c r="AL71" s="10" t="inlineStr"/>
      <c r="AM71" s="10" t="inlineStr">
        <is>
          <t>Newsagent</t>
        </is>
      </c>
      <c r="AN71" s="10" t="inlineStr"/>
      <c r="AO71" s="10" t="inlineStr"/>
      <c r="AP71" s="10" t="inlineStr">
        <is>
          <t>Low</t>
        </is>
      </c>
      <c r="AQ71" s="10" t="inlineStr">
        <is>
          <t>Independent retailer; Relevant category</t>
        </is>
      </c>
      <c r="AR71" s="10" t="inlineStr">
        <is>
          <t>https://www.thomsonlocal.com/search/newsagents/morley-west-yorkshire</t>
        </is>
      </c>
      <c r="AS71" s="10" t="inlineStr">
        <is>
          <t>https://findit.yorkshireeveningpost.co.uk/search/leeds/newsagent</t>
        </is>
      </c>
      <c r="AT71" s="10" t="inlineStr">
        <is>
          <t>2</t>
        </is>
      </c>
      <c r="AU71" s="10" t="inlineStr">
        <is>
          <t>No</t>
        </is>
      </c>
      <c r="AV71" s="10" t="inlineStr">
        <is>
          <t>No</t>
        </is>
      </c>
      <c r="AW71" s="10" t="inlineStr">
        <is>
          <t>No</t>
        </is>
      </c>
      <c r="AX71" s="10" t="inlineStr">
        <is>
          <t>No</t>
        </is>
      </c>
      <c r="AY71" s="10" t="inlineStr">
        <is>
          <t>Verified directory</t>
        </is>
      </c>
      <c r="AZ71" s="10" t="inlineStr">
        <is>
          <t>Not Found</t>
        </is>
      </c>
      <c r="BA71" s="10" t="inlineStr">
        <is>
          <t>2026-09-16</t>
        </is>
      </c>
      <c r="BB71" s="10" t="inlineStr">
        <is>
          <t>Requires Verification</t>
        </is>
      </c>
      <c r="BC71" s="10" t="inlineStr">
        <is>
          <t>Medium</t>
        </is>
      </c>
      <c r="BD71" s="10" t="inlineStr"/>
      <c r="BE71" s="10" t="inlineStr">
        <is>
          <t>Business (B2B)</t>
        </is>
      </c>
      <c r="BF71" s="10" t="inlineStr">
        <is>
          <t>Legitimate interest (B2B) - assess per campaign; PECR: corporate subscribers</t>
        </is>
      </c>
      <c r="BG71" s="10" t="inlineStr"/>
      <c r="BH71" s="10" t="inlineStr">
        <is>
          <t>No</t>
        </is>
      </c>
      <c r="BI71" s="10" t="inlineStr">
        <is>
          <t>2026-09-16</t>
        </is>
      </c>
      <c r="BJ71" s="10" t="inlineStr">
        <is>
          <t>New</t>
        </is>
      </c>
      <c r="BK71" s="10" t="inlineStr">
        <is>
          <t>2026-09-16</t>
        </is>
      </c>
      <c r="BL71" s="10" t="inlineStr"/>
      <c r="BM71" s="10" t="inlineStr"/>
      <c r="BN71" s="10" t="inlineStr"/>
      <c r="BO71" s="10" t="inlineStr"/>
      <c r="BP71" s="10" t="inlineStr"/>
      <c r="BQ71" s="10" t="inlineStr"/>
    </row>
    <row r="72">
      <c r="A72" s="5" t="inlineStr">
        <is>
          <t>WY-0071</t>
        </is>
      </c>
      <c r="B72" s="5" t="inlineStr">
        <is>
          <t>WY-0071-01</t>
        </is>
      </c>
      <c r="C72" s="5" t="inlineStr"/>
      <c r="D72" s="5" t="inlineStr">
        <is>
          <t>C Booth and Son</t>
        </is>
      </c>
      <c r="E72" s="5" t="inlineStr">
        <is>
          <t>C Booth and Son</t>
        </is>
      </c>
      <c r="F72" s="5" t="inlineStr"/>
      <c r="G72" s="5" t="inlineStr">
        <is>
          <t>Tobacco Specialist</t>
        </is>
      </c>
      <c r="H72" s="5" t="inlineStr">
        <is>
          <t>Hardware store and specialist tobacconist</t>
        </is>
      </c>
      <c r="I72" s="5" t="inlineStr">
        <is>
          <t>Independent</t>
        </is>
      </c>
      <c r="J72" s="5" t="inlineStr">
        <is>
          <t>1</t>
        </is>
      </c>
      <c r="K72" s="5" t="inlineStr"/>
      <c r="L72" s="5" t="inlineStr"/>
      <c r="M72" s="5" t="inlineStr"/>
      <c r="N72" s="5" t="inlineStr"/>
      <c r="O72" s="5" t="inlineStr">
        <is>
          <t>Cross Church Street</t>
        </is>
      </c>
      <c r="P72" s="5" t="inlineStr">
        <is>
          <t>Town Centre</t>
        </is>
      </c>
      <c r="Q72" s="5" t="inlineStr">
        <is>
          <t>Huddersfield</t>
        </is>
      </c>
      <c r="R72" s="5" t="inlineStr">
        <is>
          <t>West Yorkshire</t>
        </is>
      </c>
      <c r="S72" s="5" t="inlineStr"/>
      <c r="T72" s="5" t="inlineStr">
        <is>
          <t>Yorkshire &amp; Humber</t>
        </is>
      </c>
      <c r="U72" s="5" t="inlineStr">
        <is>
          <t>England</t>
        </is>
      </c>
      <c r="V72" s="5" t="inlineStr"/>
      <c r="W72" s="5" t="inlineStr"/>
      <c r="X72" s="5" t="inlineStr"/>
      <c r="Y72" s="5" t="inlineStr"/>
      <c r="Z72" s="5" t="inlineStr"/>
      <c r="AA72" s="5" t="inlineStr"/>
      <c r="AB72" s="5" t="inlineStr"/>
      <c r="AC72" s="5" t="inlineStr"/>
      <c r="AD72" s="5" t="inlineStr"/>
      <c r="AE72" s="5" t="inlineStr"/>
      <c r="AF72" s="5" t="inlineStr"/>
      <c r="AG72" s="5" t="inlineStr"/>
      <c r="AH72" s="5" t="inlineStr"/>
      <c r="AI72" s="5" t="inlineStr"/>
      <c r="AJ72" s="5" t="inlineStr"/>
      <c r="AK72" s="5" t="inlineStr">
        <is>
          <t>pipe tobacco; hand-rolling tobacco; cigars; hardware and household goods</t>
        </is>
      </c>
      <c r="AL72" s="5" t="inlineStr"/>
      <c r="AM72" s="5" t="inlineStr">
        <is>
          <t>Tobacco Specialist</t>
        </is>
      </c>
      <c r="AN72" s="5" t="inlineStr"/>
      <c r="AO72" s="5" t="inlineStr">
        <is>
          <t>150+ year old family shop, described in press coverage as the only specialist tobacconist in Huddersfield; sells pipe and hand-rolling tobacco and cigars alongside hardware.</t>
        </is>
      </c>
      <c r="AP72" s="5" t="inlineStr">
        <is>
          <t>Medium</t>
        </is>
      </c>
      <c r="AQ72" s="5" t="inlineStr">
        <is>
          <t>Independent retailer; Core relevant category</t>
        </is>
      </c>
      <c r="AR72" s="5" t="inlineStr">
        <is>
          <t>https://www.examinerlive.co.uk/news/west-yorkshire-news/the-shop-sells-everything-c-9967957</t>
        </is>
      </c>
      <c r="AS72" s="5" t="inlineStr"/>
      <c r="AT72" s="5" t="inlineStr">
        <is>
          <t>1</t>
        </is>
      </c>
      <c r="AU72" s="5" t="inlineStr">
        <is>
          <t>No</t>
        </is>
      </c>
      <c r="AV72" s="5" t="inlineStr">
        <is>
          <t>No</t>
        </is>
      </c>
      <c r="AW72" s="5" t="inlineStr">
        <is>
          <t>No</t>
        </is>
      </c>
      <c r="AX72" s="5" t="inlineStr">
        <is>
          <t>No</t>
        </is>
      </c>
      <c r="AY72" s="5" t="inlineStr">
        <is>
          <t>Not Found</t>
        </is>
      </c>
      <c r="AZ72" s="5" t="inlineStr">
        <is>
          <t>Not Found</t>
        </is>
      </c>
      <c r="BA72" s="5" t="inlineStr">
        <is>
          <t>2026-09-16</t>
        </is>
      </c>
      <c r="BB72" s="5" t="inlineStr">
        <is>
          <t>Requires Verification</t>
        </is>
      </c>
      <c r="BC72" s="5" t="inlineStr">
        <is>
          <t>Low</t>
        </is>
      </c>
      <c r="BD72" s="5" t="inlineStr"/>
      <c r="BE72" s="5" t="inlineStr">
        <is>
          <t>Business (B2B)</t>
        </is>
      </c>
      <c r="BF72" s="5" t="inlineStr">
        <is>
          <t>Legitimate interest (B2B) - assess per campaign; PECR: corporate subscribers</t>
        </is>
      </c>
      <c r="BG72" s="5" t="inlineStr"/>
      <c r="BH72" s="5" t="inlineStr">
        <is>
          <t>No</t>
        </is>
      </c>
      <c r="BI72" s="5" t="inlineStr">
        <is>
          <t>2026-09-16</t>
        </is>
      </c>
      <c r="BJ72" s="5" t="inlineStr">
        <is>
          <t>New</t>
        </is>
      </c>
      <c r="BK72" s="5" t="inlineStr">
        <is>
          <t>2026-09-16</t>
        </is>
      </c>
      <c r="BL72" s="5" t="inlineStr"/>
      <c r="BM72" s="5" t="inlineStr"/>
      <c r="BN72" s="5" t="inlineStr"/>
      <c r="BO72" s="5" t="inlineStr"/>
      <c r="BP72" s="5" t="inlineStr"/>
      <c r="BQ72" s="5" t="inlineStr"/>
    </row>
    <row r="73">
      <c r="A73" s="10" t="inlineStr">
        <is>
          <t>WY-0072</t>
        </is>
      </c>
      <c r="B73" s="10" t="inlineStr">
        <is>
          <t>WY-0072-01</t>
        </is>
      </c>
      <c r="C73" s="10" t="inlineStr"/>
      <c r="D73" s="10" t="inlineStr">
        <is>
          <t>Carlton Self Service</t>
        </is>
      </c>
      <c r="E73" s="10" t="inlineStr">
        <is>
          <t>Carlton Self Service</t>
        </is>
      </c>
      <c r="F73" s="10" t="inlineStr"/>
      <c r="G73" s="10" t="inlineStr">
        <is>
          <t>Newsagent</t>
        </is>
      </c>
      <c r="H73" s="10" t="inlineStr">
        <is>
          <t>Newsagent and self-service store</t>
        </is>
      </c>
      <c r="I73" s="10" t="inlineStr">
        <is>
          <t>Independent</t>
        </is>
      </c>
      <c r="J73" s="10" t="inlineStr">
        <is>
          <t>1</t>
        </is>
      </c>
      <c r="K73" s="10" t="inlineStr"/>
      <c r="L73" s="10" t="inlineStr"/>
      <c r="M73" s="10" t="inlineStr"/>
      <c r="N73" s="10" t="inlineStr"/>
      <c r="O73" s="10" t="inlineStr">
        <is>
          <t>6-8 Swanhill Lane</t>
        </is>
      </c>
      <c r="P73" s="10" t="inlineStr"/>
      <c r="Q73" s="10" t="inlineStr">
        <is>
          <t>Pontefract</t>
        </is>
      </c>
      <c r="R73" s="10" t="inlineStr">
        <is>
          <t>West Yorkshire</t>
        </is>
      </c>
      <c r="S73" s="10" t="inlineStr">
        <is>
          <t>WF8 2SE</t>
        </is>
      </c>
      <c r="T73" s="10" t="inlineStr">
        <is>
          <t>Yorkshire &amp; Humber</t>
        </is>
      </c>
      <c r="U73" s="10" t="inlineStr">
        <is>
          <t>England</t>
        </is>
      </c>
      <c r="V73" s="10" t="inlineStr">
        <is>
          <t>01977 780317</t>
        </is>
      </c>
      <c r="W73" s="10" t="inlineStr"/>
      <c r="X73" s="10" t="inlineStr"/>
      <c r="Y73" s="10" t="inlineStr"/>
      <c r="Z73" s="10" t="inlineStr"/>
      <c r="AA73" s="10" t="inlineStr"/>
      <c r="AB73" s="10" t="inlineStr"/>
      <c r="AC73" s="10" t="inlineStr"/>
      <c r="AD73" s="10" t="inlineStr"/>
      <c r="AE73" s="10" t="inlineStr"/>
      <c r="AF73" s="10" t="inlineStr"/>
      <c r="AG73" s="10" t="inlineStr"/>
      <c r="AH73" s="10" t="inlineStr"/>
      <c r="AI73" s="10" t="inlineStr"/>
      <c r="AJ73" s="10" t="inlineStr"/>
      <c r="AK73" s="10" t="inlineStr">
        <is>
          <t>news and magazines; tobacco; confectionery; convenience</t>
        </is>
      </c>
      <c r="AL73" s="10" t="inlineStr"/>
      <c r="AM73" s="10" t="inlineStr">
        <is>
          <t>Newsagent</t>
        </is>
      </c>
      <c r="AN73" s="10" t="inlineStr"/>
      <c r="AO73" s="10" t="inlineStr"/>
      <c r="AP73" s="10" t="inlineStr">
        <is>
          <t>Low</t>
        </is>
      </c>
      <c r="AQ73" s="10" t="inlineStr">
        <is>
          <t>Independent retailer; Relevant category</t>
        </is>
      </c>
      <c r="AR73" s="10" t="inlineStr">
        <is>
          <t>https://www.thomsonlocal.com/search/newsagents/wakefield-pontefract-castleford/carlton-self-service/1650013/01977780317</t>
        </is>
      </c>
      <c r="AS73" s="10" t="inlineStr"/>
      <c r="AT73" s="10" t="inlineStr">
        <is>
          <t>1</t>
        </is>
      </c>
      <c r="AU73" s="10" t="inlineStr">
        <is>
          <t>No</t>
        </is>
      </c>
      <c r="AV73" s="10" t="inlineStr">
        <is>
          <t>No</t>
        </is>
      </c>
      <c r="AW73" s="10" t="inlineStr">
        <is>
          <t>No</t>
        </is>
      </c>
      <c r="AX73" s="10" t="inlineStr">
        <is>
          <t>No</t>
        </is>
      </c>
      <c r="AY73" s="10" t="inlineStr">
        <is>
          <t>Verified directory</t>
        </is>
      </c>
      <c r="AZ73" s="10" t="inlineStr">
        <is>
          <t>Not Found</t>
        </is>
      </c>
      <c r="BA73" s="10" t="inlineStr">
        <is>
          <t>2026-09-16</t>
        </is>
      </c>
      <c r="BB73" s="10" t="inlineStr">
        <is>
          <t>Requires Verification</t>
        </is>
      </c>
      <c r="BC73" s="10" t="inlineStr">
        <is>
          <t>Medium</t>
        </is>
      </c>
      <c r="BD73" s="10" t="inlineStr"/>
      <c r="BE73" s="10" t="inlineStr">
        <is>
          <t>Business (B2B)</t>
        </is>
      </c>
      <c r="BF73" s="10" t="inlineStr">
        <is>
          <t>Legitimate interest (B2B) - assess per campaign; PECR: corporate subscribers</t>
        </is>
      </c>
      <c r="BG73" s="10" t="inlineStr"/>
      <c r="BH73" s="10" t="inlineStr">
        <is>
          <t>No</t>
        </is>
      </c>
      <c r="BI73" s="10" t="inlineStr">
        <is>
          <t>2026-09-16</t>
        </is>
      </c>
      <c r="BJ73" s="10" t="inlineStr">
        <is>
          <t>New</t>
        </is>
      </c>
      <c r="BK73" s="10" t="inlineStr">
        <is>
          <t>2026-09-16</t>
        </is>
      </c>
      <c r="BL73" s="10" t="inlineStr"/>
      <c r="BM73" s="10" t="inlineStr"/>
      <c r="BN73" s="10" t="inlineStr"/>
      <c r="BO73" s="10" t="inlineStr"/>
      <c r="BP73" s="10" t="inlineStr"/>
      <c r="BQ73" s="10" t="inlineStr"/>
    </row>
    <row r="74">
      <c r="A74" s="5" t="inlineStr">
        <is>
          <t>WY-0073</t>
        </is>
      </c>
      <c r="B74" s="5" t="inlineStr">
        <is>
          <t>WY-0073-01</t>
        </is>
      </c>
      <c r="C74" s="5" t="inlineStr"/>
      <c r="D74" s="5" t="inlineStr">
        <is>
          <t>Caspar's Bottle Shop</t>
        </is>
      </c>
      <c r="E74" s="5" t="inlineStr">
        <is>
          <t>Caspar's Bottle Shop</t>
        </is>
      </c>
      <c r="F74" s="5" t="inlineStr"/>
      <c r="G74" s="5" t="inlineStr">
        <is>
          <t>Off-Licence</t>
        </is>
      </c>
      <c r="H74" s="5" t="inlineStr">
        <is>
          <t>Craft beer bottle shop</t>
        </is>
      </c>
      <c r="I74" s="5" t="inlineStr">
        <is>
          <t>Independent</t>
        </is>
      </c>
      <c r="J74" s="5" t="inlineStr">
        <is>
          <t>1</t>
        </is>
      </c>
      <c r="K74" s="5" t="inlineStr">
        <is>
          <t>https://www.casparsbottleshop.com/</t>
        </is>
      </c>
      <c r="L74" s="5" t="inlineStr">
        <is>
          <t>https://www.facebook.com/casparsbottleshop/</t>
        </is>
      </c>
      <c r="M74" s="5" t="inlineStr"/>
      <c r="N74" s="5" t="inlineStr"/>
      <c r="O74" s="5" t="inlineStr">
        <is>
          <t>65 Potternewton Lane</t>
        </is>
      </c>
      <c r="P74" s="5" t="inlineStr">
        <is>
          <t>Chapel Allerton</t>
        </is>
      </c>
      <c r="Q74" s="5" t="inlineStr">
        <is>
          <t>Leeds</t>
        </is>
      </c>
      <c r="R74" s="5" t="inlineStr">
        <is>
          <t>West Yorkshire</t>
        </is>
      </c>
      <c r="S74" s="5" t="inlineStr">
        <is>
          <t>LS7 3LW</t>
        </is>
      </c>
      <c r="T74" s="5" t="inlineStr">
        <is>
          <t>Yorkshire &amp; Humber</t>
        </is>
      </c>
      <c r="U74" s="5" t="inlineStr">
        <is>
          <t>England</t>
        </is>
      </c>
      <c r="V74" s="5" t="inlineStr">
        <is>
          <t>0113 237 4554</t>
        </is>
      </c>
      <c r="W74" s="5" t="inlineStr"/>
      <c r="X74" s="5" t="inlineStr"/>
      <c r="Y74" s="5" t="inlineStr"/>
      <c r="Z74" s="5" t="inlineStr"/>
      <c r="AA74" s="5" t="inlineStr"/>
      <c r="AB74" s="5" t="inlineStr"/>
      <c r="AC74" s="5" t="inlineStr"/>
      <c r="AD74" s="5" t="inlineStr"/>
      <c r="AE74" s="5" t="inlineStr"/>
      <c r="AF74" s="5" t="inlineStr"/>
      <c r="AG74" s="5" t="inlineStr"/>
      <c r="AH74" s="5" t="inlineStr"/>
      <c r="AI74" s="5" t="inlineStr"/>
      <c r="AJ74" s="5" t="inlineStr"/>
      <c r="AK74" s="5" t="inlineStr">
        <is>
          <t>craft beer; cider; wine</t>
        </is>
      </c>
      <c r="AL74" s="5" t="inlineStr"/>
      <c r="AM74" s="5" t="inlineStr">
        <is>
          <t>Off-Licence</t>
        </is>
      </c>
      <c r="AN74" s="5" t="inlineStr"/>
      <c r="AO74" s="5" t="inlineStr">
        <is>
          <t>Chapel Allerton's independent craft beer shop; open Tue-Sat 12:30-20:00, Sun 12:30-16:00.</t>
        </is>
      </c>
      <c r="AP74" s="5" t="inlineStr">
        <is>
          <t>Medium</t>
        </is>
      </c>
      <c r="AQ74" s="5" t="inlineStr">
        <is>
          <t>Independent retailer; Relevant category; Active website; Social presence</t>
        </is>
      </c>
      <c r="AR74" s="5" t="inlineStr">
        <is>
          <t>https://www.casparsbottleshop.com/</t>
        </is>
      </c>
      <c r="AS74" s="5" t="inlineStr">
        <is>
          <t>https://leeds.cylex-uk.co.uk/company/caspar's-bottle-shop-26660090.html</t>
        </is>
      </c>
      <c r="AT74" s="5" t="inlineStr">
        <is>
          <t>3</t>
        </is>
      </c>
      <c r="AU74" s="5" t="inlineStr">
        <is>
          <t>No</t>
        </is>
      </c>
      <c r="AV74" s="5" t="inlineStr">
        <is>
          <t>No</t>
        </is>
      </c>
      <c r="AW74" s="5" t="inlineStr">
        <is>
          <t>No</t>
        </is>
      </c>
      <c r="AX74" s="5" t="inlineStr">
        <is>
          <t>No</t>
        </is>
      </c>
      <c r="AY74" s="5" t="inlineStr">
        <is>
          <t>Verified directory</t>
        </is>
      </c>
      <c r="AZ74" s="5" t="inlineStr">
        <is>
          <t>Website Found</t>
        </is>
      </c>
      <c r="BA74" s="5" t="inlineStr">
        <is>
          <t>2026-09-16</t>
        </is>
      </c>
      <c r="BB74" s="5" t="inlineStr">
        <is>
          <t>Requires Verification</t>
        </is>
      </c>
      <c r="BC74" s="5" t="inlineStr">
        <is>
          <t>Medium</t>
        </is>
      </c>
      <c r="BD74" s="5" t="inlineStr"/>
      <c r="BE74" s="5" t="inlineStr">
        <is>
          <t>Business (B2B)</t>
        </is>
      </c>
      <c r="BF74" s="5" t="inlineStr">
        <is>
          <t>Legitimate interest (B2B) - assess per campaign; PECR: corporate subscribers</t>
        </is>
      </c>
      <c r="BG74" s="5" t="inlineStr"/>
      <c r="BH74" s="5" t="inlineStr">
        <is>
          <t>No</t>
        </is>
      </c>
      <c r="BI74" s="5" t="inlineStr">
        <is>
          <t>2026-09-16</t>
        </is>
      </c>
      <c r="BJ74" s="5" t="inlineStr">
        <is>
          <t>New</t>
        </is>
      </c>
      <c r="BK74" s="5" t="inlineStr">
        <is>
          <t>2026-09-16</t>
        </is>
      </c>
      <c r="BL74" s="5" t="inlineStr"/>
      <c r="BM74" s="5" t="inlineStr"/>
      <c r="BN74" s="5" t="inlineStr"/>
      <c r="BO74" s="5" t="inlineStr"/>
      <c r="BP74" s="5" t="inlineStr"/>
      <c r="BQ74" s="5" t="inlineStr"/>
    </row>
    <row r="75">
      <c r="A75" s="10" t="inlineStr">
        <is>
          <t>WY-0074</t>
        </is>
      </c>
      <c r="B75" s="10" t="inlineStr">
        <is>
          <t>WY-0074-01</t>
        </is>
      </c>
      <c r="C75" s="10" t="inlineStr"/>
      <c r="D75" s="10" t="inlineStr">
        <is>
          <t>Castleford Road Off Licence</t>
        </is>
      </c>
      <c r="E75" s="10" t="inlineStr">
        <is>
          <t>Castleford Road Off Licence</t>
        </is>
      </c>
      <c r="F75" s="10" t="inlineStr">
        <is>
          <t>Castleford Road Off Licence Limited</t>
        </is>
      </c>
      <c r="G75" s="10" t="inlineStr">
        <is>
          <t>Off-Licence</t>
        </is>
      </c>
      <c r="H75" s="10" t="inlineStr">
        <is>
          <t>Off-licence and convenience store</t>
        </is>
      </c>
      <c r="I75" s="10" t="inlineStr">
        <is>
          <t>Independent</t>
        </is>
      </c>
      <c r="J75" s="10" t="inlineStr">
        <is>
          <t>1</t>
        </is>
      </c>
      <c r="K75" s="10" t="inlineStr"/>
      <c r="L75" s="10" t="inlineStr"/>
      <c r="M75" s="10" t="inlineStr"/>
      <c r="N75" s="10" t="inlineStr"/>
      <c r="O75" s="10" t="inlineStr">
        <is>
          <t>154 Castleford Road</t>
        </is>
      </c>
      <c r="P75" s="10" t="inlineStr"/>
      <c r="Q75" s="10" t="inlineStr">
        <is>
          <t>Normanton</t>
        </is>
      </c>
      <c r="R75" s="10" t="inlineStr">
        <is>
          <t>West Yorkshire</t>
        </is>
      </c>
      <c r="S75" s="10" t="inlineStr">
        <is>
          <t>WF6 2EU</t>
        </is>
      </c>
      <c r="T75" s="10" t="inlineStr">
        <is>
          <t>Yorkshire &amp; Humber</t>
        </is>
      </c>
      <c r="U75" s="10" t="inlineStr">
        <is>
          <t>England</t>
        </is>
      </c>
      <c r="V75" s="10" t="inlineStr">
        <is>
          <t>01924 223984</t>
        </is>
      </c>
      <c r="W75" s="10" t="inlineStr"/>
      <c r="X75" s="10" t="inlineStr"/>
      <c r="Y75" s="10" t="inlineStr"/>
      <c r="Z75" s="10" t="inlineStr"/>
      <c r="AA75" s="10" t="inlineStr"/>
      <c r="AB75" s="10" t="inlineStr"/>
      <c r="AC75" s="10" t="inlineStr"/>
      <c r="AD75" s="10" t="inlineStr"/>
      <c r="AE75" s="10" t="inlineStr"/>
      <c r="AF75" s="10" t="inlineStr"/>
      <c r="AG75" s="10" t="inlineStr"/>
      <c r="AH75" s="10" t="inlineStr"/>
      <c r="AI75" s="10" t="inlineStr"/>
      <c r="AJ75" s="10" t="inlineStr"/>
      <c r="AK75" s="10" t="inlineStr">
        <is>
          <t>alcohol; tobacco; convenience grocery</t>
        </is>
      </c>
      <c r="AL75" s="10" t="inlineStr"/>
      <c r="AM75" s="10" t="inlineStr">
        <is>
          <t>Off-Licence</t>
        </is>
      </c>
      <c r="AN75" s="10" t="inlineStr"/>
      <c r="AO75" s="10" t="inlineStr">
        <is>
          <t>Trades as a limited company per 192.com listing ('Castleford Road Off Licence Limited'); Companies House record not yet verified.</t>
        </is>
      </c>
      <c r="AP75" s="10" t="inlineStr">
        <is>
          <t>Low</t>
        </is>
      </c>
      <c r="AQ75" s="10" t="inlineStr">
        <is>
          <t>Independent retailer; Relevant category</t>
        </is>
      </c>
      <c r="AR75" s="10" t="inlineStr">
        <is>
          <t>https://www.192.com/atoz/business/normanton-wf6/convenience-stores/castleford-road-off-licence-limited/bb1e65f2f01c9a4208fc92bb1c8fdf5da42be2ec/comp/</t>
        </is>
      </c>
      <c r="AS75" s="10" t="inlineStr">
        <is>
          <t>https://ratings.food.gov.uk/business/283424</t>
        </is>
      </c>
      <c r="AT75" s="10" t="inlineStr">
        <is>
          <t>2</t>
        </is>
      </c>
      <c r="AU75" s="10" t="inlineStr">
        <is>
          <t>No</t>
        </is>
      </c>
      <c r="AV75" s="10" t="inlineStr">
        <is>
          <t>No</t>
        </is>
      </c>
      <c r="AW75" s="10" t="inlineStr">
        <is>
          <t>No</t>
        </is>
      </c>
      <c r="AX75" s="10" t="inlineStr">
        <is>
          <t>No</t>
        </is>
      </c>
      <c r="AY75" s="10" t="inlineStr">
        <is>
          <t>Verified directory</t>
        </is>
      </c>
      <c r="AZ75" s="10" t="inlineStr">
        <is>
          <t>Not Found</t>
        </is>
      </c>
      <c r="BA75" s="10" t="inlineStr">
        <is>
          <t>2026-09-16</t>
        </is>
      </c>
      <c r="BB75" s="10" t="inlineStr">
        <is>
          <t>Requires Verification</t>
        </is>
      </c>
      <c r="BC75" s="10" t="inlineStr">
        <is>
          <t>Medium</t>
        </is>
      </c>
      <c r="BD75" s="10" t="inlineStr"/>
      <c r="BE75" s="10" t="inlineStr">
        <is>
          <t>Business (B2B)</t>
        </is>
      </c>
      <c r="BF75" s="10" t="inlineStr">
        <is>
          <t>Legitimate interest (B2B) - assess per campaign; PECR: corporate subscribers</t>
        </is>
      </c>
      <c r="BG75" s="10" t="inlineStr"/>
      <c r="BH75" s="10" t="inlineStr">
        <is>
          <t>No</t>
        </is>
      </c>
      <c r="BI75" s="10" t="inlineStr">
        <is>
          <t>2026-09-16</t>
        </is>
      </c>
      <c r="BJ75" s="10" t="inlineStr">
        <is>
          <t>New</t>
        </is>
      </c>
      <c r="BK75" s="10" t="inlineStr">
        <is>
          <t>2026-09-16</t>
        </is>
      </c>
      <c r="BL75" s="10" t="inlineStr"/>
      <c r="BM75" s="10" t="inlineStr"/>
      <c r="BN75" s="10" t="inlineStr"/>
      <c r="BO75" s="10" t="inlineStr"/>
      <c r="BP75" s="10" t="inlineStr"/>
      <c r="BQ75" s="10" t="inlineStr"/>
    </row>
    <row r="76">
      <c r="A76" s="5" t="inlineStr">
        <is>
          <t>WY-0075</t>
        </is>
      </c>
      <c r="B76" s="5" t="inlineStr">
        <is>
          <t>WY-0075-01</t>
        </is>
      </c>
      <c r="C76" s="5" t="inlineStr"/>
      <c r="D76" s="5" t="inlineStr">
        <is>
          <t>Charlesworths</t>
        </is>
      </c>
      <c r="E76" s="5" t="inlineStr">
        <is>
          <t>Charlesworths</t>
        </is>
      </c>
      <c r="F76" s="5" t="inlineStr"/>
      <c r="G76" s="5" t="inlineStr">
        <is>
          <t>Newsagent</t>
        </is>
      </c>
      <c r="H76" s="5" t="inlineStr">
        <is>
          <t>Newsagent, stationer, toys and confectionery</t>
        </is>
      </c>
      <c r="I76" s="5" t="inlineStr">
        <is>
          <t>Independent</t>
        </is>
      </c>
      <c r="J76" s="5" t="inlineStr">
        <is>
          <t>1</t>
        </is>
      </c>
      <c r="K76" s="5" t="inlineStr"/>
      <c r="L76" s="5" t="inlineStr"/>
      <c r="M76" s="5" t="inlineStr"/>
      <c r="N76" s="5" t="inlineStr"/>
      <c r="O76" s="5" t="inlineStr">
        <is>
          <t>27 Victoria Street</t>
        </is>
      </c>
      <c r="P76" s="5" t="inlineStr"/>
      <c r="Q76" s="5" t="inlineStr">
        <is>
          <t>Holmfirth</t>
        </is>
      </c>
      <c r="R76" s="5" t="inlineStr">
        <is>
          <t>West Yorkshire</t>
        </is>
      </c>
      <c r="S76" s="5" t="inlineStr">
        <is>
          <t>HD9 7DF</t>
        </is>
      </c>
      <c r="T76" s="5" t="inlineStr">
        <is>
          <t>Yorkshire &amp; Humber</t>
        </is>
      </c>
      <c r="U76" s="5" t="inlineStr">
        <is>
          <t>England</t>
        </is>
      </c>
      <c r="V76" s="5" t="inlineStr">
        <is>
          <t>01484 681111</t>
        </is>
      </c>
      <c r="W76" s="5" t="inlineStr"/>
      <c r="X76" s="5" t="inlineStr"/>
      <c r="Y76" s="5" t="inlineStr"/>
      <c r="Z76" s="5" t="inlineStr"/>
      <c r="AA76" s="5" t="inlineStr"/>
      <c r="AB76" s="5" t="inlineStr"/>
      <c r="AC76" s="5" t="inlineStr"/>
      <c r="AD76" s="5" t="inlineStr"/>
      <c r="AE76" s="5" t="inlineStr"/>
      <c r="AF76" s="5" t="inlineStr"/>
      <c r="AG76" s="5" t="inlineStr"/>
      <c r="AH76" s="5" t="inlineStr"/>
      <c r="AI76" s="5" t="inlineStr"/>
      <c r="AJ76" s="5" t="inlineStr"/>
      <c r="AK76" s="5" t="inlineStr">
        <is>
          <t>newspapers; magazines; confectionery; toys; stationery</t>
        </is>
      </c>
      <c r="AL76" s="5" t="inlineStr"/>
      <c r="AM76" s="5" t="inlineStr">
        <is>
          <t>Newsagent</t>
        </is>
      </c>
      <c r="AN76" s="5" t="inlineStr"/>
      <c r="AO76" s="5" t="inlineStr">
        <is>
          <t>Newsagent trading on this site since 1891 per Holmfirth Local History Group. A 'CHARLESWORTHS (YORKSHIRE) LIMITED' exists at Companies House but was not confirmed as the same business, so not recorded.</t>
        </is>
      </c>
      <c r="AP76" s="5" t="inlineStr">
        <is>
          <t>Low</t>
        </is>
      </c>
      <c r="AQ76" s="5" t="inlineStr">
        <is>
          <t>Independent retailer; Relevant category</t>
        </is>
      </c>
      <c r="AR76" s="5" t="inlineStr">
        <is>
          <t>https://myindex.co.uk/charlesworths.htm</t>
        </is>
      </c>
      <c r="AS76" s="5" t="inlineStr">
        <is>
          <t>https://citikey.uk/display/charlesworths-B1CQZ</t>
        </is>
      </c>
      <c r="AT76" s="5" t="inlineStr">
        <is>
          <t>3</t>
        </is>
      </c>
      <c r="AU76" s="5" t="inlineStr">
        <is>
          <t>No</t>
        </is>
      </c>
      <c r="AV76" s="5" t="inlineStr">
        <is>
          <t>No</t>
        </is>
      </c>
      <c r="AW76" s="5" t="inlineStr">
        <is>
          <t>No</t>
        </is>
      </c>
      <c r="AX76" s="5" t="inlineStr">
        <is>
          <t>No</t>
        </is>
      </c>
      <c r="AY76" s="5" t="inlineStr">
        <is>
          <t>Verified directory</t>
        </is>
      </c>
      <c r="AZ76" s="5" t="inlineStr">
        <is>
          <t>Not Found</t>
        </is>
      </c>
      <c r="BA76" s="5" t="inlineStr">
        <is>
          <t>2026-09-16</t>
        </is>
      </c>
      <c r="BB76" s="5" t="inlineStr">
        <is>
          <t>Requires Verification</t>
        </is>
      </c>
      <c r="BC76" s="5" t="inlineStr">
        <is>
          <t>Medium</t>
        </is>
      </c>
      <c r="BD76" s="5" t="inlineStr"/>
      <c r="BE76" s="5" t="inlineStr">
        <is>
          <t>Business (B2B)</t>
        </is>
      </c>
      <c r="BF76" s="5" t="inlineStr">
        <is>
          <t>Legitimate interest (B2B) - assess per campaign; PECR: corporate subscribers</t>
        </is>
      </c>
      <c r="BG76" s="5" t="inlineStr"/>
      <c r="BH76" s="5" t="inlineStr">
        <is>
          <t>No</t>
        </is>
      </c>
      <c r="BI76" s="5" t="inlineStr">
        <is>
          <t>2026-09-16</t>
        </is>
      </c>
      <c r="BJ76" s="5" t="inlineStr">
        <is>
          <t>New</t>
        </is>
      </c>
      <c r="BK76" s="5" t="inlineStr">
        <is>
          <t>2026-09-16</t>
        </is>
      </c>
      <c r="BL76" s="5" t="inlineStr"/>
      <c r="BM76" s="5" t="inlineStr"/>
      <c r="BN76" s="5" t="inlineStr"/>
      <c r="BO76" s="5" t="inlineStr"/>
      <c r="BP76" s="5" t="inlineStr"/>
      <c r="BQ76" s="5" t="inlineStr"/>
    </row>
    <row r="77">
      <c r="A77" s="10" t="inlineStr">
        <is>
          <t>WY-0076</t>
        </is>
      </c>
      <c r="B77" s="10" t="inlineStr">
        <is>
          <t>WY-0076-01</t>
        </is>
      </c>
      <c r="C77" s="10" t="inlineStr"/>
      <c r="D77" s="10" t="inlineStr">
        <is>
          <t>Costcutter Wibsey</t>
        </is>
      </c>
      <c r="E77" s="10" t="inlineStr">
        <is>
          <t>Costcutter</t>
        </is>
      </c>
      <c r="F77" s="10" t="inlineStr"/>
      <c r="G77" s="10" t="inlineStr">
        <is>
          <t>Convenience Store</t>
        </is>
      </c>
      <c r="H77" s="10" t="inlineStr">
        <is>
          <t>Symbol-group convenience store</t>
        </is>
      </c>
      <c r="I77" s="10" t="inlineStr">
        <is>
          <t>Franchise / Symbol Group</t>
        </is>
      </c>
      <c r="J77" s="10" t="inlineStr">
        <is>
          <t>1</t>
        </is>
      </c>
      <c r="K77" s="10" t="inlineStr">
        <is>
          <t>https://store-locator.costcutter.co.uk/costcutter-b8ba71542351</t>
        </is>
      </c>
      <c r="L77" s="10" t="inlineStr"/>
      <c r="M77" s="10" t="inlineStr"/>
      <c r="N77" s="10" t="inlineStr"/>
      <c r="O77" s="10" t="inlineStr">
        <is>
          <t>48 Holroyd Hill</t>
        </is>
      </c>
      <c r="P77" s="10" t="inlineStr">
        <is>
          <t>Wibsey</t>
        </is>
      </c>
      <c r="Q77" s="10" t="inlineStr">
        <is>
          <t>Bradford</t>
        </is>
      </c>
      <c r="R77" s="10" t="inlineStr">
        <is>
          <t>West Yorkshire</t>
        </is>
      </c>
      <c r="S77" s="10" t="inlineStr">
        <is>
          <t>BD6 1PQ</t>
        </is>
      </c>
      <c r="T77" s="10" t="inlineStr">
        <is>
          <t>Yorkshire &amp; Humber</t>
        </is>
      </c>
      <c r="U77" s="10" t="inlineStr">
        <is>
          <t>England</t>
        </is>
      </c>
      <c r="V77" s="10" t="inlineStr">
        <is>
          <t>01274 723454</t>
        </is>
      </c>
      <c r="W77" s="10" t="inlineStr"/>
      <c r="X77" s="10" t="inlineStr"/>
      <c r="Y77" s="10" t="inlineStr"/>
      <c r="Z77" s="10" t="inlineStr"/>
      <c r="AA77" s="10" t="inlineStr"/>
      <c r="AB77" s="10" t="inlineStr"/>
      <c r="AC77" s="10" t="inlineStr"/>
      <c r="AD77" s="10" t="inlineStr"/>
      <c r="AE77" s="10" t="inlineStr"/>
      <c r="AF77" s="10" t="inlineStr"/>
      <c r="AG77" s="10" t="inlineStr"/>
      <c r="AH77" s="10" t="inlineStr"/>
      <c r="AI77" s="10" t="inlineStr"/>
      <c r="AJ77" s="10" t="inlineStr"/>
      <c r="AK77" s="10" t="inlineStr">
        <is>
          <t>convenience lines; groceries; alcohol; news</t>
        </is>
      </c>
      <c r="AL77" s="10" t="inlineStr"/>
      <c r="AM77" s="10" t="inlineStr">
        <is>
          <t>Convenience Store</t>
        </is>
      </c>
      <c r="AN77" s="10" t="inlineStr"/>
      <c r="AO77" s="10" t="inlineStr">
        <is>
          <t>Independently owned Costcutter symbol store in Wibsey; address confirmed via Costcutter store locator and local directory listings.</t>
        </is>
      </c>
      <c r="AP77" s="10" t="inlineStr">
        <is>
          <t>Medium</t>
        </is>
      </c>
      <c r="AQ77" s="10" t="inlineStr">
        <is>
          <t>Independent retailer; Relevant category; Active website</t>
        </is>
      </c>
      <c r="AR77" s="10" t="inlineStr">
        <is>
          <t>https://www.yorkshire.com/wibsey/shopping/corner-shops/costcutter-15</t>
        </is>
      </c>
      <c r="AS77" s="10" t="inlineStr">
        <is>
          <t>https://www.locaji.co.uk/west-yorkshire/bradford/costcutter/1616/</t>
        </is>
      </c>
      <c r="AT77" s="10" t="inlineStr">
        <is>
          <t>3</t>
        </is>
      </c>
      <c r="AU77" s="10" t="inlineStr">
        <is>
          <t>No</t>
        </is>
      </c>
      <c r="AV77" s="10" t="inlineStr">
        <is>
          <t>No</t>
        </is>
      </c>
      <c r="AW77" s="10" t="inlineStr">
        <is>
          <t>No</t>
        </is>
      </c>
      <c r="AX77" s="10" t="inlineStr">
        <is>
          <t>No</t>
        </is>
      </c>
      <c r="AY77" s="10" t="inlineStr">
        <is>
          <t>Verified directory</t>
        </is>
      </c>
      <c r="AZ77" s="10" t="inlineStr">
        <is>
          <t>Not Found</t>
        </is>
      </c>
      <c r="BA77" s="10" t="inlineStr">
        <is>
          <t>2026-09-16</t>
        </is>
      </c>
      <c r="BB77" s="10" t="inlineStr">
        <is>
          <t>Requires Verification</t>
        </is>
      </c>
      <c r="BC77" s="10" t="inlineStr">
        <is>
          <t>Medium</t>
        </is>
      </c>
      <c r="BD77" s="10" t="inlineStr"/>
      <c r="BE77" s="10" t="inlineStr">
        <is>
          <t>Business (B2B)</t>
        </is>
      </c>
      <c r="BF77" s="10" t="inlineStr">
        <is>
          <t>Legitimate interest (B2B) - assess per campaign; PECR: corporate subscribers</t>
        </is>
      </c>
      <c r="BG77" s="10" t="inlineStr"/>
      <c r="BH77" s="10" t="inlineStr">
        <is>
          <t>No</t>
        </is>
      </c>
      <c r="BI77" s="10" t="inlineStr">
        <is>
          <t>2026-09-16</t>
        </is>
      </c>
      <c r="BJ77" s="10" t="inlineStr">
        <is>
          <t>New</t>
        </is>
      </c>
      <c r="BK77" s="10" t="inlineStr">
        <is>
          <t>2026-09-16</t>
        </is>
      </c>
      <c r="BL77" s="10" t="inlineStr"/>
      <c r="BM77" s="10" t="inlineStr"/>
      <c r="BN77" s="10" t="inlineStr"/>
      <c r="BO77" s="10" t="inlineStr"/>
      <c r="BP77" s="10" t="inlineStr"/>
      <c r="BQ77" s="10" t="inlineStr"/>
    </row>
    <row r="78">
      <c r="A78" s="5" t="inlineStr">
        <is>
          <t>WY-0077</t>
        </is>
      </c>
      <c r="B78" s="5" t="inlineStr">
        <is>
          <t>WY-0077-01</t>
        </is>
      </c>
      <c r="C78" s="5" t="inlineStr"/>
      <c r="D78" s="5" t="inlineStr">
        <is>
          <t>Cote Hill Filling Station</t>
        </is>
      </c>
      <c r="E78" s="5" t="inlineStr">
        <is>
          <t>Cote Hill Filling Station</t>
        </is>
      </c>
      <c r="F78" s="5" t="inlineStr"/>
      <c r="G78" s="5" t="inlineStr">
        <is>
          <t>Petrol Station / Forecourt</t>
        </is>
      </c>
      <c r="H78" s="5" t="inlineStr">
        <is>
          <t>Esso-branded independent forecourt with shop</t>
        </is>
      </c>
      <c r="I78" s="5" t="inlineStr">
        <is>
          <t>Independent</t>
        </is>
      </c>
      <c r="J78" s="5" t="inlineStr">
        <is>
          <t>1</t>
        </is>
      </c>
      <c r="K78" s="5" t="inlineStr">
        <is>
          <t>https://www.cotehillhalifax.co.uk/</t>
        </is>
      </c>
      <c r="L78" s="5" t="inlineStr">
        <is>
          <t>https://www.facebook.com/cotehillhalifax/</t>
        </is>
      </c>
      <c r="M78" s="5" t="inlineStr"/>
      <c r="N78" s="5" t="inlineStr"/>
      <c r="O78" s="5" t="inlineStr">
        <is>
          <t>Burnley Road</t>
        </is>
      </c>
      <c r="P78" s="5" t="inlineStr">
        <is>
          <t>Cote Hill / King Cross (between Halifax and Sowerby Bridge)</t>
        </is>
      </c>
      <c r="Q78" s="5" t="inlineStr">
        <is>
          <t>Halifax</t>
        </is>
      </c>
      <c r="R78" s="5" t="inlineStr">
        <is>
          <t>West Yorkshire</t>
        </is>
      </c>
      <c r="S78" s="5" t="inlineStr">
        <is>
          <t>HX2 7NB</t>
        </is>
      </c>
      <c r="T78" s="5" t="inlineStr">
        <is>
          <t>Yorkshire &amp; Humber</t>
        </is>
      </c>
      <c r="U78" s="5" t="inlineStr">
        <is>
          <t>England</t>
        </is>
      </c>
      <c r="V78" s="5" t="inlineStr">
        <is>
          <t>01422 835350</t>
        </is>
      </c>
      <c r="W78" s="5" t="inlineStr"/>
      <c r="X78" s="5" t="inlineStr"/>
      <c r="Y78" s="5" t="inlineStr">
        <is>
          <t>cotehillhalifax@gmail.com</t>
        </is>
      </c>
      <c r="Z78" s="5" t="inlineStr"/>
      <c r="AA78" s="5" t="inlineStr"/>
      <c r="AB78" s="5" t="inlineStr"/>
      <c r="AC78" s="5" t="inlineStr"/>
      <c r="AD78" s="5" t="inlineStr"/>
      <c r="AE78" s="5" t="inlineStr"/>
      <c r="AF78" s="5" t="inlineStr"/>
      <c r="AG78" s="5" t="inlineStr"/>
      <c r="AH78" s="5" t="inlineStr"/>
      <c r="AI78" s="5" t="inlineStr"/>
      <c r="AJ78" s="5" t="inlineStr"/>
      <c r="AK78" s="5" t="inlineStr">
        <is>
          <t>fuel (unleaded, diesel, Synergy 99+, gas oil); forecourt shop; car wash</t>
        </is>
      </c>
      <c r="AL78" s="5" t="inlineStr"/>
      <c r="AM78" s="5" t="inlineStr">
        <is>
          <t>Petrol Station / Forecourt</t>
        </is>
      </c>
      <c r="AN78" s="5" t="inlineStr">
        <is>
          <t>Esso fuel supply</t>
        </is>
      </c>
      <c r="AO78" s="5" t="inlineStr">
        <is>
          <t>Independent family forecourt with its own website and Facebook page; open Mon-Sat 06:00-21:00, Sun 07:00-21:00. Website fetch blocked so phone/email not captured.</t>
        </is>
      </c>
      <c r="AP78" s="5" t="inlineStr">
        <is>
          <t>Medium</t>
        </is>
      </c>
      <c r="AQ78" s="5" t="inlineStr">
        <is>
          <t>Independent retailer; Relevant category; Public email available; Active website; Social presence</t>
        </is>
      </c>
      <c r="AR78" s="5" t="inlineStr">
        <is>
          <t>https://www.cotehillhalifax.co.uk/</t>
        </is>
      </c>
      <c r="AS78" s="5" t="inlineStr">
        <is>
          <t>https://www.yell.com/biz/cote-hill-filling-station-halifax-994009/</t>
        </is>
      </c>
      <c r="AT78" s="5" t="inlineStr">
        <is>
          <t>3</t>
        </is>
      </c>
      <c r="AU78" s="5" t="inlineStr">
        <is>
          <t>No</t>
        </is>
      </c>
      <c r="AV78" s="5" t="inlineStr">
        <is>
          <t>No</t>
        </is>
      </c>
      <c r="AW78" s="5" t="inlineStr">
        <is>
          <t>Yes</t>
        </is>
      </c>
      <c r="AX78" s="5" t="inlineStr">
        <is>
          <t>No</t>
        </is>
      </c>
      <c r="AY78" s="5" t="inlineStr">
        <is>
          <t>Verified directory</t>
        </is>
      </c>
      <c r="AZ78" s="5" t="inlineStr">
        <is>
          <t>Website Found</t>
        </is>
      </c>
      <c r="BA78" s="5" t="inlineStr">
        <is>
          <t>2026-09-16</t>
        </is>
      </c>
      <c r="BB78" s="5" t="inlineStr">
        <is>
          <t>Partially Verified</t>
        </is>
      </c>
      <c r="BC78" s="5" t="inlineStr">
        <is>
          <t>Medium</t>
        </is>
      </c>
      <c r="BD78" s="5" t="inlineStr"/>
      <c r="BE78" s="5" t="inlineStr">
        <is>
          <t>Business (B2B)</t>
        </is>
      </c>
      <c r="BF78" s="5" t="inlineStr">
        <is>
          <t>Legitimate interest (B2B) - assess per campaign; PECR: corporate subscribers</t>
        </is>
      </c>
      <c r="BG78" s="5" t="inlineStr"/>
      <c r="BH78" s="5" t="inlineStr">
        <is>
          <t>No</t>
        </is>
      </c>
      <c r="BI78" s="5" t="inlineStr">
        <is>
          <t>2026-09-16</t>
        </is>
      </c>
      <c r="BJ78" s="5" t="inlineStr">
        <is>
          <t>New</t>
        </is>
      </c>
      <c r="BK78" s="5" t="inlineStr">
        <is>
          <t>2026-09-16</t>
        </is>
      </c>
      <c r="BL78" s="5" t="inlineStr"/>
      <c r="BM78" s="5" t="inlineStr"/>
      <c r="BN78" s="5" t="inlineStr"/>
      <c r="BO78" s="5" t="inlineStr"/>
      <c r="BP78" s="5" t="inlineStr"/>
      <c r="BQ78" s="5" t="inlineStr"/>
    </row>
    <row r="79">
      <c r="A79" s="10" t="inlineStr">
        <is>
          <t>WY-0078</t>
        </is>
      </c>
      <c r="B79" s="10" t="inlineStr">
        <is>
          <t>WY-0078-01</t>
        </is>
      </c>
      <c r="C79" s="10" t="inlineStr"/>
      <c r="D79" s="10" t="inlineStr">
        <is>
          <t>Crazycloudzzz</t>
        </is>
      </c>
      <c r="E79" s="10" t="inlineStr">
        <is>
          <t>Crazycloudzzz</t>
        </is>
      </c>
      <c r="F79" s="10" t="inlineStr"/>
      <c r="G79" s="10" t="inlineStr">
        <is>
          <t>Vape Shop</t>
        </is>
      </c>
      <c r="H79" s="10" t="inlineStr"/>
      <c r="I79" s="10" t="inlineStr">
        <is>
          <t>Independent</t>
        </is>
      </c>
      <c r="J79" s="10" t="inlineStr">
        <is>
          <t>1</t>
        </is>
      </c>
      <c r="K79" s="10" t="inlineStr"/>
      <c r="L79" s="10" t="inlineStr"/>
      <c r="M79" s="10" t="inlineStr"/>
      <c r="N79" s="10" t="inlineStr"/>
      <c r="O79" s="10" t="inlineStr">
        <is>
          <t>20 Bull Green</t>
        </is>
      </c>
      <c r="P79" s="10" t="inlineStr"/>
      <c r="Q79" s="10" t="inlineStr">
        <is>
          <t>Halifax</t>
        </is>
      </c>
      <c r="R79" s="10" t="inlineStr">
        <is>
          <t>West Yorkshire</t>
        </is>
      </c>
      <c r="S79" s="10" t="inlineStr">
        <is>
          <t>HX1 5AB</t>
        </is>
      </c>
      <c r="T79" s="10" t="inlineStr">
        <is>
          <t>Yorkshire &amp; Humber</t>
        </is>
      </c>
      <c r="U79" s="10" t="inlineStr">
        <is>
          <t>England</t>
        </is>
      </c>
      <c r="V79" s="10" t="inlineStr"/>
      <c r="W79" s="10" t="inlineStr"/>
      <c r="X79" s="10" t="inlineStr"/>
      <c r="Y79" s="10" t="inlineStr"/>
      <c r="Z79" s="10" t="inlineStr"/>
      <c r="AA79" s="10" t="inlineStr"/>
      <c r="AB79" s="10" t="inlineStr"/>
      <c r="AC79" s="10" t="inlineStr"/>
      <c r="AD79" s="10" t="inlineStr"/>
      <c r="AE79" s="10" t="inlineStr"/>
      <c r="AF79" s="10" t="inlineStr"/>
      <c r="AG79" s="10" t="inlineStr"/>
      <c r="AH79" s="10" t="inlineStr"/>
      <c r="AI79" s="10" t="inlineStr"/>
      <c r="AJ79" s="10" t="inlineStr"/>
      <c r="AK79" s="10" t="inlineStr">
        <is>
          <t>vapes; e-liquids</t>
        </is>
      </c>
      <c r="AL79" s="10" t="inlineStr"/>
      <c r="AM79" s="10" t="inlineStr">
        <is>
          <t>Vape Shop</t>
        </is>
      </c>
      <c r="AN79" s="10" t="inlineStr"/>
      <c r="AO79" s="10" t="inlineStr"/>
      <c r="AP79" s="10" t="inlineStr">
        <is>
          <t>Medium</t>
        </is>
      </c>
      <c r="AQ79" s="10" t="inlineStr">
        <is>
          <t>Independent retailer; Core relevant category</t>
        </is>
      </c>
      <c r="AR79" s="10" t="inlineStr">
        <is>
          <t>https://www.yell.com/s/tobacconists-halifax.html</t>
        </is>
      </c>
      <c r="AS79" s="10" t="inlineStr"/>
      <c r="AT79" s="10" t="inlineStr">
        <is>
          <t>1</t>
        </is>
      </c>
      <c r="AU79" s="10" t="inlineStr">
        <is>
          <t>No</t>
        </is>
      </c>
      <c r="AV79" s="10" t="inlineStr">
        <is>
          <t>No</t>
        </is>
      </c>
      <c r="AW79" s="10" t="inlineStr">
        <is>
          <t>No</t>
        </is>
      </c>
      <c r="AX79" s="10" t="inlineStr">
        <is>
          <t>No</t>
        </is>
      </c>
      <c r="AY79" s="10" t="inlineStr">
        <is>
          <t>Not Found</t>
        </is>
      </c>
      <c r="AZ79" s="10" t="inlineStr">
        <is>
          <t>Not Found</t>
        </is>
      </c>
      <c r="BA79" s="10" t="inlineStr">
        <is>
          <t>2026-09-16</t>
        </is>
      </c>
      <c r="BB79" s="10" t="inlineStr">
        <is>
          <t>Requires Verification</t>
        </is>
      </c>
      <c r="BC79" s="10" t="inlineStr">
        <is>
          <t>Low</t>
        </is>
      </c>
      <c r="BD79" s="10" t="inlineStr"/>
      <c r="BE79" s="10" t="inlineStr">
        <is>
          <t>Business (B2B)</t>
        </is>
      </c>
      <c r="BF79" s="10" t="inlineStr">
        <is>
          <t>Legitimate interest (B2B) - assess per campaign; PECR: corporate subscribers</t>
        </is>
      </c>
      <c r="BG79" s="10" t="inlineStr"/>
      <c r="BH79" s="10" t="inlineStr">
        <is>
          <t>No</t>
        </is>
      </c>
      <c r="BI79" s="10" t="inlineStr">
        <is>
          <t>2026-09-16</t>
        </is>
      </c>
      <c r="BJ79" s="10" t="inlineStr">
        <is>
          <t>New</t>
        </is>
      </c>
      <c r="BK79" s="10" t="inlineStr">
        <is>
          <t>2026-09-16</t>
        </is>
      </c>
      <c r="BL79" s="10" t="inlineStr"/>
      <c r="BM79" s="10" t="inlineStr"/>
      <c r="BN79" s="10" t="inlineStr"/>
      <c r="BO79" s="10" t="inlineStr"/>
      <c r="BP79" s="10" t="inlineStr"/>
      <c r="BQ79" s="10" t="inlineStr"/>
    </row>
    <row r="80">
      <c r="A80" s="5" t="inlineStr">
        <is>
          <t>WY-0079</t>
        </is>
      </c>
      <c r="B80" s="5" t="inlineStr">
        <is>
          <t>WY-0079-01</t>
        </is>
      </c>
      <c r="C80" s="5" t="inlineStr"/>
      <c r="D80" s="5" t="inlineStr">
        <is>
          <t>Crossroads Off Licence &amp; Newsagent</t>
        </is>
      </c>
      <c r="E80" s="5" t="inlineStr">
        <is>
          <t>Crossroads Off Licence &amp; Newsagent</t>
        </is>
      </c>
      <c r="F80" s="5" t="inlineStr"/>
      <c r="G80" s="5" t="inlineStr">
        <is>
          <t>Off-Licence</t>
        </is>
      </c>
      <c r="H80" s="5" t="inlineStr">
        <is>
          <t>Off-licence and newsagent</t>
        </is>
      </c>
      <c r="I80" s="5" t="inlineStr">
        <is>
          <t>Independent</t>
        </is>
      </c>
      <c r="J80" s="5" t="inlineStr">
        <is>
          <t>1</t>
        </is>
      </c>
      <c r="K80" s="5" t="inlineStr"/>
      <c r="L80" s="5" t="inlineStr"/>
      <c r="M80" s="5" t="inlineStr"/>
      <c r="N80" s="5" t="inlineStr"/>
      <c r="O80" s="5" t="inlineStr">
        <is>
          <t>19 Cross Road</t>
        </is>
      </c>
      <c r="P80" s="5" t="inlineStr"/>
      <c r="Q80" s="5" t="inlineStr">
        <is>
          <t>Wakefield</t>
        </is>
      </c>
      <c r="R80" s="5" t="inlineStr">
        <is>
          <t>West Yorkshire</t>
        </is>
      </c>
      <c r="S80" s="5" t="inlineStr"/>
      <c r="T80" s="5" t="inlineStr">
        <is>
          <t>Yorkshire &amp; Humber</t>
        </is>
      </c>
      <c r="U80" s="5" t="inlineStr">
        <is>
          <t>England</t>
        </is>
      </c>
      <c r="V80" s="5" t="inlineStr"/>
      <c r="W80" s="5" t="inlineStr"/>
      <c r="X80" s="5" t="inlineStr"/>
      <c r="Y80" s="5" t="inlineStr"/>
      <c r="Z80" s="5" t="inlineStr"/>
      <c r="AA80" s="5" t="inlineStr"/>
      <c r="AB80" s="5" t="inlineStr"/>
      <c r="AC80" s="5" t="inlineStr"/>
      <c r="AD80" s="5" t="inlineStr"/>
      <c r="AE80" s="5" t="inlineStr"/>
      <c r="AF80" s="5" t="inlineStr"/>
      <c r="AG80" s="5" t="inlineStr"/>
      <c r="AH80" s="5" t="inlineStr"/>
      <c r="AI80" s="5" t="inlineStr"/>
      <c r="AJ80" s="5" t="inlineStr"/>
      <c r="AK80" s="5" t="inlineStr">
        <is>
          <t>alcohol; news and magazines; tobacco; convenience</t>
        </is>
      </c>
      <c r="AL80" s="5" t="inlineStr"/>
      <c r="AM80" s="5" t="inlineStr">
        <is>
          <t>Off-Licence</t>
        </is>
      </c>
      <c r="AN80" s="5" t="inlineStr"/>
      <c r="AO80" s="5" t="inlineStr"/>
      <c r="AP80" s="5" t="inlineStr">
        <is>
          <t>Low</t>
        </is>
      </c>
      <c r="AQ80" s="5" t="inlineStr">
        <is>
          <t>Independent retailer; Relevant category</t>
        </is>
      </c>
      <c r="AR80" s="5" t="inlineStr">
        <is>
          <t>https://m.yelp.com/biz/crossroads-off-licence-and-newsagent-wakefield</t>
        </is>
      </c>
      <c r="AS80" s="5" t="inlineStr"/>
      <c r="AT80" s="5" t="inlineStr">
        <is>
          <t>1</t>
        </is>
      </c>
      <c r="AU80" s="5" t="inlineStr">
        <is>
          <t>No</t>
        </is>
      </c>
      <c r="AV80" s="5" t="inlineStr">
        <is>
          <t>No</t>
        </is>
      </c>
      <c r="AW80" s="5" t="inlineStr">
        <is>
          <t>No</t>
        </is>
      </c>
      <c r="AX80" s="5" t="inlineStr">
        <is>
          <t>No</t>
        </is>
      </c>
      <c r="AY80" s="5" t="inlineStr">
        <is>
          <t>Not Found</t>
        </is>
      </c>
      <c r="AZ80" s="5" t="inlineStr">
        <is>
          <t>Not Found</t>
        </is>
      </c>
      <c r="BA80" s="5" t="inlineStr">
        <is>
          <t>2026-09-16</t>
        </is>
      </c>
      <c r="BB80" s="5" t="inlineStr">
        <is>
          <t>Requires Verification</t>
        </is>
      </c>
      <c r="BC80" s="5" t="inlineStr">
        <is>
          <t>Low</t>
        </is>
      </c>
      <c r="BD80" s="5" t="inlineStr"/>
      <c r="BE80" s="5" t="inlineStr">
        <is>
          <t>Business (B2B)</t>
        </is>
      </c>
      <c r="BF80" s="5" t="inlineStr">
        <is>
          <t>Legitimate interest (B2B) - assess per campaign; PECR: corporate subscribers</t>
        </is>
      </c>
      <c r="BG80" s="5" t="inlineStr"/>
      <c r="BH80" s="5" t="inlineStr">
        <is>
          <t>No</t>
        </is>
      </c>
      <c r="BI80" s="5" t="inlineStr">
        <is>
          <t>2026-09-16</t>
        </is>
      </c>
      <c r="BJ80" s="5" t="inlineStr">
        <is>
          <t>New</t>
        </is>
      </c>
      <c r="BK80" s="5" t="inlineStr">
        <is>
          <t>2026-09-16</t>
        </is>
      </c>
      <c r="BL80" s="5" t="inlineStr"/>
      <c r="BM80" s="5" t="inlineStr"/>
      <c r="BN80" s="5" t="inlineStr"/>
      <c r="BO80" s="5" t="inlineStr"/>
      <c r="BP80" s="5" t="inlineStr"/>
      <c r="BQ80" s="5" t="inlineStr"/>
    </row>
    <row r="81">
      <c r="A81" s="10" t="inlineStr">
        <is>
          <t>WY-0080</t>
        </is>
      </c>
      <c r="B81" s="10" t="inlineStr">
        <is>
          <t>WY-0080-01</t>
        </is>
      </c>
      <c r="C81" s="10" t="inlineStr"/>
      <c r="D81" s="10" t="inlineStr">
        <is>
          <t>Dhillon's Newsagents</t>
        </is>
      </c>
      <c r="E81" s="10" t="inlineStr">
        <is>
          <t>Dhillon's Newsagents</t>
        </is>
      </c>
      <c r="F81" s="10" t="inlineStr"/>
      <c r="G81" s="10" t="inlineStr">
        <is>
          <t>Newsagent</t>
        </is>
      </c>
      <c r="H81" s="10" t="inlineStr"/>
      <c r="I81" s="10" t="inlineStr">
        <is>
          <t>Independent</t>
        </is>
      </c>
      <c r="J81" s="10" t="inlineStr">
        <is>
          <t>1</t>
        </is>
      </c>
      <c r="K81" s="10" t="inlineStr"/>
      <c r="L81" s="10" t="inlineStr"/>
      <c r="M81" s="10" t="inlineStr"/>
      <c r="N81" s="10" t="inlineStr"/>
      <c r="O81" s="10" t="inlineStr">
        <is>
          <t>151 Broad Lane</t>
        </is>
      </c>
      <c r="P81" s="10" t="inlineStr">
        <is>
          <t>Bramley</t>
        </is>
      </c>
      <c r="Q81" s="10" t="inlineStr">
        <is>
          <t>Leeds</t>
        </is>
      </c>
      <c r="R81" s="10" t="inlineStr">
        <is>
          <t>West Yorkshire</t>
        </is>
      </c>
      <c r="S81" s="10" t="inlineStr">
        <is>
          <t>LS13 2JJ</t>
        </is>
      </c>
      <c r="T81" s="10" t="inlineStr">
        <is>
          <t>Yorkshire &amp; Humber</t>
        </is>
      </c>
      <c r="U81" s="10" t="inlineStr">
        <is>
          <t>England</t>
        </is>
      </c>
      <c r="V81" s="10" t="inlineStr">
        <is>
          <t>0113 257 8085</t>
        </is>
      </c>
      <c r="W81" s="10" t="inlineStr"/>
      <c r="X81" s="10" t="inlineStr"/>
      <c r="Y81" s="10" t="inlineStr"/>
      <c r="Z81" s="10" t="inlineStr"/>
      <c r="AA81" s="10" t="inlineStr"/>
      <c r="AB81" s="10" t="inlineStr"/>
      <c r="AC81" s="10" t="inlineStr"/>
      <c r="AD81" s="10" t="inlineStr"/>
      <c r="AE81" s="10" t="inlineStr"/>
      <c r="AF81" s="10" t="inlineStr"/>
      <c r="AG81" s="10" t="inlineStr"/>
      <c r="AH81" s="10" t="inlineStr"/>
      <c r="AI81" s="10" t="inlineStr"/>
      <c r="AJ81" s="10" t="inlineStr"/>
      <c r="AK81" s="10" t="inlineStr">
        <is>
          <t>newspapers; magazines; confectionery; tobacco</t>
        </is>
      </c>
      <c r="AL81" s="10" t="inlineStr"/>
      <c r="AM81" s="10" t="inlineStr">
        <is>
          <t>Newsagent</t>
        </is>
      </c>
      <c r="AN81" s="10" t="inlineStr"/>
      <c r="AO81" s="10" t="inlineStr"/>
      <c r="AP81" s="10" t="inlineStr">
        <is>
          <t>Low</t>
        </is>
      </c>
      <c r="AQ81" s="10" t="inlineStr">
        <is>
          <t>Independent retailer; Relevant category</t>
        </is>
      </c>
      <c r="AR81" s="10" t="inlineStr">
        <is>
          <t>https://findit.yorkshireeveningpost.co.uk/search/leeds/newsagent</t>
        </is>
      </c>
      <c r="AS81" s="10" t="inlineStr">
        <is>
          <t>https://www.192.com/atoz/business/leeds/newsagents/</t>
        </is>
      </c>
      <c r="AT81" s="10" t="inlineStr">
        <is>
          <t>2</t>
        </is>
      </c>
      <c r="AU81" s="10" t="inlineStr">
        <is>
          <t>No</t>
        </is>
      </c>
      <c r="AV81" s="10" t="inlineStr">
        <is>
          <t>No</t>
        </is>
      </c>
      <c r="AW81" s="10" t="inlineStr">
        <is>
          <t>No</t>
        </is>
      </c>
      <c r="AX81" s="10" t="inlineStr">
        <is>
          <t>No</t>
        </is>
      </c>
      <c r="AY81" s="10" t="inlineStr">
        <is>
          <t>Verified directory</t>
        </is>
      </c>
      <c r="AZ81" s="10" t="inlineStr">
        <is>
          <t>Not Found</t>
        </is>
      </c>
      <c r="BA81" s="10" t="inlineStr">
        <is>
          <t>2026-09-16</t>
        </is>
      </c>
      <c r="BB81" s="10" t="inlineStr">
        <is>
          <t>Requires Verification</t>
        </is>
      </c>
      <c r="BC81" s="10" t="inlineStr">
        <is>
          <t>Medium</t>
        </is>
      </c>
      <c r="BD81" s="10" t="inlineStr"/>
      <c r="BE81" s="10" t="inlineStr">
        <is>
          <t>Business (B2B)</t>
        </is>
      </c>
      <c r="BF81" s="10" t="inlineStr">
        <is>
          <t>Legitimate interest (B2B) - assess per campaign; PECR: corporate subscribers</t>
        </is>
      </c>
      <c r="BG81" s="10" t="inlineStr"/>
      <c r="BH81" s="10" t="inlineStr">
        <is>
          <t>No</t>
        </is>
      </c>
      <c r="BI81" s="10" t="inlineStr">
        <is>
          <t>2026-09-16</t>
        </is>
      </c>
      <c r="BJ81" s="10" t="inlineStr">
        <is>
          <t>New</t>
        </is>
      </c>
      <c r="BK81" s="10" t="inlineStr">
        <is>
          <t>2026-09-16</t>
        </is>
      </c>
      <c r="BL81" s="10" t="inlineStr"/>
      <c r="BM81" s="10" t="inlineStr"/>
      <c r="BN81" s="10" t="inlineStr"/>
      <c r="BO81" s="10" t="inlineStr"/>
      <c r="BP81" s="10" t="inlineStr"/>
      <c r="BQ81" s="10" t="inlineStr"/>
    </row>
    <row r="82">
      <c r="A82" s="5" t="inlineStr">
        <is>
          <t>WY-0081</t>
        </is>
      </c>
      <c r="B82" s="5" t="inlineStr">
        <is>
          <t>WY-0081-01</t>
        </is>
      </c>
      <c r="C82" s="5" t="inlineStr"/>
      <c r="D82" s="5" t="inlineStr">
        <is>
          <t>ECigarette Outlet</t>
        </is>
      </c>
      <c r="E82" s="5" t="inlineStr">
        <is>
          <t>ECigarette Outlet</t>
        </is>
      </c>
      <c r="F82" s="5" t="inlineStr"/>
      <c r="G82" s="5" t="inlineStr">
        <is>
          <t>Vape Shop</t>
        </is>
      </c>
      <c r="H82" s="5" t="inlineStr">
        <is>
          <t>E-cigarette retailer</t>
        </is>
      </c>
      <c r="I82" s="5" t="inlineStr">
        <is>
          <t>Independent</t>
        </is>
      </c>
      <c r="J82" s="5" t="inlineStr">
        <is>
          <t>1</t>
        </is>
      </c>
      <c r="K82" s="5" t="inlineStr"/>
      <c r="L82" s="5" t="inlineStr"/>
      <c r="M82" s="5" t="inlineStr"/>
      <c r="N82" s="5" t="inlineStr"/>
      <c r="O82" s="5" t="inlineStr">
        <is>
          <t>27 Kirkgate</t>
        </is>
      </c>
      <c r="P82" s="5" t="inlineStr"/>
      <c r="Q82" s="5" t="inlineStr">
        <is>
          <t>Shipley</t>
        </is>
      </c>
      <c r="R82" s="5" t="inlineStr">
        <is>
          <t>West Yorkshire</t>
        </is>
      </c>
      <c r="S82" s="5" t="inlineStr">
        <is>
          <t>BD18 3QW</t>
        </is>
      </c>
      <c r="T82" s="5" t="inlineStr">
        <is>
          <t>Yorkshire &amp; Humber</t>
        </is>
      </c>
      <c r="U82" s="5" t="inlineStr">
        <is>
          <t>England</t>
        </is>
      </c>
      <c r="V82" s="5" t="inlineStr"/>
      <c r="W82" s="5" t="inlineStr"/>
      <c r="X82" s="5" t="inlineStr"/>
      <c r="Y82" s="5" t="inlineStr"/>
      <c r="Z82" s="5" t="inlineStr"/>
      <c r="AA82" s="5" t="inlineStr"/>
      <c r="AB82" s="5" t="inlineStr"/>
      <c r="AC82" s="5" t="inlineStr"/>
      <c r="AD82" s="5" t="inlineStr"/>
      <c r="AE82" s="5" t="inlineStr"/>
      <c r="AF82" s="5" t="inlineStr"/>
      <c r="AG82" s="5" t="inlineStr"/>
      <c r="AH82" s="5" t="inlineStr"/>
      <c r="AI82" s="5" t="inlineStr"/>
      <c r="AJ82" s="5" t="inlineStr"/>
      <c r="AK82" s="5" t="inlineStr">
        <is>
          <t>vape hardware; e-liquids</t>
        </is>
      </c>
      <c r="AL82" s="5" t="inlineStr"/>
      <c r="AM82" s="5" t="inlineStr">
        <is>
          <t>Vape Shop</t>
        </is>
      </c>
      <c r="AN82" s="5" t="inlineStr"/>
      <c r="AO82" s="5" t="inlineStr">
        <is>
          <t>Listed in the UK eCig Directory with full Shipley town-centre address.</t>
        </is>
      </c>
      <c r="AP82" s="5" t="inlineStr">
        <is>
          <t>Medium</t>
        </is>
      </c>
      <c r="AQ82" s="5" t="inlineStr">
        <is>
          <t>Independent retailer; Core relevant category</t>
        </is>
      </c>
      <c r="AR82" s="5" t="inlineStr">
        <is>
          <t>https://ecigdirectory.co.uk/vape-shop/listing/ecigarette-outlet-shipley</t>
        </is>
      </c>
      <c r="AS82" s="5" t="inlineStr"/>
      <c r="AT82" s="5" t="inlineStr">
        <is>
          <t>1</t>
        </is>
      </c>
      <c r="AU82" s="5" t="inlineStr">
        <is>
          <t>No</t>
        </is>
      </c>
      <c r="AV82" s="5" t="inlineStr">
        <is>
          <t>No</t>
        </is>
      </c>
      <c r="AW82" s="5" t="inlineStr">
        <is>
          <t>No</t>
        </is>
      </c>
      <c r="AX82" s="5" t="inlineStr">
        <is>
          <t>No</t>
        </is>
      </c>
      <c r="AY82" s="5" t="inlineStr">
        <is>
          <t>Not Found</t>
        </is>
      </c>
      <c r="AZ82" s="5" t="inlineStr">
        <is>
          <t>Not Found</t>
        </is>
      </c>
      <c r="BA82" s="5" t="inlineStr">
        <is>
          <t>2026-09-16</t>
        </is>
      </c>
      <c r="BB82" s="5" t="inlineStr">
        <is>
          <t>Requires Verification</t>
        </is>
      </c>
      <c r="BC82" s="5" t="inlineStr">
        <is>
          <t>Medium</t>
        </is>
      </c>
      <c r="BD82" s="5" t="inlineStr"/>
      <c r="BE82" s="5" t="inlineStr">
        <is>
          <t>Business (B2B)</t>
        </is>
      </c>
      <c r="BF82" s="5" t="inlineStr">
        <is>
          <t>Legitimate interest (B2B) - assess per campaign; PECR: corporate subscribers</t>
        </is>
      </c>
      <c r="BG82" s="5" t="inlineStr"/>
      <c r="BH82" s="5" t="inlineStr">
        <is>
          <t>No</t>
        </is>
      </c>
      <c r="BI82" s="5" t="inlineStr">
        <is>
          <t>2026-09-16</t>
        </is>
      </c>
      <c r="BJ82" s="5" t="inlineStr">
        <is>
          <t>New</t>
        </is>
      </c>
      <c r="BK82" s="5" t="inlineStr">
        <is>
          <t>2026-09-16</t>
        </is>
      </c>
      <c r="BL82" s="5" t="inlineStr"/>
      <c r="BM82" s="5" t="inlineStr"/>
      <c r="BN82" s="5" t="inlineStr"/>
      <c r="BO82" s="5" t="inlineStr"/>
      <c r="BP82" s="5" t="inlineStr"/>
      <c r="BQ82" s="5" t="inlineStr"/>
    </row>
    <row r="83">
      <c r="A83" s="10" t="inlineStr">
        <is>
          <t>WY-0082</t>
        </is>
      </c>
      <c r="B83" s="10" t="inlineStr">
        <is>
          <t>WY-0082-01</t>
        </is>
      </c>
      <c r="C83" s="10" t="inlineStr"/>
      <c r="D83" s="10" t="inlineStr">
        <is>
          <t>Ecig N Vape</t>
        </is>
      </c>
      <c r="E83" s="10" t="inlineStr">
        <is>
          <t>Ecig N Vape</t>
        </is>
      </c>
      <c r="F83" s="10" t="inlineStr"/>
      <c r="G83" s="10" t="inlineStr">
        <is>
          <t>Vape Shop</t>
        </is>
      </c>
      <c r="H83" s="10" t="inlineStr">
        <is>
          <t>Vape retailer</t>
        </is>
      </c>
      <c r="I83" s="10" t="inlineStr">
        <is>
          <t>Independent</t>
        </is>
      </c>
      <c r="J83" s="10" t="inlineStr">
        <is>
          <t>1</t>
        </is>
      </c>
      <c r="K83" s="10" t="inlineStr"/>
      <c r="L83" s="10" t="inlineStr"/>
      <c r="M83" s="10" t="inlineStr"/>
      <c r="N83" s="10" t="inlineStr"/>
      <c r="O83" s="10" t="inlineStr">
        <is>
          <t>49 Market Street</t>
        </is>
      </c>
      <c r="P83" s="10" t="inlineStr"/>
      <c r="Q83" s="10" t="inlineStr">
        <is>
          <t>Heckmondwike</t>
        </is>
      </c>
      <c r="R83" s="10" t="inlineStr">
        <is>
          <t>West Yorkshire</t>
        </is>
      </c>
      <c r="S83" s="10" t="inlineStr">
        <is>
          <t>WF16 0EU</t>
        </is>
      </c>
      <c r="T83" s="10" t="inlineStr">
        <is>
          <t>Yorkshire &amp; Humber</t>
        </is>
      </c>
      <c r="U83" s="10" t="inlineStr">
        <is>
          <t>England</t>
        </is>
      </c>
      <c r="V83" s="10" t="inlineStr">
        <is>
          <t>01924 402342</t>
        </is>
      </c>
      <c r="W83" s="10" t="inlineStr"/>
      <c r="X83" s="10" t="inlineStr"/>
      <c r="Y83" s="10" t="inlineStr"/>
      <c r="Z83" s="10" t="inlineStr"/>
      <c r="AA83" s="10" t="inlineStr"/>
      <c r="AB83" s="10" t="inlineStr"/>
      <c r="AC83" s="10" t="inlineStr"/>
      <c r="AD83" s="10" t="inlineStr"/>
      <c r="AE83" s="10" t="inlineStr"/>
      <c r="AF83" s="10" t="inlineStr"/>
      <c r="AG83" s="10" t="inlineStr"/>
      <c r="AH83" s="10" t="inlineStr"/>
      <c r="AI83" s="10" t="inlineStr"/>
      <c r="AJ83" s="10" t="inlineStr"/>
      <c r="AK83" s="10" t="inlineStr">
        <is>
          <t>vape hardware; e-liquids; disposable vapes</t>
        </is>
      </c>
      <c r="AL83" s="10" t="inlineStr"/>
      <c r="AM83" s="10" t="inlineStr">
        <is>
          <t>Vape Shop</t>
        </is>
      </c>
      <c r="AN83" s="10" t="inlineStr"/>
      <c r="AO83" s="10" t="inlineStr"/>
      <c r="AP83" s="10" t="inlineStr">
        <is>
          <t>Medium</t>
        </is>
      </c>
      <c r="AQ83" s="10" t="inlineStr">
        <is>
          <t>Independent retailer; Core relevant category</t>
        </is>
      </c>
      <c r="AR83" s="10" t="inlineStr">
        <is>
          <t>https://heckmondwike.cylex-uk.co.uk/company/ecig-n-vape-26993170.html</t>
        </is>
      </c>
      <c r="AS83" s="10" t="inlineStr">
        <is>
          <t>https://www.tripadvisor.co.uk/Attraction_Review-g3207739-d28330163-Reviews-Ecig_N_Vape-Heckmondwike_Dewsbury_West_Yorkshire_England.html</t>
        </is>
      </c>
      <c r="AT83" s="10" t="inlineStr">
        <is>
          <t>2</t>
        </is>
      </c>
      <c r="AU83" s="10" t="inlineStr">
        <is>
          <t>No</t>
        </is>
      </c>
      <c r="AV83" s="10" t="inlineStr">
        <is>
          <t>No</t>
        </is>
      </c>
      <c r="AW83" s="10" t="inlineStr">
        <is>
          <t>No</t>
        </is>
      </c>
      <c r="AX83" s="10" t="inlineStr">
        <is>
          <t>No</t>
        </is>
      </c>
      <c r="AY83" s="10" t="inlineStr">
        <is>
          <t>Verified directory</t>
        </is>
      </c>
      <c r="AZ83" s="10" t="inlineStr">
        <is>
          <t>Not Found</t>
        </is>
      </c>
      <c r="BA83" s="10" t="inlineStr">
        <is>
          <t>2026-09-16</t>
        </is>
      </c>
      <c r="BB83" s="10" t="inlineStr">
        <is>
          <t>Requires Verification</t>
        </is>
      </c>
      <c r="BC83" s="10" t="inlineStr">
        <is>
          <t>Medium</t>
        </is>
      </c>
      <c r="BD83" s="10" t="inlineStr"/>
      <c r="BE83" s="10" t="inlineStr">
        <is>
          <t>Business (B2B)</t>
        </is>
      </c>
      <c r="BF83" s="10" t="inlineStr">
        <is>
          <t>Legitimate interest (B2B) - assess per campaign; PECR: corporate subscribers</t>
        </is>
      </c>
      <c r="BG83" s="10" t="inlineStr"/>
      <c r="BH83" s="10" t="inlineStr">
        <is>
          <t>No</t>
        </is>
      </c>
      <c r="BI83" s="10" t="inlineStr">
        <is>
          <t>2026-09-16</t>
        </is>
      </c>
      <c r="BJ83" s="10" t="inlineStr">
        <is>
          <t>New</t>
        </is>
      </c>
      <c r="BK83" s="10" t="inlineStr">
        <is>
          <t>2026-09-16</t>
        </is>
      </c>
      <c r="BL83" s="10" t="inlineStr"/>
      <c r="BM83" s="10" t="inlineStr"/>
      <c r="BN83" s="10" t="inlineStr"/>
      <c r="BO83" s="10" t="inlineStr"/>
      <c r="BP83" s="10" t="inlineStr"/>
      <c r="BQ83" s="10" t="inlineStr"/>
    </row>
    <row r="84">
      <c r="A84" s="5" t="inlineStr">
        <is>
          <t>WY-0083</t>
        </is>
      </c>
      <c r="B84" s="5" t="inlineStr">
        <is>
          <t>WY-0083-01</t>
        </is>
      </c>
      <c r="C84" s="5" t="inlineStr"/>
      <c r="D84" s="5" t="inlineStr">
        <is>
          <t>Emporium Vapez</t>
        </is>
      </c>
      <c r="E84" s="5" t="inlineStr">
        <is>
          <t>Emporium Vapez</t>
        </is>
      </c>
      <c r="F84" s="5" t="inlineStr"/>
      <c r="G84" s="5" t="inlineStr">
        <is>
          <t>Vape Shop</t>
        </is>
      </c>
      <c r="H84" s="5" t="inlineStr">
        <is>
          <t>Vape retailer</t>
        </is>
      </c>
      <c r="I84" s="5" t="inlineStr">
        <is>
          <t>Independent</t>
        </is>
      </c>
      <c r="J84" s="5" t="inlineStr">
        <is>
          <t>1</t>
        </is>
      </c>
      <c r="K84" s="5" t="inlineStr"/>
      <c r="L84" s="5" t="inlineStr"/>
      <c r="M84" s="5" t="inlineStr"/>
      <c r="N84" s="5" t="inlineStr"/>
      <c r="O84" s="5" t="inlineStr">
        <is>
          <t>21 Crackenedge Lane</t>
        </is>
      </c>
      <c r="P84" s="5" t="inlineStr"/>
      <c r="Q84" s="5" t="inlineStr">
        <is>
          <t>Dewsbury</t>
        </is>
      </c>
      <c r="R84" s="5" t="inlineStr">
        <is>
          <t>West Yorkshire</t>
        </is>
      </c>
      <c r="S84" s="5" t="inlineStr">
        <is>
          <t>WF13 1PU</t>
        </is>
      </c>
      <c r="T84" s="5" t="inlineStr">
        <is>
          <t>Yorkshire &amp; Humber</t>
        </is>
      </c>
      <c r="U84" s="5" t="inlineStr">
        <is>
          <t>England</t>
        </is>
      </c>
      <c r="V84" s="5" t="inlineStr">
        <is>
          <t>07375 706970</t>
        </is>
      </c>
      <c r="W84" s="5" t="inlineStr"/>
      <c r="X84" s="5" t="inlineStr"/>
      <c r="Y84" s="5" t="inlineStr"/>
      <c r="Z84" s="5" t="inlineStr"/>
      <c r="AA84" s="5" t="inlineStr"/>
      <c r="AB84" s="5" t="inlineStr"/>
      <c r="AC84" s="5" t="inlineStr"/>
      <c r="AD84" s="5" t="inlineStr"/>
      <c r="AE84" s="5" t="inlineStr"/>
      <c r="AF84" s="5" t="inlineStr"/>
      <c r="AG84" s="5" t="inlineStr"/>
      <c r="AH84" s="5" t="inlineStr"/>
      <c r="AI84" s="5" t="inlineStr"/>
      <c r="AJ84" s="5" t="inlineStr"/>
      <c r="AK84" s="5" t="inlineStr">
        <is>
          <t>vape hardware; e-liquids; disposable vapes</t>
        </is>
      </c>
      <c r="AL84" s="5" t="inlineStr"/>
      <c r="AM84" s="5" t="inlineStr">
        <is>
          <t>Vape Shop</t>
        </is>
      </c>
      <c r="AN84" s="5" t="inlineStr"/>
      <c r="AO84" s="5" t="inlineStr"/>
      <c r="AP84" s="5" t="inlineStr">
        <is>
          <t>Medium</t>
        </is>
      </c>
      <c r="AQ84" s="5" t="inlineStr">
        <is>
          <t>Independent retailer; Core relevant category</t>
        </is>
      </c>
      <c r="AR84" s="5" t="inlineStr">
        <is>
          <t>https://www.yelp.com/biz/emporium-vapez-dewsbury</t>
        </is>
      </c>
      <c r="AS84" s="5" t="inlineStr"/>
      <c r="AT84" s="5" t="inlineStr">
        <is>
          <t>1</t>
        </is>
      </c>
      <c r="AU84" s="5" t="inlineStr">
        <is>
          <t>No</t>
        </is>
      </c>
      <c r="AV84" s="5" t="inlineStr">
        <is>
          <t>No</t>
        </is>
      </c>
      <c r="AW84" s="5" t="inlineStr">
        <is>
          <t>No</t>
        </is>
      </c>
      <c r="AX84" s="5" t="inlineStr">
        <is>
          <t>No</t>
        </is>
      </c>
      <c r="AY84" s="5" t="inlineStr">
        <is>
          <t>Verified directory</t>
        </is>
      </c>
      <c r="AZ84" s="5" t="inlineStr">
        <is>
          <t>Not Found</t>
        </is>
      </c>
      <c r="BA84" s="5" t="inlineStr">
        <is>
          <t>2026-09-16</t>
        </is>
      </c>
      <c r="BB84" s="5" t="inlineStr">
        <is>
          <t>Requires Verification</t>
        </is>
      </c>
      <c r="BC84" s="5" t="inlineStr">
        <is>
          <t>Medium</t>
        </is>
      </c>
      <c r="BD84" s="5" t="inlineStr"/>
      <c r="BE84" s="5" t="inlineStr">
        <is>
          <t>Business (B2B)</t>
        </is>
      </c>
      <c r="BF84" s="5" t="inlineStr">
        <is>
          <t>Legitimate interest (B2B) - assess per campaign; PECR: corporate subscribers</t>
        </is>
      </c>
      <c r="BG84" s="5" t="inlineStr"/>
      <c r="BH84" s="5" t="inlineStr">
        <is>
          <t>No</t>
        </is>
      </c>
      <c r="BI84" s="5" t="inlineStr">
        <is>
          <t>2026-09-16</t>
        </is>
      </c>
      <c r="BJ84" s="5" t="inlineStr">
        <is>
          <t>New</t>
        </is>
      </c>
      <c r="BK84" s="5" t="inlineStr">
        <is>
          <t>2026-09-16</t>
        </is>
      </c>
      <c r="BL84" s="5" t="inlineStr"/>
      <c r="BM84" s="5" t="inlineStr"/>
      <c r="BN84" s="5" t="inlineStr"/>
      <c r="BO84" s="5" t="inlineStr"/>
      <c r="BP84" s="5" t="inlineStr"/>
      <c r="BQ84" s="5" t="inlineStr"/>
    </row>
    <row r="85">
      <c r="A85" s="10" t="inlineStr">
        <is>
          <t>WY-0084</t>
        </is>
      </c>
      <c r="B85" s="10" t="inlineStr">
        <is>
          <t>WY-0084-01</t>
        </is>
      </c>
      <c r="C85" s="10" t="inlineStr"/>
      <c r="D85" s="10" t="inlineStr">
        <is>
          <t>FilFoods Filipino Store</t>
        </is>
      </c>
      <c r="E85" s="10" t="inlineStr">
        <is>
          <t>FilFoods</t>
        </is>
      </c>
      <c r="F85" s="10" t="inlineStr"/>
      <c r="G85" s="10" t="inlineStr">
        <is>
          <t>Independent Supermarket</t>
        </is>
      </c>
      <c r="H85" s="10" t="inlineStr">
        <is>
          <t>Filipino supermarket</t>
        </is>
      </c>
      <c r="I85" s="10" t="inlineStr">
        <is>
          <t>Independent</t>
        </is>
      </c>
      <c r="J85" s="10" t="inlineStr">
        <is>
          <t>1</t>
        </is>
      </c>
      <c r="K85" s="10" t="inlineStr"/>
      <c r="L85" s="10" t="inlineStr">
        <is>
          <t>https://www.facebook.com/FilFoods/</t>
        </is>
      </c>
      <c r="M85" s="10" t="inlineStr"/>
      <c r="N85" s="10" t="inlineStr"/>
      <c r="O85" s="10" t="inlineStr">
        <is>
          <t>46b Harehills Road</t>
        </is>
      </c>
      <c r="P85" s="10" t="inlineStr">
        <is>
          <t>Harehills</t>
        </is>
      </c>
      <c r="Q85" s="10" t="inlineStr">
        <is>
          <t>Leeds</t>
        </is>
      </c>
      <c r="R85" s="10" t="inlineStr">
        <is>
          <t>West Yorkshire</t>
        </is>
      </c>
      <c r="S85" s="10" t="inlineStr">
        <is>
          <t>LS8 5PB</t>
        </is>
      </c>
      <c r="T85" s="10" t="inlineStr">
        <is>
          <t>Yorkshire &amp; Humber</t>
        </is>
      </c>
      <c r="U85" s="10" t="inlineStr">
        <is>
          <t>England</t>
        </is>
      </c>
      <c r="V85" s="10" t="inlineStr">
        <is>
          <t>0113 440 1031</t>
        </is>
      </c>
      <c r="W85" s="10" t="inlineStr"/>
      <c r="X85" s="10" t="inlineStr"/>
      <c r="Y85" s="10" t="inlineStr"/>
      <c r="Z85" s="10" t="inlineStr"/>
      <c r="AA85" s="10" t="inlineStr"/>
      <c r="AB85" s="10" t="inlineStr"/>
      <c r="AC85" s="10" t="inlineStr"/>
      <c r="AD85" s="10" t="inlineStr"/>
      <c r="AE85" s="10" t="inlineStr"/>
      <c r="AF85" s="10" t="inlineStr"/>
      <c r="AG85" s="10" t="inlineStr"/>
      <c r="AH85" s="10" t="inlineStr"/>
      <c r="AI85" s="10" t="inlineStr"/>
      <c r="AJ85" s="10" t="inlineStr"/>
      <c r="AK85" s="10" t="inlineStr">
        <is>
          <t>Filipino groceries; frozen meat and fish; fresh produce; convenience goods; money transfer</t>
        </is>
      </c>
      <c r="AL85" s="10" t="inlineStr"/>
      <c r="AM85" s="10" t="inlineStr">
        <is>
          <t>Independent Supermarket</t>
        </is>
      </c>
      <c r="AN85" s="10" t="inlineStr"/>
      <c r="AO85" s="10" t="inlineStr">
        <is>
          <t>Only Filipino store in Yorkshire; 1,800+ product lines in-store and online; agent for LCC Smallworld money transfer; offers scheduled home delivery.</t>
        </is>
      </c>
      <c r="AP85" s="10" t="inlineStr">
        <is>
          <t>Medium</t>
        </is>
      </c>
      <c r="AQ85" s="10" t="inlineStr">
        <is>
          <t>Independent retailer; Relevant category; Social presence</t>
        </is>
      </c>
      <c r="AR85" s="10" t="inlineStr">
        <is>
          <t>https://www.yell.com/biz/filfoods-filipino-store-leeds-8549203/</t>
        </is>
      </c>
      <c r="AS85" s="10" t="inlineStr">
        <is>
          <t>https://directory.grimsbytelegraph.co.uk/company/437837462491136</t>
        </is>
      </c>
      <c r="AT85" s="10" t="inlineStr">
        <is>
          <t>3</t>
        </is>
      </c>
      <c r="AU85" s="10" t="inlineStr">
        <is>
          <t>No</t>
        </is>
      </c>
      <c r="AV85" s="10" t="inlineStr">
        <is>
          <t>No</t>
        </is>
      </c>
      <c r="AW85" s="10" t="inlineStr">
        <is>
          <t>No</t>
        </is>
      </c>
      <c r="AX85" s="10" t="inlineStr">
        <is>
          <t>No</t>
        </is>
      </c>
      <c r="AY85" s="10" t="inlineStr">
        <is>
          <t>Verified directory</t>
        </is>
      </c>
      <c r="AZ85" s="10" t="inlineStr">
        <is>
          <t>Not Found</t>
        </is>
      </c>
      <c r="BA85" s="10" t="inlineStr">
        <is>
          <t>2026-09-16</t>
        </is>
      </c>
      <c r="BB85" s="10" t="inlineStr">
        <is>
          <t>Requires Verification</t>
        </is>
      </c>
      <c r="BC85" s="10" t="inlineStr">
        <is>
          <t>Medium</t>
        </is>
      </c>
      <c r="BD85" s="10" t="inlineStr"/>
      <c r="BE85" s="10" t="inlineStr">
        <is>
          <t>Business (B2B)</t>
        </is>
      </c>
      <c r="BF85" s="10" t="inlineStr">
        <is>
          <t>Legitimate interest (B2B) - assess per campaign; PECR: corporate subscribers</t>
        </is>
      </c>
      <c r="BG85" s="10" t="inlineStr"/>
      <c r="BH85" s="10" t="inlineStr">
        <is>
          <t>No</t>
        </is>
      </c>
      <c r="BI85" s="10" t="inlineStr">
        <is>
          <t>2026-09-16</t>
        </is>
      </c>
      <c r="BJ85" s="10" t="inlineStr">
        <is>
          <t>New</t>
        </is>
      </c>
      <c r="BK85" s="10" t="inlineStr">
        <is>
          <t>2026-09-16</t>
        </is>
      </c>
      <c r="BL85" s="10" t="inlineStr"/>
      <c r="BM85" s="10" t="inlineStr"/>
      <c r="BN85" s="10" t="inlineStr"/>
      <c r="BO85" s="10" t="inlineStr"/>
      <c r="BP85" s="10" t="inlineStr"/>
      <c r="BQ85" s="10" t="inlineStr"/>
    </row>
    <row r="86">
      <c r="A86" s="5" t="inlineStr">
        <is>
          <t>WY-0085</t>
        </is>
      </c>
      <c r="B86" s="5" t="inlineStr">
        <is>
          <t>WY-0085-01</t>
        </is>
      </c>
      <c r="C86" s="5" t="inlineStr"/>
      <c r="D86" s="5" t="inlineStr">
        <is>
          <t>Forever Vapes</t>
        </is>
      </c>
      <c r="E86" s="5" t="inlineStr">
        <is>
          <t>Forever Vapes</t>
        </is>
      </c>
      <c r="F86" s="5" t="inlineStr">
        <is>
          <t>Forever Vapes Ltd</t>
        </is>
      </c>
      <c r="G86" s="5" t="inlineStr">
        <is>
          <t>Vape Shop</t>
        </is>
      </c>
      <c r="H86" s="5" t="inlineStr">
        <is>
          <t>Vape retailer</t>
        </is>
      </c>
      <c r="I86" s="5" t="inlineStr">
        <is>
          <t>Independent</t>
        </is>
      </c>
      <c r="J86" s="5" t="inlineStr">
        <is>
          <t>1</t>
        </is>
      </c>
      <c r="K86" s="5" t="inlineStr"/>
      <c r="L86" s="5" t="inlineStr"/>
      <c r="M86" s="5" t="inlineStr"/>
      <c r="N86" s="5" t="inlineStr"/>
      <c r="O86" s="5" t="inlineStr">
        <is>
          <t>Market Street</t>
        </is>
      </c>
      <c r="P86" s="5" t="inlineStr"/>
      <c r="Q86" s="5" t="inlineStr">
        <is>
          <t>Heckmondwike</t>
        </is>
      </c>
      <c r="R86" s="5" t="inlineStr">
        <is>
          <t>West Yorkshire</t>
        </is>
      </c>
      <c r="S86" s="5" t="inlineStr">
        <is>
          <t>WF16 0JU</t>
        </is>
      </c>
      <c r="T86" s="5" t="inlineStr">
        <is>
          <t>Yorkshire &amp; Humber</t>
        </is>
      </c>
      <c r="U86" s="5" t="inlineStr">
        <is>
          <t>England</t>
        </is>
      </c>
      <c r="V86" s="5" t="inlineStr"/>
      <c r="W86" s="5" t="inlineStr"/>
      <c r="X86" s="5" t="inlineStr"/>
      <c r="Y86" s="5" t="inlineStr"/>
      <c r="Z86" s="5" t="inlineStr"/>
      <c r="AA86" s="5" t="inlineStr"/>
      <c r="AB86" s="5" t="inlineStr"/>
      <c r="AC86" s="5" t="inlineStr"/>
      <c r="AD86" s="5" t="inlineStr"/>
      <c r="AE86" s="5" t="inlineStr"/>
      <c r="AF86" s="5" t="inlineStr"/>
      <c r="AG86" s="5" t="inlineStr"/>
      <c r="AH86" s="5" t="inlineStr"/>
      <c r="AI86" s="5" t="inlineStr"/>
      <c r="AJ86" s="5" t="inlineStr"/>
      <c r="AK86" s="5" t="inlineStr">
        <is>
          <t>vape hardware; e-liquids</t>
        </is>
      </c>
      <c r="AL86" s="5" t="inlineStr"/>
      <c r="AM86" s="5" t="inlineStr">
        <is>
          <t>Vape Shop</t>
        </is>
      </c>
      <c r="AN86" s="5" t="inlineStr"/>
      <c r="AO86" s="5" t="inlineStr">
        <is>
          <t>Directory lists it as 'Forever Vapes LTD', Market Street WF16 0JU; street number and phone not published in accessible sources.</t>
        </is>
      </c>
      <c r="AP86" s="5" t="inlineStr">
        <is>
          <t>Medium</t>
        </is>
      </c>
      <c r="AQ86" s="5" t="inlineStr">
        <is>
          <t>Independent retailer; Core relevant category</t>
        </is>
      </c>
      <c r="AR86" s="5" t="inlineStr">
        <is>
          <t>https://vapeshops.puffingbird.com/yorkshire-and-the-humber/heckmondwike/forever-vapes-ltd</t>
        </is>
      </c>
      <c r="AS86" s="5" t="inlineStr"/>
      <c r="AT86" s="5" t="inlineStr">
        <is>
          <t>1</t>
        </is>
      </c>
      <c r="AU86" s="5" t="inlineStr">
        <is>
          <t>No</t>
        </is>
      </c>
      <c r="AV86" s="5" t="inlineStr">
        <is>
          <t>No</t>
        </is>
      </c>
      <c r="AW86" s="5" t="inlineStr">
        <is>
          <t>No</t>
        </is>
      </c>
      <c r="AX86" s="5" t="inlineStr">
        <is>
          <t>No</t>
        </is>
      </c>
      <c r="AY86" s="5" t="inlineStr">
        <is>
          <t>Not Found</t>
        </is>
      </c>
      <c r="AZ86" s="5" t="inlineStr">
        <is>
          <t>Not Found</t>
        </is>
      </c>
      <c r="BA86" s="5" t="inlineStr">
        <is>
          <t>2026-09-16</t>
        </is>
      </c>
      <c r="BB86" s="5" t="inlineStr">
        <is>
          <t>Requires Verification</t>
        </is>
      </c>
      <c r="BC86" s="5" t="inlineStr">
        <is>
          <t>Low</t>
        </is>
      </c>
      <c r="BD86" s="5" t="inlineStr"/>
      <c r="BE86" s="5" t="inlineStr">
        <is>
          <t>Business (B2B)</t>
        </is>
      </c>
      <c r="BF86" s="5" t="inlineStr">
        <is>
          <t>Legitimate interest (B2B) - assess per campaign; PECR: corporate subscribers</t>
        </is>
      </c>
      <c r="BG86" s="5" t="inlineStr"/>
      <c r="BH86" s="5" t="inlineStr">
        <is>
          <t>No</t>
        </is>
      </c>
      <c r="BI86" s="5" t="inlineStr">
        <is>
          <t>2026-09-16</t>
        </is>
      </c>
      <c r="BJ86" s="5" t="inlineStr">
        <is>
          <t>New</t>
        </is>
      </c>
      <c r="BK86" s="5" t="inlineStr">
        <is>
          <t>2026-09-16</t>
        </is>
      </c>
      <c r="BL86" s="5" t="inlineStr"/>
      <c r="BM86" s="5" t="inlineStr"/>
      <c r="BN86" s="5" t="inlineStr"/>
      <c r="BO86" s="5" t="inlineStr"/>
      <c r="BP86" s="5" t="inlineStr"/>
      <c r="BQ86" s="5" t="inlineStr"/>
    </row>
    <row r="87">
      <c r="A87" s="10" t="inlineStr">
        <is>
          <t>WY-0086</t>
        </is>
      </c>
      <c r="B87" s="10" t="inlineStr">
        <is>
          <t>WY-0086-01</t>
        </is>
      </c>
      <c r="C87" s="10" t="inlineStr"/>
      <c r="D87" s="10" t="inlineStr">
        <is>
          <t>FreshCo Wakefield</t>
        </is>
      </c>
      <c r="E87" s="10" t="inlineStr">
        <is>
          <t>FreshCo</t>
        </is>
      </c>
      <c r="F87" s="10" t="inlineStr">
        <is>
          <t>Fresh Co Superstore Ltd</t>
        </is>
      </c>
      <c r="G87" s="10" t="inlineStr">
        <is>
          <t>Independent Supermarket</t>
        </is>
      </c>
      <c r="H87" s="10" t="inlineStr">
        <is>
          <t>Halal / world foods supermarket with Turkish restaurant and cafe</t>
        </is>
      </c>
      <c r="I87" s="10" t="inlineStr">
        <is>
          <t>Independent</t>
        </is>
      </c>
      <c r="J87" s="10" t="inlineStr">
        <is>
          <t>1</t>
        </is>
      </c>
      <c r="K87" s="10" t="inlineStr">
        <is>
          <t>https://freshcowakefield.com</t>
        </is>
      </c>
      <c r="L87" s="10" t="inlineStr">
        <is>
          <t>https://www.facebook.com/FreshCoWakefield/</t>
        </is>
      </c>
      <c r="M87" s="10" t="inlineStr"/>
      <c r="N87" s="10" t="inlineStr"/>
      <c r="O87" s="10" t="inlineStr">
        <is>
          <t>St Andrews Hall, Upper Warrengate</t>
        </is>
      </c>
      <c r="P87" s="10" t="inlineStr"/>
      <c r="Q87" s="10" t="inlineStr">
        <is>
          <t>Wakefield</t>
        </is>
      </c>
      <c r="R87" s="10" t="inlineStr">
        <is>
          <t>West Yorkshire</t>
        </is>
      </c>
      <c r="S87" s="10" t="inlineStr">
        <is>
          <t>WF1 4JZ</t>
        </is>
      </c>
      <c r="T87" s="10" t="inlineStr">
        <is>
          <t>Yorkshire &amp; Humber</t>
        </is>
      </c>
      <c r="U87" s="10" t="inlineStr">
        <is>
          <t>England</t>
        </is>
      </c>
      <c r="V87" s="10" t="inlineStr">
        <is>
          <t>01924 781869</t>
        </is>
      </c>
      <c r="W87" s="10" t="inlineStr"/>
      <c r="X87" s="10" t="inlineStr"/>
      <c r="Y87" s="10" t="inlineStr">
        <is>
          <t>Hoa1@hotmail.co.uk</t>
        </is>
      </c>
      <c r="Z87" s="10" t="inlineStr"/>
      <c r="AA87" s="10" t="inlineStr"/>
      <c r="AB87" s="10" t="inlineStr">
        <is>
          <t>Aras Ali</t>
        </is>
      </c>
      <c r="AC87" s="10" t="inlineStr">
        <is>
          <t>Owner</t>
        </is>
      </c>
      <c r="AD87" s="10" t="inlineStr">
        <is>
          <t>Named as FreshCo owner in Wakefield Express feature article (2023)</t>
        </is>
      </c>
      <c r="AE87" s="10" t="inlineStr">
        <is>
          <t>13746881</t>
        </is>
      </c>
      <c r="AF87" s="10" t="inlineStr">
        <is>
          <t>Active</t>
        </is>
      </c>
      <c r="AG87" s="10" t="inlineStr">
        <is>
          <t>FRESH CO SUPERSTORE LTD</t>
        </is>
      </c>
      <c r="AH87" s="10" t="inlineStr"/>
      <c r="AI87" s="10" t="inlineStr">
        <is>
          <t>2021-11-16</t>
        </is>
      </c>
      <c r="AJ87" s="10" t="inlineStr"/>
      <c r="AK87" s="10" t="inlineStr">
        <is>
          <t>world foods (European, Asian, African, Middle Eastern); halal meat; fresh produce; bakery</t>
        </is>
      </c>
      <c r="AL87" s="10" t="inlineStr"/>
      <c r="AM87" s="10" t="inlineStr">
        <is>
          <t>Independent Supermarket</t>
        </is>
      </c>
      <c r="AN87" s="10" t="inlineStr"/>
      <c r="AO87" s="10" t="inlineStr">
        <is>
          <t>Purpose-built store with own car park, open 8am-9pm daily; opened circa late 2022/early 2023. Owner opened his first supermarket in London before Wakefield.</t>
        </is>
      </c>
      <c r="AP87" s="10" t="inlineStr">
        <is>
          <t>Medium</t>
        </is>
      </c>
      <c r="AQ87" s="10" t="inlineStr">
        <is>
          <t>Independent retailer; Relevant category; Public email available; Active website; Social presence</t>
        </is>
      </c>
      <c r="AR87" s="10" t="inlineStr">
        <is>
          <t>https://freshcowakefield.com/restaurant</t>
        </is>
      </c>
      <c r="AS87" s="10" t="inlineStr">
        <is>
          <t>https://find-and-update.company-information.service.gov.uk/company/13746881</t>
        </is>
      </c>
      <c r="AT87" s="10" t="inlineStr">
        <is>
          <t>4</t>
        </is>
      </c>
      <c r="AU87" s="10" t="inlineStr">
        <is>
          <t>No</t>
        </is>
      </c>
      <c r="AV87" s="10" t="inlineStr">
        <is>
          <t>No</t>
        </is>
      </c>
      <c r="AW87" s="10" t="inlineStr">
        <is>
          <t>Yes</t>
        </is>
      </c>
      <c r="AX87" s="10" t="inlineStr">
        <is>
          <t>Yes</t>
        </is>
      </c>
      <c r="AY87" s="10" t="inlineStr">
        <is>
          <t>Verified directory</t>
        </is>
      </c>
      <c r="AZ87" s="10" t="inlineStr">
        <is>
          <t>Website Found</t>
        </is>
      </c>
      <c r="BA87" s="10" t="inlineStr">
        <is>
          <t>2026-09-16</t>
        </is>
      </c>
      <c r="BB87" s="10" t="inlineStr">
        <is>
          <t>Partially Verified</t>
        </is>
      </c>
      <c r="BC87" s="10" t="inlineStr">
        <is>
          <t>Medium</t>
        </is>
      </c>
      <c r="BD87" s="10" t="inlineStr"/>
      <c r="BE87" s="10" t="inlineStr">
        <is>
          <t>Business (B2B)</t>
        </is>
      </c>
      <c r="BF87" s="10" t="inlineStr">
        <is>
          <t>Legitimate interest (B2B) - assess per campaign; PECR: corporate subscribers</t>
        </is>
      </c>
      <c r="BG87" s="10" t="inlineStr"/>
      <c r="BH87" s="10" t="inlineStr">
        <is>
          <t>No</t>
        </is>
      </c>
      <c r="BI87" s="10" t="inlineStr">
        <is>
          <t>2026-09-16</t>
        </is>
      </c>
      <c r="BJ87" s="10" t="inlineStr">
        <is>
          <t>New</t>
        </is>
      </c>
      <c r="BK87" s="10" t="inlineStr">
        <is>
          <t>2026-09-16</t>
        </is>
      </c>
      <c r="BL87" s="10" t="inlineStr"/>
      <c r="BM87" s="10" t="inlineStr"/>
      <c r="BN87" s="10" t="inlineStr"/>
      <c r="BO87" s="10" t="inlineStr"/>
      <c r="BP87" s="10" t="inlineStr"/>
      <c r="BQ87" s="10" t="inlineStr"/>
    </row>
    <row r="88">
      <c r="A88" s="5" t="inlineStr">
        <is>
          <t>WY-0087</t>
        </is>
      </c>
      <c r="B88" s="5" t="inlineStr">
        <is>
          <t>WY-0087-01</t>
        </is>
      </c>
      <c r="C88" s="5" t="inlineStr"/>
      <c r="D88" s="5" t="inlineStr">
        <is>
          <t>Freshco UK</t>
        </is>
      </c>
      <c r="E88" s="5" t="inlineStr">
        <is>
          <t>Freshco</t>
        </is>
      </c>
      <c r="F88" s="5" t="inlineStr">
        <is>
          <t>Freshco UK Ltd</t>
        </is>
      </c>
      <c r="G88" s="5" t="inlineStr">
        <is>
          <t>Convenience Store</t>
        </is>
      </c>
      <c r="H88" s="5" t="inlineStr">
        <is>
          <t>Grocery store with halal meat</t>
        </is>
      </c>
      <c r="I88" s="5" t="inlineStr">
        <is>
          <t>Independent</t>
        </is>
      </c>
      <c r="J88" s="5" t="inlineStr">
        <is>
          <t>1</t>
        </is>
      </c>
      <c r="K88" s="5" t="inlineStr"/>
      <c r="L88" s="5" t="inlineStr"/>
      <c r="M88" s="5" t="inlineStr"/>
      <c r="N88" s="5" t="inlineStr"/>
      <c r="O88" s="5" t="inlineStr"/>
      <c r="P88" s="5" t="inlineStr">
        <is>
          <t>Manningham</t>
        </is>
      </c>
      <c r="Q88" s="5" t="inlineStr">
        <is>
          <t>Bradford</t>
        </is>
      </c>
      <c r="R88" s="5" t="inlineStr">
        <is>
          <t>West Yorkshire</t>
        </is>
      </c>
      <c r="S88" s="5" t="inlineStr"/>
      <c r="T88" s="5" t="inlineStr">
        <is>
          <t>Yorkshire &amp; Humber</t>
        </is>
      </c>
      <c r="U88" s="5" t="inlineStr">
        <is>
          <t>England</t>
        </is>
      </c>
      <c r="V88" s="5" t="inlineStr"/>
      <c r="W88" s="5" t="inlineStr"/>
      <c r="X88" s="5" t="inlineStr"/>
      <c r="Y88" s="5" t="inlineStr"/>
      <c r="Z88" s="5" t="inlineStr"/>
      <c r="AA88" s="5" t="inlineStr"/>
      <c r="AB88" s="5" t="inlineStr"/>
      <c r="AC88" s="5" t="inlineStr"/>
      <c r="AD88" s="5" t="inlineStr"/>
      <c r="AE88" s="5" t="inlineStr"/>
      <c r="AF88" s="5" t="inlineStr"/>
      <c r="AG88" s="5" t="inlineStr"/>
      <c r="AH88" s="5" t="inlineStr"/>
      <c r="AI88" s="5" t="inlineStr"/>
      <c r="AJ88" s="5" t="inlineStr"/>
      <c r="AK88" s="5" t="inlineStr">
        <is>
          <t>groceries; halal meat; fresh produce</t>
        </is>
      </c>
      <c r="AL88" s="5" t="inlineStr"/>
      <c r="AM88" s="5" t="inlineStr">
        <is>
          <t>Convenience Store</t>
        </is>
      </c>
      <c r="AN88" s="5" t="inlineStr"/>
      <c r="AO88" s="5" t="inlineStr">
        <is>
          <t>Grocery store in Manningham, Bradford, offering halal meat (directory listing). Street address not captured - needs enrichment. Legal name taken from listing title 'FRESHCO UK LTD', not yet Companies House verified.</t>
        </is>
      </c>
      <c r="AP88" s="5" t="inlineStr">
        <is>
          <t>Low</t>
        </is>
      </c>
      <c r="AQ88" s="5" t="inlineStr">
        <is>
          <t>Independent retailer; Relevant category</t>
        </is>
      </c>
      <c r="AR88" s="5" t="inlineStr">
        <is>
          <t>https://freshco-uk-ltd.wheree.com/</t>
        </is>
      </c>
      <c r="AS88" s="5" t="inlineStr"/>
      <c r="AT88" s="5" t="inlineStr">
        <is>
          <t>1</t>
        </is>
      </c>
      <c r="AU88" s="5" t="inlineStr">
        <is>
          <t>No</t>
        </is>
      </c>
      <c r="AV88" s="5" t="inlineStr">
        <is>
          <t>No</t>
        </is>
      </c>
      <c r="AW88" s="5" t="inlineStr">
        <is>
          <t>No</t>
        </is>
      </c>
      <c r="AX88" s="5" t="inlineStr">
        <is>
          <t>No</t>
        </is>
      </c>
      <c r="AY88" s="5" t="inlineStr">
        <is>
          <t>Not Found</t>
        </is>
      </c>
      <c r="AZ88" s="5" t="inlineStr">
        <is>
          <t>Not Found</t>
        </is>
      </c>
      <c r="BA88" s="5" t="inlineStr">
        <is>
          <t>2026-09-16</t>
        </is>
      </c>
      <c r="BB88" s="5" t="inlineStr">
        <is>
          <t>Requires Verification</t>
        </is>
      </c>
      <c r="BC88" s="5" t="inlineStr">
        <is>
          <t>Low</t>
        </is>
      </c>
      <c r="BD88" s="5" t="inlineStr"/>
      <c r="BE88" s="5" t="inlineStr">
        <is>
          <t>Business (B2B)</t>
        </is>
      </c>
      <c r="BF88" s="5" t="inlineStr">
        <is>
          <t>Legitimate interest (B2B) - assess per campaign; PECR: corporate subscribers</t>
        </is>
      </c>
      <c r="BG88" s="5" t="inlineStr"/>
      <c r="BH88" s="5" t="inlineStr">
        <is>
          <t>No</t>
        </is>
      </c>
      <c r="BI88" s="5" t="inlineStr">
        <is>
          <t>2026-09-16</t>
        </is>
      </c>
      <c r="BJ88" s="5" t="inlineStr">
        <is>
          <t>New</t>
        </is>
      </c>
      <c r="BK88" s="5" t="inlineStr">
        <is>
          <t>2026-09-16</t>
        </is>
      </c>
      <c r="BL88" s="5" t="inlineStr"/>
      <c r="BM88" s="5" t="inlineStr"/>
      <c r="BN88" s="5" t="inlineStr"/>
      <c r="BO88" s="5" t="inlineStr"/>
      <c r="BP88" s="5" t="inlineStr"/>
      <c r="BQ88" s="5" t="inlineStr"/>
    </row>
    <row r="89">
      <c r="A89" s="10" t="inlineStr">
        <is>
          <t>WY-0088</t>
        </is>
      </c>
      <c r="B89" s="10" t="inlineStr">
        <is>
          <t>WY-0088-01</t>
        </is>
      </c>
      <c r="C89" s="10" t="inlineStr"/>
      <c r="D89" s="10" t="inlineStr">
        <is>
          <t>Get Plugged</t>
        </is>
      </c>
      <c r="E89" s="10" t="inlineStr">
        <is>
          <t>Get Plugged</t>
        </is>
      </c>
      <c r="F89" s="10" t="inlineStr"/>
      <c r="G89" s="10" t="inlineStr">
        <is>
          <t>Vape Shop</t>
        </is>
      </c>
      <c r="H89" s="10" t="inlineStr">
        <is>
          <t>Vape shop and convenience snacks</t>
        </is>
      </c>
      <c r="I89" s="10" t="inlineStr">
        <is>
          <t>Independent</t>
        </is>
      </c>
      <c r="J89" s="10" t="inlineStr">
        <is>
          <t>1</t>
        </is>
      </c>
      <c r="K89" s="10" t="inlineStr">
        <is>
          <t>https://getplugged.co.uk/</t>
        </is>
      </c>
      <c r="L89" s="10" t="inlineStr">
        <is>
          <t>https://www.facebook.com/p/Get-Plugged-61559687350403/</t>
        </is>
      </c>
      <c r="M89" s="10" t="inlineStr"/>
      <c r="N89" s="10" t="inlineStr"/>
      <c r="O89" s="10" t="inlineStr">
        <is>
          <t>Bradford Road</t>
        </is>
      </c>
      <c r="P89" s="10" t="inlineStr"/>
      <c r="Q89" s="10" t="inlineStr">
        <is>
          <t>Huddersfield</t>
        </is>
      </c>
      <c r="R89" s="10" t="inlineStr">
        <is>
          <t>West Yorkshire</t>
        </is>
      </c>
      <c r="S89" s="10" t="inlineStr"/>
      <c r="T89" s="10" t="inlineStr">
        <is>
          <t>Yorkshire &amp; Humber</t>
        </is>
      </c>
      <c r="U89" s="10" t="inlineStr">
        <is>
          <t>England</t>
        </is>
      </c>
      <c r="V89" s="10" t="inlineStr"/>
      <c r="W89" s="10" t="inlineStr"/>
      <c r="X89" s="10" t="inlineStr"/>
      <c r="Y89" s="10" t="inlineStr"/>
      <c r="Z89" s="10" t="inlineStr"/>
      <c r="AA89" s="10" t="inlineStr"/>
      <c r="AB89" s="10" t="inlineStr"/>
      <c r="AC89" s="10" t="inlineStr"/>
      <c r="AD89" s="10" t="inlineStr"/>
      <c r="AE89" s="10" t="inlineStr"/>
      <c r="AF89" s="10" t="inlineStr"/>
      <c r="AG89" s="10" t="inlineStr"/>
      <c r="AH89" s="10" t="inlineStr"/>
      <c r="AI89" s="10" t="inlineStr"/>
      <c r="AJ89" s="10" t="inlineStr"/>
      <c r="AK89" s="10" t="inlineStr">
        <is>
          <t>vape hardware; e-liquids; disposable vapes; snacks and drinks</t>
        </is>
      </c>
      <c r="AL89" s="10" t="inlineStr"/>
      <c r="AM89" s="10" t="inlineStr">
        <is>
          <t>Vape Shop</t>
        </is>
      </c>
      <c r="AN89" s="10" t="inlineStr"/>
      <c r="AO89" s="10" t="inlineStr">
        <is>
          <t>Open 10am-midnight seven days. Street number and postcode not published in accessible sources; own site getplugged.co.uk could not be fetched (proxy blocked).</t>
        </is>
      </c>
      <c r="AP89" s="10" t="inlineStr">
        <is>
          <t>Medium</t>
        </is>
      </c>
      <c r="AQ89" s="10" t="inlineStr">
        <is>
          <t>Independent retailer; Core relevant category; Active website; Social presence</t>
        </is>
      </c>
      <c r="AR89" s="10" t="inlineStr">
        <is>
          <t>https://getplugged.co.uk/</t>
        </is>
      </c>
      <c r="AS89" s="10" t="inlineStr">
        <is>
          <t>https://www.facebook.com/p/Get-Plugged-61559687350403/</t>
        </is>
      </c>
      <c r="AT89" s="10" t="inlineStr">
        <is>
          <t>3</t>
        </is>
      </c>
      <c r="AU89" s="10" t="inlineStr">
        <is>
          <t>No</t>
        </is>
      </c>
      <c r="AV89" s="10" t="inlineStr">
        <is>
          <t>No</t>
        </is>
      </c>
      <c r="AW89" s="10" t="inlineStr">
        <is>
          <t>No</t>
        </is>
      </c>
      <c r="AX89" s="10" t="inlineStr">
        <is>
          <t>No</t>
        </is>
      </c>
      <c r="AY89" s="10" t="inlineStr">
        <is>
          <t>Not Found</t>
        </is>
      </c>
      <c r="AZ89" s="10" t="inlineStr">
        <is>
          <t>Website Found</t>
        </is>
      </c>
      <c r="BA89" s="10" t="inlineStr">
        <is>
          <t>2026-09-16</t>
        </is>
      </c>
      <c r="BB89" s="10" t="inlineStr">
        <is>
          <t>Requires Verification</t>
        </is>
      </c>
      <c r="BC89" s="10" t="inlineStr">
        <is>
          <t>Medium</t>
        </is>
      </c>
      <c r="BD89" s="10" t="inlineStr"/>
      <c r="BE89" s="10" t="inlineStr">
        <is>
          <t>Business (B2B)</t>
        </is>
      </c>
      <c r="BF89" s="10" t="inlineStr">
        <is>
          <t>Legitimate interest (B2B) - assess per campaign; PECR: corporate subscribers</t>
        </is>
      </c>
      <c r="BG89" s="10" t="inlineStr"/>
      <c r="BH89" s="10" t="inlineStr">
        <is>
          <t>No</t>
        </is>
      </c>
      <c r="BI89" s="10" t="inlineStr">
        <is>
          <t>2026-09-16</t>
        </is>
      </c>
      <c r="BJ89" s="10" t="inlineStr">
        <is>
          <t>New</t>
        </is>
      </c>
      <c r="BK89" s="10" t="inlineStr">
        <is>
          <t>2026-09-16</t>
        </is>
      </c>
      <c r="BL89" s="10" t="inlineStr"/>
      <c r="BM89" s="10" t="inlineStr"/>
      <c r="BN89" s="10" t="inlineStr"/>
      <c r="BO89" s="10" t="inlineStr"/>
      <c r="BP89" s="10" t="inlineStr"/>
      <c r="BQ89" s="10" t="inlineStr"/>
    </row>
    <row r="90">
      <c r="A90" s="5" t="inlineStr">
        <is>
          <t>WY-0089</t>
        </is>
      </c>
      <c r="B90" s="5" t="inlineStr">
        <is>
          <t>WY-0089-01</t>
        </is>
      </c>
      <c r="C90" s="5" t="inlineStr"/>
      <c r="D90" s="5" t="inlineStr">
        <is>
          <t>Gibraltar Mini Mart</t>
        </is>
      </c>
      <c r="E90" s="5" t="inlineStr">
        <is>
          <t>Gibraltar Mini Mart Vape &amp; Mobile Shop</t>
        </is>
      </c>
      <c r="F90" s="5" t="inlineStr"/>
      <c r="G90" s="5" t="inlineStr">
        <is>
          <t>Convenience Store</t>
        </is>
      </c>
      <c r="H90" s="5" t="inlineStr">
        <is>
          <t>Convenience store with vapes and mobile accessories</t>
        </is>
      </c>
      <c r="I90" s="5" t="inlineStr">
        <is>
          <t>Independent</t>
        </is>
      </c>
      <c r="J90" s="5" t="inlineStr">
        <is>
          <t>1</t>
        </is>
      </c>
      <c r="K90" s="5" t="inlineStr"/>
      <c r="L90" s="5" t="inlineStr"/>
      <c r="M90" s="5" t="inlineStr"/>
      <c r="N90" s="5" t="inlineStr"/>
      <c r="O90" s="5" t="inlineStr">
        <is>
          <t>101 Hopwood Lane</t>
        </is>
      </c>
      <c r="P90" s="5" t="inlineStr"/>
      <c r="Q90" s="5" t="inlineStr">
        <is>
          <t>Halifax</t>
        </is>
      </c>
      <c r="R90" s="5" t="inlineStr">
        <is>
          <t>West Yorkshire</t>
        </is>
      </c>
      <c r="S90" s="5" t="inlineStr"/>
      <c r="T90" s="5" t="inlineStr">
        <is>
          <t>Yorkshire &amp; Humber</t>
        </is>
      </c>
      <c r="U90" s="5" t="inlineStr">
        <is>
          <t>England</t>
        </is>
      </c>
      <c r="V90" s="5" t="inlineStr"/>
      <c r="W90" s="5" t="inlineStr"/>
      <c r="X90" s="5" t="inlineStr"/>
      <c r="Y90" s="5" t="inlineStr"/>
      <c r="Z90" s="5" t="inlineStr"/>
      <c r="AA90" s="5" t="inlineStr"/>
      <c r="AB90" s="5" t="inlineStr"/>
      <c r="AC90" s="5" t="inlineStr"/>
      <c r="AD90" s="5" t="inlineStr"/>
      <c r="AE90" s="5" t="inlineStr"/>
      <c r="AF90" s="5" t="inlineStr"/>
      <c r="AG90" s="5" t="inlineStr"/>
      <c r="AH90" s="5" t="inlineStr"/>
      <c r="AI90" s="5" t="inlineStr"/>
      <c r="AJ90" s="5" t="inlineStr"/>
      <c r="AK90" s="5" t="inlineStr">
        <is>
          <t>convenience; vapes; mobile accessories</t>
        </is>
      </c>
      <c r="AL90" s="5" t="inlineStr"/>
      <c r="AM90" s="5" t="inlineStr">
        <is>
          <t>Convenience Store</t>
        </is>
      </c>
      <c r="AN90" s="5" t="inlineStr"/>
      <c r="AO90" s="5" t="inlineStr">
        <is>
          <t>Sells vapes alongside daily essentials - relevant crossover prospect.</t>
        </is>
      </c>
      <c r="AP90" s="5" t="inlineStr">
        <is>
          <t>Low</t>
        </is>
      </c>
      <c r="AQ90" s="5" t="inlineStr">
        <is>
          <t>Independent retailer; Relevant category</t>
        </is>
      </c>
      <c r="AR90" s="5" t="inlineStr">
        <is>
          <t>https://www.yorkshire.com/halifax/shopping/corner-shops/gibraltar-mini-mart-vapemobile-shop</t>
        </is>
      </c>
      <c r="AS90" s="5" t="inlineStr"/>
      <c r="AT90" s="5" t="inlineStr">
        <is>
          <t>1</t>
        </is>
      </c>
      <c r="AU90" s="5" t="inlineStr">
        <is>
          <t>No</t>
        </is>
      </c>
      <c r="AV90" s="5" t="inlineStr">
        <is>
          <t>No</t>
        </is>
      </c>
      <c r="AW90" s="5" t="inlineStr">
        <is>
          <t>No</t>
        </is>
      </c>
      <c r="AX90" s="5" t="inlineStr">
        <is>
          <t>No</t>
        </is>
      </c>
      <c r="AY90" s="5" t="inlineStr">
        <is>
          <t>Not Found</t>
        </is>
      </c>
      <c r="AZ90" s="5" t="inlineStr">
        <is>
          <t>Not Found</t>
        </is>
      </c>
      <c r="BA90" s="5" t="inlineStr">
        <is>
          <t>2026-09-16</t>
        </is>
      </c>
      <c r="BB90" s="5" t="inlineStr">
        <is>
          <t>Requires Verification</t>
        </is>
      </c>
      <c r="BC90" s="5" t="inlineStr">
        <is>
          <t>Low</t>
        </is>
      </c>
      <c r="BD90" s="5" t="inlineStr"/>
      <c r="BE90" s="5" t="inlineStr">
        <is>
          <t>Business (B2B)</t>
        </is>
      </c>
      <c r="BF90" s="5" t="inlineStr">
        <is>
          <t>Legitimate interest (B2B) - assess per campaign; PECR: corporate subscribers</t>
        </is>
      </c>
      <c r="BG90" s="5" t="inlineStr"/>
      <c r="BH90" s="5" t="inlineStr">
        <is>
          <t>No</t>
        </is>
      </c>
      <c r="BI90" s="5" t="inlineStr">
        <is>
          <t>2026-09-16</t>
        </is>
      </c>
      <c r="BJ90" s="5" t="inlineStr">
        <is>
          <t>New</t>
        </is>
      </c>
      <c r="BK90" s="5" t="inlineStr">
        <is>
          <t>2026-09-16</t>
        </is>
      </c>
      <c r="BL90" s="5" t="inlineStr"/>
      <c r="BM90" s="5" t="inlineStr"/>
      <c r="BN90" s="5" t="inlineStr"/>
      <c r="BO90" s="5" t="inlineStr"/>
      <c r="BP90" s="5" t="inlineStr"/>
      <c r="BQ90" s="5" t="inlineStr"/>
    </row>
    <row r="91">
      <c r="A91" s="10" t="inlineStr">
        <is>
          <t>WY-0090</t>
        </is>
      </c>
      <c r="B91" s="10" t="inlineStr">
        <is>
          <t>WY-0090-01</t>
        </is>
      </c>
      <c r="C91" s="10" t="inlineStr"/>
      <c r="D91" s="10" t="inlineStr">
        <is>
          <t>Global Mini Market 2</t>
        </is>
      </c>
      <c r="E91" s="10" t="inlineStr">
        <is>
          <t>Global Mini Market 2</t>
        </is>
      </c>
      <c r="F91" s="10" t="inlineStr"/>
      <c r="G91" s="10" t="inlineStr">
        <is>
          <t>Convenience Store</t>
        </is>
      </c>
      <c r="H91" s="10" t="inlineStr">
        <is>
          <t>24-hour convenience store &amp; off-licence</t>
        </is>
      </c>
      <c r="I91" s="10" t="inlineStr">
        <is>
          <t>Independent</t>
        </is>
      </c>
      <c r="J91" s="10" t="inlineStr">
        <is>
          <t>1</t>
        </is>
      </c>
      <c r="K91" s="10" t="inlineStr"/>
      <c r="L91" s="10" t="inlineStr"/>
      <c r="M91" s="10" t="inlineStr"/>
      <c r="N91" s="10" t="inlineStr"/>
      <c r="O91" s="10" t="inlineStr">
        <is>
          <t>83-85 Main Street</t>
        </is>
      </c>
      <c r="P91" s="10" t="inlineStr"/>
      <c r="Q91" s="10" t="inlineStr">
        <is>
          <t>Bingley</t>
        </is>
      </c>
      <c r="R91" s="10" t="inlineStr">
        <is>
          <t>West Yorkshire</t>
        </is>
      </c>
      <c r="S91" s="10" t="inlineStr">
        <is>
          <t>BD16 2JA</t>
        </is>
      </c>
      <c r="T91" s="10" t="inlineStr">
        <is>
          <t>Yorkshire &amp; Humber</t>
        </is>
      </c>
      <c r="U91" s="10" t="inlineStr">
        <is>
          <t>England</t>
        </is>
      </c>
      <c r="V91" s="10" t="inlineStr"/>
      <c r="W91" s="10" t="inlineStr"/>
      <c r="X91" s="10" t="inlineStr"/>
      <c r="Y91" s="10" t="inlineStr"/>
      <c r="Z91" s="10" t="inlineStr"/>
      <c r="AA91" s="10" t="inlineStr"/>
      <c r="AB91" s="10" t="inlineStr"/>
      <c r="AC91" s="10" t="inlineStr"/>
      <c r="AD91" s="10" t="inlineStr"/>
      <c r="AE91" s="10" t="inlineStr"/>
      <c r="AF91" s="10" t="inlineStr"/>
      <c r="AG91" s="10" t="inlineStr"/>
      <c r="AH91" s="10" t="inlineStr"/>
      <c r="AI91" s="10" t="inlineStr"/>
      <c r="AJ91" s="10" t="inlineStr"/>
      <c r="AK91" s="10" t="inlineStr">
        <is>
          <t>alcohol; convenience lines; groceries</t>
        </is>
      </c>
      <c r="AL91" s="10" t="inlineStr"/>
      <c r="AM91" s="10" t="inlineStr">
        <is>
          <t>Convenience Store</t>
        </is>
      </c>
      <c r="AN91" s="10" t="inlineStr"/>
      <c r="AO91" s="10" t="inlineStr">
        <is>
          <t>24/7 convenience store / off-licence on Bingley Main Street per 24houralcohol.co.uk listing.</t>
        </is>
      </c>
      <c r="AP91" s="10" t="inlineStr">
        <is>
          <t>Low</t>
        </is>
      </c>
      <c r="AQ91" s="10" t="inlineStr">
        <is>
          <t>Independent retailer; Relevant category</t>
        </is>
      </c>
      <c r="AR91" s="10" t="inlineStr">
        <is>
          <t>https://www.24houralcohol.co.uk/bradford-off-licences</t>
        </is>
      </c>
      <c r="AS91" s="10" t="inlineStr"/>
      <c r="AT91" s="10" t="inlineStr">
        <is>
          <t>1</t>
        </is>
      </c>
      <c r="AU91" s="10" t="inlineStr">
        <is>
          <t>No</t>
        </is>
      </c>
      <c r="AV91" s="10" t="inlineStr">
        <is>
          <t>No</t>
        </is>
      </c>
      <c r="AW91" s="10" t="inlineStr">
        <is>
          <t>No</t>
        </is>
      </c>
      <c r="AX91" s="10" t="inlineStr">
        <is>
          <t>No</t>
        </is>
      </c>
      <c r="AY91" s="10" t="inlineStr">
        <is>
          <t>Not Found</t>
        </is>
      </c>
      <c r="AZ91" s="10" t="inlineStr">
        <is>
          <t>Not Found</t>
        </is>
      </c>
      <c r="BA91" s="10" t="inlineStr">
        <is>
          <t>2026-09-16</t>
        </is>
      </c>
      <c r="BB91" s="10" t="inlineStr">
        <is>
          <t>Requires Verification</t>
        </is>
      </c>
      <c r="BC91" s="10" t="inlineStr">
        <is>
          <t>Medium</t>
        </is>
      </c>
      <c r="BD91" s="10" t="inlineStr"/>
      <c r="BE91" s="10" t="inlineStr">
        <is>
          <t>Business (B2B)</t>
        </is>
      </c>
      <c r="BF91" s="10" t="inlineStr">
        <is>
          <t>Legitimate interest (B2B) - assess per campaign; PECR: corporate subscribers</t>
        </is>
      </c>
      <c r="BG91" s="10" t="inlineStr"/>
      <c r="BH91" s="10" t="inlineStr">
        <is>
          <t>No</t>
        </is>
      </c>
      <c r="BI91" s="10" t="inlineStr">
        <is>
          <t>2026-09-16</t>
        </is>
      </c>
      <c r="BJ91" s="10" t="inlineStr">
        <is>
          <t>New</t>
        </is>
      </c>
      <c r="BK91" s="10" t="inlineStr">
        <is>
          <t>2026-09-16</t>
        </is>
      </c>
      <c r="BL91" s="10" t="inlineStr"/>
      <c r="BM91" s="10" t="inlineStr"/>
      <c r="BN91" s="10" t="inlineStr"/>
      <c r="BO91" s="10" t="inlineStr"/>
      <c r="BP91" s="10" t="inlineStr"/>
      <c r="BQ91" s="10" t="inlineStr"/>
    </row>
    <row r="92">
      <c r="A92" s="5" t="inlineStr">
        <is>
          <t>WY-0091</t>
        </is>
      </c>
      <c r="B92" s="5" t="inlineStr">
        <is>
          <t>WY-0091-01</t>
        </is>
      </c>
      <c r="C92" s="5" t="inlineStr"/>
      <c r="D92" s="5" t="inlineStr">
        <is>
          <t>Greengates Service Station</t>
        </is>
      </c>
      <c r="E92" s="5" t="inlineStr">
        <is>
          <t>Greengates Service Station</t>
        </is>
      </c>
      <c r="F92" s="5" t="inlineStr"/>
      <c r="G92" s="5" t="inlineStr">
        <is>
          <t>Petrol Station / Forecourt</t>
        </is>
      </c>
      <c r="H92" s="5" t="inlineStr">
        <is>
          <t>Forecourt with shop</t>
        </is>
      </c>
      <c r="I92" s="5" t="inlineStr">
        <is>
          <t>Unknown</t>
        </is>
      </c>
      <c r="J92" s="5" t="inlineStr">
        <is>
          <t>1</t>
        </is>
      </c>
      <c r="K92" s="5" t="inlineStr"/>
      <c r="L92" s="5" t="inlineStr"/>
      <c r="M92" s="5" t="inlineStr"/>
      <c r="N92" s="5" t="inlineStr"/>
      <c r="O92" s="5" t="inlineStr"/>
      <c r="P92" s="5" t="inlineStr">
        <is>
          <t>Greengates</t>
        </is>
      </c>
      <c r="Q92" s="5" t="inlineStr">
        <is>
          <t>Bradford</t>
        </is>
      </c>
      <c r="R92" s="5" t="inlineStr">
        <is>
          <t>West Yorkshire</t>
        </is>
      </c>
      <c r="S92" s="5" t="inlineStr"/>
      <c r="T92" s="5" t="inlineStr">
        <is>
          <t>Yorkshire &amp; Humber</t>
        </is>
      </c>
      <c r="U92" s="5" t="inlineStr">
        <is>
          <t>England</t>
        </is>
      </c>
      <c r="V92" s="5" t="inlineStr"/>
      <c r="W92" s="5" t="inlineStr"/>
      <c r="X92" s="5" t="inlineStr"/>
      <c r="Y92" s="5" t="inlineStr"/>
      <c r="Z92" s="5" t="inlineStr"/>
      <c r="AA92" s="5" t="inlineStr"/>
      <c r="AB92" s="5" t="inlineStr"/>
      <c r="AC92" s="5" t="inlineStr"/>
      <c r="AD92" s="5" t="inlineStr"/>
      <c r="AE92" s="5" t="inlineStr"/>
      <c r="AF92" s="5" t="inlineStr"/>
      <c r="AG92" s="5" t="inlineStr"/>
      <c r="AH92" s="5" t="inlineStr"/>
      <c r="AI92" s="5" t="inlineStr"/>
      <c r="AJ92" s="5" t="inlineStr"/>
      <c r="AK92" s="5" t="inlineStr">
        <is>
          <t>fuel; convenience shop lines</t>
        </is>
      </c>
      <c r="AL92" s="5" t="inlineStr"/>
      <c r="AM92" s="5" t="inlineStr">
        <is>
          <t>Petrol Station / Forecourt</t>
        </is>
      </c>
      <c r="AN92" s="5" t="inlineStr"/>
      <c r="AO92" s="5" t="inlineStr">
        <is>
          <t>Forecourt in the Greengates area (near Eccleshill), listed on Fuel Map UK. Operator/ownership not yet established - verify independence before outreach.</t>
        </is>
      </c>
      <c r="AP92" s="5" t="inlineStr">
        <is>
          <t>Low</t>
        </is>
      </c>
      <c r="AQ92" s="5" t="inlineStr">
        <is>
          <t>Relevant category</t>
        </is>
      </c>
      <c r="AR92" s="5" t="inlineStr">
        <is>
          <t>https://fuelmap.co.uk/forecourt/612/</t>
        </is>
      </c>
      <c r="AS92" s="5" t="inlineStr"/>
      <c r="AT92" s="5" t="inlineStr">
        <is>
          <t>1</t>
        </is>
      </c>
      <c r="AU92" s="5" t="inlineStr">
        <is>
          <t>No</t>
        </is>
      </c>
      <c r="AV92" s="5" t="inlineStr">
        <is>
          <t>No</t>
        </is>
      </c>
      <c r="AW92" s="5" t="inlineStr">
        <is>
          <t>No</t>
        </is>
      </c>
      <c r="AX92" s="5" t="inlineStr">
        <is>
          <t>No</t>
        </is>
      </c>
      <c r="AY92" s="5" t="inlineStr">
        <is>
          <t>Not Found</t>
        </is>
      </c>
      <c r="AZ92" s="5" t="inlineStr">
        <is>
          <t>Not Found</t>
        </is>
      </c>
      <c r="BA92" s="5" t="inlineStr">
        <is>
          <t>2026-09-16</t>
        </is>
      </c>
      <c r="BB92" s="5" t="inlineStr">
        <is>
          <t>Requires Verification</t>
        </is>
      </c>
      <c r="BC92" s="5" t="inlineStr">
        <is>
          <t>Low</t>
        </is>
      </c>
      <c r="BD92" s="5" t="inlineStr"/>
      <c r="BE92" s="5" t="inlineStr">
        <is>
          <t>Business (B2B)</t>
        </is>
      </c>
      <c r="BF92" s="5" t="inlineStr">
        <is>
          <t>Legitimate interest (B2B) - assess per campaign; PECR: corporate subscribers</t>
        </is>
      </c>
      <c r="BG92" s="5" t="inlineStr"/>
      <c r="BH92" s="5" t="inlineStr">
        <is>
          <t>No</t>
        </is>
      </c>
      <c r="BI92" s="5" t="inlineStr">
        <is>
          <t>2026-09-16</t>
        </is>
      </c>
      <c r="BJ92" s="5" t="inlineStr">
        <is>
          <t>New</t>
        </is>
      </c>
      <c r="BK92" s="5" t="inlineStr">
        <is>
          <t>2026-09-16</t>
        </is>
      </c>
      <c r="BL92" s="5" t="inlineStr"/>
      <c r="BM92" s="5" t="inlineStr"/>
      <c r="BN92" s="5" t="inlineStr"/>
      <c r="BO92" s="5" t="inlineStr"/>
      <c r="BP92" s="5" t="inlineStr"/>
      <c r="BQ92" s="5" t="inlineStr"/>
    </row>
    <row r="93">
      <c r="A93" s="10" t="inlineStr">
        <is>
          <t>WY-0092</t>
        </is>
      </c>
      <c r="B93" s="10" t="inlineStr">
        <is>
          <t>WY-0092-01</t>
        </is>
      </c>
      <c r="C93" s="10" t="inlineStr"/>
      <c r="D93" s="10" t="inlineStr">
        <is>
          <t>Gulf Service Station Featherstone</t>
        </is>
      </c>
      <c r="E93" s="10" t="inlineStr">
        <is>
          <t>Gulf Service Station</t>
        </is>
      </c>
      <c r="F93" s="10" t="inlineStr"/>
      <c r="G93" s="10" t="inlineStr">
        <is>
          <t>Petrol Station / Forecourt</t>
        </is>
      </c>
      <c r="H93" s="10" t="inlineStr">
        <is>
          <t>Gulf-branded dealer forecourt with shop</t>
        </is>
      </c>
      <c r="I93" s="10" t="inlineStr">
        <is>
          <t>Independent</t>
        </is>
      </c>
      <c r="J93" s="10" t="inlineStr">
        <is>
          <t>1</t>
        </is>
      </c>
      <c r="K93" s="10" t="inlineStr"/>
      <c r="L93" s="10" t="inlineStr"/>
      <c r="M93" s="10" t="inlineStr"/>
      <c r="N93" s="10" t="inlineStr"/>
      <c r="O93" s="10" t="inlineStr">
        <is>
          <t>Wakefield Road</t>
        </is>
      </c>
      <c r="P93" s="10" t="inlineStr"/>
      <c r="Q93" s="10" t="inlineStr">
        <is>
          <t>Featherstone</t>
        </is>
      </c>
      <c r="R93" s="10" t="inlineStr">
        <is>
          <t>West Yorkshire</t>
        </is>
      </c>
      <c r="S93" s="10" t="inlineStr">
        <is>
          <t>WF7 5BP</t>
        </is>
      </c>
      <c r="T93" s="10" t="inlineStr">
        <is>
          <t>Yorkshire &amp; Humber</t>
        </is>
      </c>
      <c r="U93" s="10" t="inlineStr">
        <is>
          <t>England</t>
        </is>
      </c>
      <c r="V93" s="10" t="inlineStr"/>
      <c r="W93" s="10" t="inlineStr"/>
      <c r="X93" s="10" t="inlineStr"/>
      <c r="Y93" s="10" t="inlineStr"/>
      <c r="Z93" s="10" t="inlineStr"/>
      <c r="AA93" s="10" t="inlineStr"/>
      <c r="AB93" s="10" t="inlineStr"/>
      <c r="AC93" s="10" t="inlineStr"/>
      <c r="AD93" s="10" t="inlineStr"/>
      <c r="AE93" s="10" t="inlineStr"/>
      <c r="AF93" s="10" t="inlineStr"/>
      <c r="AG93" s="10" t="inlineStr"/>
      <c r="AH93" s="10" t="inlineStr"/>
      <c r="AI93" s="10" t="inlineStr"/>
      <c r="AJ93" s="10" t="inlineStr"/>
      <c r="AK93" s="10" t="inlineStr">
        <is>
          <t>fuel; convenience shop</t>
        </is>
      </c>
      <c r="AL93" s="10" t="inlineStr"/>
      <c r="AM93" s="10" t="inlineStr">
        <is>
          <t>Petrol Station / Forecourt</t>
        </is>
      </c>
      <c r="AN93" s="10" t="inlineStr">
        <is>
          <t>Gulf-branded fuel (Gulf UK supplies independent dealers)</t>
        </is>
      </c>
      <c r="AO93" s="10" t="inlineStr">
        <is>
          <t>Gulf branding in the UK is used almost exclusively by independent dealers; operator identity needs follow-up.</t>
        </is>
      </c>
      <c r="AP93" s="10" t="inlineStr">
        <is>
          <t>Low</t>
        </is>
      </c>
      <c r="AQ93" s="10" t="inlineStr">
        <is>
          <t>Independent retailer; Relevant category</t>
        </is>
      </c>
      <c r="AR93" s="10" t="inlineStr">
        <is>
          <t>https://www.yorkshire.com/featherstone/services/petrol-stations</t>
        </is>
      </c>
      <c r="AS93" s="10" t="inlineStr"/>
      <c r="AT93" s="10" t="inlineStr">
        <is>
          <t>1</t>
        </is>
      </c>
      <c r="AU93" s="10" t="inlineStr">
        <is>
          <t>No</t>
        </is>
      </c>
      <c r="AV93" s="10" t="inlineStr">
        <is>
          <t>No</t>
        </is>
      </c>
      <c r="AW93" s="10" t="inlineStr">
        <is>
          <t>No</t>
        </is>
      </c>
      <c r="AX93" s="10" t="inlineStr">
        <is>
          <t>No</t>
        </is>
      </c>
      <c r="AY93" s="10" t="inlineStr">
        <is>
          <t>Not Found</t>
        </is>
      </c>
      <c r="AZ93" s="10" t="inlineStr">
        <is>
          <t>Not Found</t>
        </is>
      </c>
      <c r="BA93" s="10" t="inlineStr">
        <is>
          <t>2026-09-16</t>
        </is>
      </c>
      <c r="BB93" s="10" t="inlineStr">
        <is>
          <t>Requires Verification</t>
        </is>
      </c>
      <c r="BC93" s="10" t="inlineStr">
        <is>
          <t>Low</t>
        </is>
      </c>
      <c r="BD93" s="10" t="inlineStr"/>
      <c r="BE93" s="10" t="inlineStr">
        <is>
          <t>Business (B2B)</t>
        </is>
      </c>
      <c r="BF93" s="10" t="inlineStr">
        <is>
          <t>Legitimate interest (B2B) - assess per campaign; PECR: corporate subscribers</t>
        </is>
      </c>
      <c r="BG93" s="10" t="inlineStr"/>
      <c r="BH93" s="10" t="inlineStr">
        <is>
          <t>No</t>
        </is>
      </c>
      <c r="BI93" s="10" t="inlineStr">
        <is>
          <t>2026-09-16</t>
        </is>
      </c>
      <c r="BJ93" s="10" t="inlineStr">
        <is>
          <t>New</t>
        </is>
      </c>
      <c r="BK93" s="10" t="inlineStr">
        <is>
          <t>2026-09-16</t>
        </is>
      </c>
      <c r="BL93" s="10" t="inlineStr"/>
      <c r="BM93" s="10" t="inlineStr"/>
      <c r="BN93" s="10" t="inlineStr"/>
      <c r="BO93" s="10" t="inlineStr"/>
      <c r="BP93" s="10" t="inlineStr"/>
      <c r="BQ93" s="10" t="inlineStr"/>
    </row>
    <row r="94">
      <c r="A94" s="5" t="inlineStr">
        <is>
          <t>WY-0093</t>
        </is>
      </c>
      <c r="B94" s="5" t="inlineStr">
        <is>
          <t>WY-0093-01</t>
        </is>
      </c>
      <c r="C94" s="5" t="inlineStr"/>
      <c r="D94" s="5" t="inlineStr">
        <is>
          <t>Halal Sweets Company</t>
        </is>
      </c>
      <c r="E94" s="5" t="inlineStr">
        <is>
          <t>Halal Sweets</t>
        </is>
      </c>
      <c r="F94" s="5" t="inlineStr"/>
      <c r="G94" s="5" t="inlineStr">
        <is>
          <t>Cash &amp; Carry</t>
        </is>
      </c>
      <c r="H94" s="5" t="inlineStr">
        <is>
          <t>Sweets &amp; snacks wholesaler / cash &amp; carry</t>
        </is>
      </c>
      <c r="I94" s="5" t="inlineStr">
        <is>
          <t>Independent</t>
        </is>
      </c>
      <c r="J94" s="5" t="inlineStr">
        <is>
          <t>1</t>
        </is>
      </c>
      <c r="K94" s="5" t="inlineStr">
        <is>
          <t>https://halalsweets.company.site/</t>
        </is>
      </c>
      <c r="L94" s="5" t="inlineStr">
        <is>
          <t>https://www.facebook.com/halalsweetscompany/</t>
        </is>
      </c>
      <c r="M94" s="5" t="inlineStr"/>
      <c r="N94" s="5" t="inlineStr"/>
      <c r="O94" s="5" t="inlineStr"/>
      <c r="P94" s="5" t="inlineStr"/>
      <c r="Q94" s="5" t="inlineStr">
        <is>
          <t>Bradford</t>
        </is>
      </c>
      <c r="R94" s="5" t="inlineStr">
        <is>
          <t>West Yorkshire</t>
        </is>
      </c>
      <c r="S94" s="5" t="inlineStr"/>
      <c r="T94" s="5" t="inlineStr">
        <is>
          <t>Yorkshire &amp; Humber</t>
        </is>
      </c>
      <c r="U94" s="5" t="inlineStr">
        <is>
          <t>England</t>
        </is>
      </c>
      <c r="V94" s="5" t="inlineStr"/>
      <c r="W94" s="5" t="inlineStr"/>
      <c r="X94" s="5" t="inlineStr"/>
      <c r="Y94" s="5" t="inlineStr">
        <is>
          <t>support@halalsweetscompany.co.uk</t>
        </is>
      </c>
      <c r="Z94" s="5" t="inlineStr"/>
      <c r="AA94" s="5" t="inlineStr"/>
      <c r="AB94" s="5" t="inlineStr"/>
      <c r="AC94" s="5" t="inlineStr"/>
      <c r="AD94" s="5" t="inlineStr"/>
      <c r="AE94" s="5" t="inlineStr"/>
      <c r="AF94" s="5" t="inlineStr"/>
      <c r="AG94" s="5" t="inlineStr"/>
      <c r="AH94" s="5" t="inlineStr"/>
      <c r="AI94" s="5" t="inlineStr"/>
      <c r="AJ94" s="5" t="inlineStr"/>
      <c r="AK94" s="5" t="inlineStr">
        <is>
          <t>halal sweets; snacks; confectionery wholesale</t>
        </is>
      </c>
      <c r="AL94" s="5" t="inlineStr"/>
      <c r="AM94" s="5" t="inlineStr">
        <is>
          <t>Cash &amp; Carry</t>
        </is>
      </c>
      <c r="AN94" s="5" t="inlineStr"/>
      <c r="AO94" s="5" t="inlineStr">
        <is>
          <t>Family-run Bradford-based wholesaler/distributor, cash &amp; carry and delivery, specialising in halal sweets and snacks. Street address not captured - needs enrichment.</t>
        </is>
      </c>
      <c r="AP94" s="5" t="inlineStr">
        <is>
          <t>High</t>
        </is>
      </c>
      <c r="AQ94" s="5" t="inlineStr">
        <is>
          <t>Independent retailer; Core relevant category; Public email available; Active website; Social presence</t>
        </is>
      </c>
      <c r="AR94" s="5" t="inlineStr">
        <is>
          <t>https://halalsweets.company.site/</t>
        </is>
      </c>
      <c r="AS94" s="5" t="inlineStr">
        <is>
          <t>https://halalsweetscompany.co.uk/</t>
        </is>
      </c>
      <c r="AT94" s="5" t="inlineStr">
        <is>
          <t>2</t>
        </is>
      </c>
      <c r="AU94" s="5" t="inlineStr">
        <is>
          <t>No</t>
        </is>
      </c>
      <c r="AV94" s="5" t="inlineStr">
        <is>
          <t>No</t>
        </is>
      </c>
      <c r="AW94" s="5" t="inlineStr">
        <is>
          <t>Yes</t>
        </is>
      </c>
      <c r="AX94" s="5" t="inlineStr">
        <is>
          <t>No</t>
        </is>
      </c>
      <c r="AY94" s="5" t="inlineStr">
        <is>
          <t>Not Found</t>
        </is>
      </c>
      <c r="AZ94" s="5" t="inlineStr">
        <is>
          <t>Website Found</t>
        </is>
      </c>
      <c r="BA94" s="5" t="inlineStr">
        <is>
          <t>2026-09-16</t>
        </is>
      </c>
      <c r="BB94" s="5" t="inlineStr">
        <is>
          <t>Partially Verified</t>
        </is>
      </c>
      <c r="BC94" s="5" t="inlineStr">
        <is>
          <t>Medium</t>
        </is>
      </c>
      <c r="BD94" s="5" t="inlineStr"/>
      <c r="BE94" s="5" t="inlineStr">
        <is>
          <t>Business (B2B)</t>
        </is>
      </c>
      <c r="BF94" s="5" t="inlineStr">
        <is>
          <t>Legitimate interest (B2B) - assess per campaign; PECR: corporate subscribers</t>
        </is>
      </c>
      <c r="BG94" s="5" t="inlineStr"/>
      <c r="BH94" s="5" t="inlineStr">
        <is>
          <t>No</t>
        </is>
      </c>
      <c r="BI94" s="5" t="inlineStr">
        <is>
          <t>2026-09-16</t>
        </is>
      </c>
      <c r="BJ94" s="5" t="inlineStr">
        <is>
          <t>New</t>
        </is>
      </c>
      <c r="BK94" s="5" t="inlineStr">
        <is>
          <t>2026-09-16</t>
        </is>
      </c>
      <c r="BL94" s="5" t="inlineStr"/>
      <c r="BM94" s="5" t="inlineStr"/>
      <c r="BN94" s="5" t="inlineStr"/>
      <c r="BO94" s="5" t="inlineStr"/>
      <c r="BP94" s="5" t="inlineStr"/>
      <c r="BQ94" s="5" t="inlineStr"/>
    </row>
    <row r="95">
      <c r="A95" s="10" t="inlineStr">
        <is>
          <t>WY-0094</t>
        </is>
      </c>
      <c r="B95" s="10" t="inlineStr">
        <is>
          <t>WY-0094-01</t>
        </is>
      </c>
      <c r="C95" s="10" t="inlineStr"/>
      <c r="D95" s="10" t="inlineStr">
        <is>
          <t>Hang Sing Hong</t>
        </is>
      </c>
      <c r="E95" s="10" t="inlineStr">
        <is>
          <t>Hang Sing Hong</t>
        </is>
      </c>
      <c r="F95" s="10" t="inlineStr"/>
      <c r="G95" s="10" t="inlineStr">
        <is>
          <t>Independent Supermarket</t>
        </is>
      </c>
      <c r="H95" s="10" t="inlineStr">
        <is>
          <t>Chinese / Oriental supermarket</t>
        </is>
      </c>
      <c r="I95" s="10" t="inlineStr">
        <is>
          <t>Independent</t>
        </is>
      </c>
      <c r="J95" s="10" t="inlineStr">
        <is>
          <t>1</t>
        </is>
      </c>
      <c r="K95" s="10" t="inlineStr"/>
      <c r="L95" s="10" t="inlineStr"/>
      <c r="M95" s="10" t="inlineStr"/>
      <c r="N95" s="10" t="inlineStr"/>
      <c r="O95" s="10" t="inlineStr">
        <is>
          <t>117-119 Vicar Lane</t>
        </is>
      </c>
      <c r="P95" s="10" t="inlineStr">
        <is>
          <t>City Centre</t>
        </is>
      </c>
      <c r="Q95" s="10" t="inlineStr">
        <is>
          <t>Leeds</t>
        </is>
      </c>
      <c r="R95" s="10" t="inlineStr">
        <is>
          <t>West Yorkshire</t>
        </is>
      </c>
      <c r="S95" s="10" t="inlineStr">
        <is>
          <t>LS1 6PJ</t>
        </is>
      </c>
      <c r="T95" s="10" t="inlineStr">
        <is>
          <t>Yorkshire &amp; Humber</t>
        </is>
      </c>
      <c r="U95" s="10" t="inlineStr">
        <is>
          <t>England</t>
        </is>
      </c>
      <c r="V95" s="10" t="inlineStr"/>
      <c r="W95" s="10" t="inlineStr"/>
      <c r="X95" s="10" t="inlineStr"/>
      <c r="Y95" s="10" t="inlineStr"/>
      <c r="Z95" s="10" t="inlineStr"/>
      <c r="AA95" s="10" t="inlineStr"/>
      <c r="AB95" s="10" t="inlineStr"/>
      <c r="AC95" s="10" t="inlineStr"/>
      <c r="AD95" s="10" t="inlineStr"/>
      <c r="AE95" s="10" t="inlineStr"/>
      <c r="AF95" s="10" t="inlineStr"/>
      <c r="AG95" s="10" t="inlineStr"/>
      <c r="AH95" s="10" t="inlineStr"/>
      <c r="AI95" s="10" t="inlineStr"/>
      <c r="AJ95" s="10" t="inlineStr"/>
      <c r="AK95" s="10" t="inlineStr">
        <is>
          <t>Chinese and East Asian groceries</t>
        </is>
      </c>
      <c r="AL95" s="10" t="inlineStr"/>
      <c r="AM95" s="10" t="inlineStr">
        <is>
          <t>Independent Supermarket</t>
        </is>
      </c>
      <c r="AN95" s="10" t="inlineStr"/>
      <c r="AO95" s="10" t="inlineStr">
        <is>
          <t>Long-established Chinese supermarket on Vicar Lane in the city centre.</t>
        </is>
      </c>
      <c r="AP95" s="10" t="inlineStr">
        <is>
          <t>Low</t>
        </is>
      </c>
      <c r="AQ95" s="10" t="inlineStr">
        <is>
          <t>Independent retailer; Relevant category</t>
        </is>
      </c>
      <c r="AR95" s="10" t="inlineStr">
        <is>
          <t>https://www.yelp.co.uk/biz/hang-sing-hong-leeds-2</t>
        </is>
      </c>
      <c r="AS95" s="10" t="inlineStr"/>
      <c r="AT95" s="10" t="inlineStr">
        <is>
          <t>1</t>
        </is>
      </c>
      <c r="AU95" s="10" t="inlineStr">
        <is>
          <t>No</t>
        </is>
      </c>
      <c r="AV95" s="10" t="inlineStr">
        <is>
          <t>No</t>
        </is>
      </c>
      <c r="AW95" s="10" t="inlineStr">
        <is>
          <t>No</t>
        </is>
      </c>
      <c r="AX95" s="10" t="inlineStr">
        <is>
          <t>No</t>
        </is>
      </c>
      <c r="AY95" s="10" t="inlineStr">
        <is>
          <t>Not Found</t>
        </is>
      </c>
      <c r="AZ95" s="10" t="inlineStr">
        <is>
          <t>Not Found</t>
        </is>
      </c>
      <c r="BA95" s="10" t="inlineStr">
        <is>
          <t>2026-09-16</t>
        </is>
      </c>
      <c r="BB95" s="10" t="inlineStr">
        <is>
          <t>Requires Verification</t>
        </is>
      </c>
      <c r="BC95" s="10" t="inlineStr">
        <is>
          <t>Medium</t>
        </is>
      </c>
      <c r="BD95" s="10" t="inlineStr"/>
      <c r="BE95" s="10" t="inlineStr">
        <is>
          <t>Business (B2B)</t>
        </is>
      </c>
      <c r="BF95" s="10" t="inlineStr">
        <is>
          <t>Legitimate interest (B2B) - assess per campaign; PECR: corporate subscribers</t>
        </is>
      </c>
      <c r="BG95" s="10" t="inlineStr"/>
      <c r="BH95" s="10" t="inlineStr">
        <is>
          <t>No</t>
        </is>
      </c>
      <c r="BI95" s="10" t="inlineStr">
        <is>
          <t>2026-09-16</t>
        </is>
      </c>
      <c r="BJ95" s="10" t="inlineStr">
        <is>
          <t>New</t>
        </is>
      </c>
      <c r="BK95" s="10" t="inlineStr">
        <is>
          <t>2026-09-16</t>
        </is>
      </c>
      <c r="BL95" s="10" t="inlineStr"/>
      <c r="BM95" s="10" t="inlineStr"/>
      <c r="BN95" s="10" t="inlineStr"/>
      <c r="BO95" s="10" t="inlineStr"/>
      <c r="BP95" s="10" t="inlineStr"/>
      <c r="BQ95" s="10" t="inlineStr"/>
    </row>
    <row r="96">
      <c r="A96" s="5" t="inlineStr">
        <is>
          <t>WY-0095</t>
        </is>
      </c>
      <c r="B96" s="5" t="inlineStr">
        <is>
          <t>WY-0095-01</t>
        </is>
      </c>
      <c r="C96" s="5" t="inlineStr"/>
      <c r="D96" s="5" t="inlineStr">
        <is>
          <t>Heckmondwike Service Station</t>
        </is>
      </c>
      <c r="E96" s="5" t="inlineStr">
        <is>
          <t>Heckmondwike Service Station</t>
        </is>
      </c>
      <c r="F96" s="5" t="inlineStr"/>
      <c r="G96" s="5" t="inlineStr">
        <is>
          <t>Petrol Station / Forecourt</t>
        </is>
      </c>
      <c r="H96" s="5" t="inlineStr">
        <is>
          <t>BP-branded forecourt with shop</t>
        </is>
      </c>
      <c r="I96" s="5" t="inlineStr">
        <is>
          <t>Unknown</t>
        </is>
      </c>
      <c r="J96" s="5" t="inlineStr">
        <is>
          <t>1</t>
        </is>
      </c>
      <c r="K96" s="5" t="inlineStr"/>
      <c r="L96" s="5" t="inlineStr"/>
      <c r="M96" s="5" t="inlineStr"/>
      <c r="N96" s="5" t="inlineStr"/>
      <c r="O96" s="5" t="inlineStr">
        <is>
          <t>Halifax Road</t>
        </is>
      </c>
      <c r="P96" s="5" t="inlineStr"/>
      <c r="Q96" s="5" t="inlineStr">
        <is>
          <t>Heckmondwike</t>
        </is>
      </c>
      <c r="R96" s="5" t="inlineStr">
        <is>
          <t>West Yorkshire</t>
        </is>
      </c>
      <c r="S96" s="5" t="inlineStr"/>
      <c r="T96" s="5" t="inlineStr">
        <is>
          <t>Yorkshire &amp; Humber</t>
        </is>
      </c>
      <c r="U96" s="5" t="inlineStr">
        <is>
          <t>England</t>
        </is>
      </c>
      <c r="V96" s="5" t="inlineStr"/>
      <c r="W96" s="5" t="inlineStr"/>
      <c r="X96" s="5" t="inlineStr"/>
      <c r="Y96" s="5" t="inlineStr"/>
      <c r="Z96" s="5" t="inlineStr"/>
      <c r="AA96" s="5" t="inlineStr"/>
      <c r="AB96" s="5" t="inlineStr"/>
      <c r="AC96" s="5" t="inlineStr"/>
      <c r="AD96" s="5" t="inlineStr"/>
      <c r="AE96" s="5" t="inlineStr"/>
      <c r="AF96" s="5" t="inlineStr"/>
      <c r="AG96" s="5" t="inlineStr"/>
      <c r="AH96" s="5" t="inlineStr"/>
      <c r="AI96" s="5" t="inlineStr"/>
      <c r="AJ96" s="5" t="inlineStr"/>
      <c r="AK96" s="5" t="inlineStr">
        <is>
          <t>fuel; convenience goods</t>
        </is>
      </c>
      <c r="AL96" s="5" t="inlineStr"/>
      <c r="AM96" s="5" t="inlineStr">
        <is>
          <t>Petrol Station / Forecourt</t>
        </is>
      </c>
      <c r="AN96" s="5" t="inlineStr">
        <is>
          <t>BP fuel supply</t>
        </is>
      </c>
      <c r="AO96" s="5" t="inlineStr">
        <is>
          <t>BP dealer forecourt on Halifax Road listed under Dewsbury/Heckmondwike; operator company not identified from accessible sources, so ownership marked Unknown.</t>
        </is>
      </c>
      <c r="AP96" s="5" t="inlineStr">
        <is>
          <t>Low</t>
        </is>
      </c>
      <c r="AQ96" s="5" t="inlineStr">
        <is>
          <t>Relevant category</t>
        </is>
      </c>
      <c r="AR96" s="5" t="inlineStr">
        <is>
          <t>https://map.bp.com/en-US/GB/gas-station/dewsbury/heckmondwike-service-station/137101962</t>
        </is>
      </c>
      <c r="AS96" s="5" t="inlineStr">
        <is>
          <t>https://fuelfox.uk/station/heckmondwike-service-station-dewsbury-3798</t>
        </is>
      </c>
      <c r="AT96" s="5" t="inlineStr">
        <is>
          <t>2</t>
        </is>
      </c>
      <c r="AU96" s="5" t="inlineStr">
        <is>
          <t>No</t>
        </is>
      </c>
      <c r="AV96" s="5" t="inlineStr">
        <is>
          <t>No</t>
        </is>
      </c>
      <c r="AW96" s="5" t="inlineStr">
        <is>
          <t>No</t>
        </is>
      </c>
      <c r="AX96" s="5" t="inlineStr">
        <is>
          <t>No</t>
        </is>
      </c>
      <c r="AY96" s="5" t="inlineStr">
        <is>
          <t>Not Found</t>
        </is>
      </c>
      <c r="AZ96" s="5" t="inlineStr">
        <is>
          <t>Not Found</t>
        </is>
      </c>
      <c r="BA96" s="5" t="inlineStr">
        <is>
          <t>2026-09-16</t>
        </is>
      </c>
      <c r="BB96" s="5" t="inlineStr">
        <is>
          <t>Requires Verification</t>
        </is>
      </c>
      <c r="BC96" s="5" t="inlineStr">
        <is>
          <t>Low</t>
        </is>
      </c>
      <c r="BD96" s="5" t="inlineStr"/>
      <c r="BE96" s="5" t="inlineStr">
        <is>
          <t>Business (B2B)</t>
        </is>
      </c>
      <c r="BF96" s="5" t="inlineStr">
        <is>
          <t>Legitimate interest (B2B) - assess per campaign; PECR: corporate subscribers</t>
        </is>
      </c>
      <c r="BG96" s="5" t="inlineStr"/>
      <c r="BH96" s="5" t="inlineStr">
        <is>
          <t>No</t>
        </is>
      </c>
      <c r="BI96" s="5" t="inlineStr">
        <is>
          <t>2026-09-16</t>
        </is>
      </c>
      <c r="BJ96" s="5" t="inlineStr">
        <is>
          <t>New</t>
        </is>
      </c>
      <c r="BK96" s="5" t="inlineStr">
        <is>
          <t>2026-09-16</t>
        </is>
      </c>
      <c r="BL96" s="5" t="inlineStr"/>
      <c r="BM96" s="5" t="inlineStr"/>
      <c r="BN96" s="5" t="inlineStr"/>
      <c r="BO96" s="5" t="inlineStr"/>
      <c r="BP96" s="5" t="inlineStr"/>
      <c r="BQ96" s="5" t="inlineStr"/>
    </row>
    <row r="97">
      <c r="A97" s="10" t="inlineStr">
        <is>
          <t>WY-0096</t>
        </is>
      </c>
      <c r="B97" s="10" t="inlineStr">
        <is>
          <t>WY-0096-01</t>
        </is>
      </c>
      <c r="C97" s="10" t="inlineStr"/>
      <c r="D97" s="10" t="inlineStr">
        <is>
          <t>Hopes News</t>
        </is>
      </c>
      <c r="E97" s="10" t="inlineStr">
        <is>
          <t>Hopes News</t>
        </is>
      </c>
      <c r="F97" s="10" t="inlineStr"/>
      <c r="G97" s="10" t="inlineStr">
        <is>
          <t>Newsagent</t>
        </is>
      </c>
      <c r="H97" s="10" t="inlineStr">
        <is>
          <t>Newsagent / off-licence</t>
        </is>
      </c>
      <c r="I97" s="10" t="inlineStr">
        <is>
          <t>Independent</t>
        </is>
      </c>
      <c r="J97" s="10" t="inlineStr">
        <is>
          <t>1</t>
        </is>
      </c>
      <c r="K97" s="10" t="inlineStr"/>
      <c r="L97" s="10" t="inlineStr"/>
      <c r="M97" s="10" t="inlineStr"/>
      <c r="N97" s="10" t="inlineStr"/>
      <c r="O97" s="10" t="inlineStr">
        <is>
          <t>Otley Road</t>
        </is>
      </c>
      <c r="P97" s="10" t="inlineStr">
        <is>
          <t>Baildon</t>
        </is>
      </c>
      <c r="Q97" s="10" t="inlineStr">
        <is>
          <t>Shipley</t>
        </is>
      </c>
      <c r="R97" s="10" t="inlineStr">
        <is>
          <t>West Yorkshire</t>
        </is>
      </c>
      <c r="S97" s="10" t="inlineStr"/>
      <c r="T97" s="10" t="inlineStr">
        <is>
          <t>Yorkshire &amp; Humber</t>
        </is>
      </c>
      <c r="U97" s="10" t="inlineStr">
        <is>
          <t>England</t>
        </is>
      </c>
      <c r="V97" s="10" t="inlineStr"/>
      <c r="W97" s="10" t="inlineStr"/>
      <c r="X97" s="10" t="inlineStr"/>
      <c r="Y97" s="10" t="inlineStr"/>
      <c r="Z97" s="10" t="inlineStr"/>
      <c r="AA97" s="10" t="inlineStr"/>
      <c r="AB97" s="10" t="inlineStr"/>
      <c r="AC97" s="10" t="inlineStr"/>
      <c r="AD97" s="10" t="inlineStr"/>
      <c r="AE97" s="10" t="inlineStr"/>
      <c r="AF97" s="10" t="inlineStr"/>
      <c r="AG97" s="10" t="inlineStr"/>
      <c r="AH97" s="10" t="inlineStr"/>
      <c r="AI97" s="10" t="inlineStr"/>
      <c r="AJ97" s="10" t="inlineStr"/>
      <c r="AK97" s="10" t="inlineStr">
        <is>
          <t>news; magazines; convenience lines</t>
        </is>
      </c>
      <c r="AL97" s="10" t="inlineStr"/>
      <c r="AM97" s="10" t="inlineStr">
        <is>
          <t>Newsagent</t>
        </is>
      </c>
      <c r="AN97" s="10" t="inlineStr"/>
      <c r="AO97" s="10" t="inlineStr">
        <is>
          <t>Early-opening newsagent on Otley Road, Baildon (from 7am daily per listing snippet).</t>
        </is>
      </c>
      <c r="AP97" s="10" t="inlineStr">
        <is>
          <t>Low</t>
        </is>
      </c>
      <c r="AQ97" s="10" t="inlineStr">
        <is>
          <t>Independent retailer; Relevant category</t>
        </is>
      </c>
      <c r="AR97" s="10" t="inlineStr">
        <is>
          <t>https://www.yorkshire.com/shipley/shopping/off-license/hopes-news</t>
        </is>
      </c>
      <c r="AS97" s="10" t="inlineStr"/>
      <c r="AT97" s="10" t="inlineStr">
        <is>
          <t>1</t>
        </is>
      </c>
      <c r="AU97" s="10" t="inlineStr">
        <is>
          <t>No</t>
        </is>
      </c>
      <c r="AV97" s="10" t="inlineStr">
        <is>
          <t>No</t>
        </is>
      </c>
      <c r="AW97" s="10" t="inlineStr">
        <is>
          <t>No</t>
        </is>
      </c>
      <c r="AX97" s="10" t="inlineStr">
        <is>
          <t>No</t>
        </is>
      </c>
      <c r="AY97" s="10" t="inlineStr">
        <is>
          <t>Not Found</t>
        </is>
      </c>
      <c r="AZ97" s="10" t="inlineStr">
        <is>
          <t>Not Found</t>
        </is>
      </c>
      <c r="BA97" s="10" t="inlineStr">
        <is>
          <t>2026-09-16</t>
        </is>
      </c>
      <c r="BB97" s="10" t="inlineStr">
        <is>
          <t>Requires Verification</t>
        </is>
      </c>
      <c r="BC97" s="10" t="inlineStr">
        <is>
          <t>Low</t>
        </is>
      </c>
      <c r="BD97" s="10" t="inlineStr"/>
      <c r="BE97" s="10" t="inlineStr">
        <is>
          <t>Business (B2B)</t>
        </is>
      </c>
      <c r="BF97" s="10" t="inlineStr">
        <is>
          <t>Legitimate interest (B2B) - assess per campaign; PECR: corporate subscribers</t>
        </is>
      </c>
      <c r="BG97" s="10" t="inlineStr"/>
      <c r="BH97" s="10" t="inlineStr">
        <is>
          <t>No</t>
        </is>
      </c>
      <c r="BI97" s="10" t="inlineStr">
        <is>
          <t>2026-09-16</t>
        </is>
      </c>
      <c r="BJ97" s="10" t="inlineStr">
        <is>
          <t>New</t>
        </is>
      </c>
      <c r="BK97" s="10" t="inlineStr">
        <is>
          <t>2026-09-16</t>
        </is>
      </c>
      <c r="BL97" s="10" t="inlineStr"/>
      <c r="BM97" s="10" t="inlineStr"/>
      <c r="BN97" s="10" t="inlineStr"/>
      <c r="BO97" s="10" t="inlineStr"/>
      <c r="BP97" s="10" t="inlineStr"/>
      <c r="BQ97" s="10" t="inlineStr"/>
    </row>
    <row r="98">
      <c r="A98" s="5" t="inlineStr">
        <is>
          <t>WY-0097</t>
        </is>
      </c>
      <c r="B98" s="5" t="inlineStr">
        <is>
          <t>WY-0097-01</t>
        </is>
      </c>
      <c r="C98" s="5" t="inlineStr"/>
      <c r="D98" s="5" t="inlineStr">
        <is>
          <t>House of Vapour</t>
        </is>
      </c>
      <c r="E98" s="5" t="inlineStr">
        <is>
          <t>House of Vapour</t>
        </is>
      </c>
      <c r="F98" s="5" t="inlineStr"/>
      <c r="G98" s="5" t="inlineStr">
        <is>
          <t>Vape Shop</t>
        </is>
      </c>
      <c r="H98" s="5" t="inlineStr">
        <is>
          <t>Premium e-cigarette products</t>
        </is>
      </c>
      <c r="I98" s="5" t="inlineStr">
        <is>
          <t>Independent</t>
        </is>
      </c>
      <c r="J98" s="5" t="inlineStr">
        <is>
          <t>1</t>
        </is>
      </c>
      <c r="K98" s="5" t="inlineStr">
        <is>
          <t>https://www.houseofvapour.net</t>
        </is>
      </c>
      <c r="L98" s="5" t="inlineStr"/>
      <c r="M98" s="5" t="inlineStr"/>
      <c r="N98" s="5" t="inlineStr"/>
      <c r="O98" s="5" t="inlineStr">
        <is>
          <t>Barnsley Road</t>
        </is>
      </c>
      <c r="P98" s="5" t="inlineStr"/>
      <c r="Q98" s="5" t="inlineStr">
        <is>
          <t>South Elmsall</t>
        </is>
      </c>
      <c r="R98" s="5" t="inlineStr">
        <is>
          <t>West Yorkshire</t>
        </is>
      </c>
      <c r="S98" s="5" t="inlineStr">
        <is>
          <t>WF9 2AL</t>
        </is>
      </c>
      <c r="T98" s="5" t="inlineStr">
        <is>
          <t>Yorkshire &amp; Humber</t>
        </is>
      </c>
      <c r="U98" s="5" t="inlineStr">
        <is>
          <t>England</t>
        </is>
      </c>
      <c r="V98" s="5" t="inlineStr">
        <is>
          <t>01977 647969</t>
        </is>
      </c>
      <c r="W98" s="5" t="inlineStr"/>
      <c r="X98" s="5" t="inlineStr"/>
      <c r="Y98" s="5" t="inlineStr"/>
      <c r="Z98" s="5" t="inlineStr"/>
      <c r="AA98" s="5" t="inlineStr"/>
      <c r="AB98" s="5" t="inlineStr"/>
      <c r="AC98" s="5" t="inlineStr"/>
      <c r="AD98" s="5" t="inlineStr"/>
      <c r="AE98" s="5" t="inlineStr"/>
      <c r="AF98" s="5" t="inlineStr"/>
      <c r="AG98" s="5" t="inlineStr"/>
      <c r="AH98" s="5" t="inlineStr"/>
      <c r="AI98" s="5" t="inlineStr"/>
      <c r="AJ98" s="5" t="inlineStr"/>
      <c r="AK98" s="5" t="inlineStr">
        <is>
          <t>vape hardware; e-liquids</t>
        </is>
      </c>
      <c r="AL98" s="5" t="inlineStr"/>
      <c r="AM98" s="5" t="inlineStr">
        <is>
          <t>Vape Shop</t>
        </is>
      </c>
      <c r="AN98" s="5" t="inlineStr"/>
      <c r="AO98" s="5" t="inlineStr">
        <is>
          <t>Own website (houseofvapour.net) describes it as on Barnsley Road, South Elmsall, specialising in luxury e-cigarette products. Site could not be fetched (egress blocked) so street number/phone/email not captured.</t>
        </is>
      </c>
      <c r="AP98" s="5" t="inlineStr">
        <is>
          <t>Medium</t>
        </is>
      </c>
      <c r="AQ98" s="5" t="inlineStr">
        <is>
          <t>Independent retailer; Core relevant category; Active website</t>
        </is>
      </c>
      <c r="AR98" s="5" t="inlineStr">
        <is>
          <t>https://www.houseofvapour.net/</t>
        </is>
      </c>
      <c r="AS98" s="5" t="inlineStr">
        <is>
          <t>https://ecigdirectory.co.uk/vape-shop/listing/house-of-vapour</t>
        </is>
      </c>
      <c r="AT98" s="5" t="inlineStr">
        <is>
          <t>3</t>
        </is>
      </c>
      <c r="AU98" s="5" t="inlineStr">
        <is>
          <t>No</t>
        </is>
      </c>
      <c r="AV98" s="5" t="inlineStr">
        <is>
          <t>No</t>
        </is>
      </c>
      <c r="AW98" s="5" t="inlineStr">
        <is>
          <t>No</t>
        </is>
      </c>
      <c r="AX98" s="5" t="inlineStr">
        <is>
          <t>No</t>
        </is>
      </c>
      <c r="AY98" s="5" t="inlineStr">
        <is>
          <t>Verified directory</t>
        </is>
      </c>
      <c r="AZ98" s="5" t="inlineStr">
        <is>
          <t>Website Found</t>
        </is>
      </c>
      <c r="BA98" s="5" t="inlineStr">
        <is>
          <t>2026-09-16</t>
        </is>
      </c>
      <c r="BB98" s="5" t="inlineStr">
        <is>
          <t>Requires Verification</t>
        </is>
      </c>
      <c r="BC98" s="5" t="inlineStr">
        <is>
          <t>Medium</t>
        </is>
      </c>
      <c r="BD98" s="5" t="inlineStr"/>
      <c r="BE98" s="5" t="inlineStr">
        <is>
          <t>Business (B2B)</t>
        </is>
      </c>
      <c r="BF98" s="5" t="inlineStr">
        <is>
          <t>Legitimate interest (B2B) - assess per campaign; PECR: corporate subscribers</t>
        </is>
      </c>
      <c r="BG98" s="5" t="inlineStr"/>
      <c r="BH98" s="5" t="inlineStr">
        <is>
          <t>No</t>
        </is>
      </c>
      <c r="BI98" s="5" t="inlineStr">
        <is>
          <t>2026-09-16</t>
        </is>
      </c>
      <c r="BJ98" s="5" t="inlineStr">
        <is>
          <t>New</t>
        </is>
      </c>
      <c r="BK98" s="5" t="inlineStr">
        <is>
          <t>2026-09-16</t>
        </is>
      </c>
      <c r="BL98" s="5" t="inlineStr"/>
      <c r="BM98" s="5" t="inlineStr"/>
      <c r="BN98" s="5" t="inlineStr"/>
      <c r="BO98" s="5" t="inlineStr"/>
      <c r="BP98" s="5" t="inlineStr"/>
      <c r="BQ98" s="5" t="inlineStr"/>
    </row>
    <row r="99">
      <c r="A99" s="10" t="inlineStr">
        <is>
          <t>WY-0098</t>
        </is>
      </c>
      <c r="B99" s="10" t="inlineStr">
        <is>
          <t>WY-0098-01</t>
        </is>
      </c>
      <c r="C99" s="10" t="inlineStr"/>
      <c r="D99" s="10" t="inlineStr">
        <is>
          <t>Ilkley Convenience Store</t>
        </is>
      </c>
      <c r="E99" s="10" t="inlineStr">
        <is>
          <t>Ilkley Convenience Store</t>
        </is>
      </c>
      <c r="F99" s="10" t="inlineStr"/>
      <c r="G99" s="10" t="inlineStr">
        <is>
          <t>Convenience Store</t>
        </is>
      </c>
      <c r="H99" s="10" t="inlineStr">
        <is>
          <t>Neighbourhood convenience store</t>
        </is>
      </c>
      <c r="I99" s="10" t="inlineStr">
        <is>
          <t>Independent</t>
        </is>
      </c>
      <c r="J99" s="10" t="inlineStr">
        <is>
          <t>1</t>
        </is>
      </c>
      <c r="K99" s="10" t="inlineStr"/>
      <c r="L99" s="10" t="inlineStr"/>
      <c r="M99" s="10" t="inlineStr"/>
      <c r="N99" s="10" t="inlineStr"/>
      <c r="O99" s="10" t="inlineStr">
        <is>
          <t>Valley Drive</t>
        </is>
      </c>
      <c r="P99" s="10" t="inlineStr"/>
      <c r="Q99" s="10" t="inlineStr">
        <is>
          <t>Ilkley</t>
        </is>
      </c>
      <c r="R99" s="10" t="inlineStr">
        <is>
          <t>West Yorkshire</t>
        </is>
      </c>
      <c r="S99" s="10" t="inlineStr"/>
      <c r="T99" s="10" t="inlineStr">
        <is>
          <t>Yorkshire &amp; Humber</t>
        </is>
      </c>
      <c r="U99" s="10" t="inlineStr">
        <is>
          <t>England</t>
        </is>
      </c>
      <c r="V99" s="10" t="inlineStr"/>
      <c r="W99" s="10" t="inlineStr"/>
      <c r="X99" s="10" t="inlineStr"/>
      <c r="Y99" s="10" t="inlineStr"/>
      <c r="Z99" s="10" t="inlineStr"/>
      <c r="AA99" s="10" t="inlineStr"/>
      <c r="AB99" s="10" t="inlineStr"/>
      <c r="AC99" s="10" t="inlineStr"/>
      <c r="AD99" s="10" t="inlineStr"/>
      <c r="AE99" s="10" t="inlineStr"/>
      <c r="AF99" s="10" t="inlineStr"/>
      <c r="AG99" s="10" t="inlineStr"/>
      <c r="AH99" s="10" t="inlineStr"/>
      <c r="AI99" s="10" t="inlineStr"/>
      <c r="AJ99" s="10" t="inlineStr"/>
      <c r="AK99" s="10" t="inlineStr">
        <is>
          <t>convenience lines; groceries</t>
        </is>
      </c>
      <c r="AL99" s="10" t="inlineStr"/>
      <c r="AM99" s="10" t="inlineStr">
        <is>
          <t>Convenience Store</t>
        </is>
      </c>
      <c r="AN99" s="10" t="inlineStr"/>
      <c r="AO99" s="10" t="inlineStr">
        <is>
          <t>Open Mon-Sat 7am-9pm, Sun 8am-8pm per listing snippet.</t>
        </is>
      </c>
      <c r="AP99" s="10" t="inlineStr">
        <is>
          <t>Low</t>
        </is>
      </c>
      <c r="AQ99" s="10" t="inlineStr">
        <is>
          <t>Independent retailer; Relevant category</t>
        </is>
      </c>
      <c r="AR99" s="10" t="inlineStr">
        <is>
          <t>https://www.yorkshire.com/ilkley/shopping/corner-shops/ilkley-convenience-store</t>
        </is>
      </c>
      <c r="AS99" s="10" t="inlineStr"/>
      <c r="AT99" s="10" t="inlineStr">
        <is>
          <t>1</t>
        </is>
      </c>
      <c r="AU99" s="10" t="inlineStr">
        <is>
          <t>No</t>
        </is>
      </c>
      <c r="AV99" s="10" t="inlineStr">
        <is>
          <t>No</t>
        </is>
      </c>
      <c r="AW99" s="10" t="inlineStr">
        <is>
          <t>No</t>
        </is>
      </c>
      <c r="AX99" s="10" t="inlineStr">
        <is>
          <t>No</t>
        </is>
      </c>
      <c r="AY99" s="10" t="inlineStr">
        <is>
          <t>Not Found</t>
        </is>
      </c>
      <c r="AZ99" s="10" t="inlineStr">
        <is>
          <t>Not Found</t>
        </is>
      </c>
      <c r="BA99" s="10" t="inlineStr">
        <is>
          <t>2026-09-16</t>
        </is>
      </c>
      <c r="BB99" s="10" t="inlineStr">
        <is>
          <t>Requires Verification</t>
        </is>
      </c>
      <c r="BC99" s="10" t="inlineStr">
        <is>
          <t>Low</t>
        </is>
      </c>
      <c r="BD99" s="10" t="inlineStr"/>
      <c r="BE99" s="10" t="inlineStr">
        <is>
          <t>Business (B2B)</t>
        </is>
      </c>
      <c r="BF99" s="10" t="inlineStr">
        <is>
          <t>Legitimate interest (B2B) - assess per campaign; PECR: corporate subscribers</t>
        </is>
      </c>
      <c r="BG99" s="10" t="inlineStr"/>
      <c r="BH99" s="10" t="inlineStr">
        <is>
          <t>No</t>
        </is>
      </c>
      <c r="BI99" s="10" t="inlineStr">
        <is>
          <t>2026-09-16</t>
        </is>
      </c>
      <c r="BJ99" s="10" t="inlineStr">
        <is>
          <t>New</t>
        </is>
      </c>
      <c r="BK99" s="10" t="inlineStr">
        <is>
          <t>2026-09-16</t>
        </is>
      </c>
      <c r="BL99" s="10" t="inlineStr"/>
      <c r="BM99" s="10" t="inlineStr"/>
      <c r="BN99" s="10" t="inlineStr"/>
      <c r="BO99" s="10" t="inlineStr"/>
      <c r="BP99" s="10" t="inlineStr"/>
      <c r="BQ99" s="10" t="inlineStr"/>
    </row>
    <row r="100">
      <c r="A100" s="5" t="inlineStr">
        <is>
          <t>WY-0099</t>
        </is>
      </c>
      <c r="B100" s="5" t="inlineStr">
        <is>
          <t>WY-0099-01</t>
        </is>
      </c>
      <c r="C100" s="5" t="inlineStr"/>
      <c r="D100" s="5" t="inlineStr">
        <is>
          <t>International Foods</t>
        </is>
      </c>
      <c r="E100" s="5" t="inlineStr">
        <is>
          <t>International Foods</t>
        </is>
      </c>
      <c r="F100" s="5" t="inlineStr">
        <is>
          <t>International Foods Leeds Limited</t>
        </is>
      </c>
      <c r="G100" s="5" t="inlineStr">
        <is>
          <t>Independent Supermarket</t>
        </is>
      </c>
      <c r="H100" s="5" t="inlineStr">
        <is>
          <t>South Asian supermarket with halal meat</t>
        </is>
      </c>
      <c r="I100" s="5" t="inlineStr">
        <is>
          <t>Independent</t>
        </is>
      </c>
      <c r="J100" s="5" t="inlineStr">
        <is>
          <t>1</t>
        </is>
      </c>
      <c r="K100" s="5" t="inlineStr"/>
      <c r="L100" s="5" t="inlineStr"/>
      <c r="M100" s="5" t="inlineStr"/>
      <c r="N100" s="5" t="inlineStr"/>
      <c r="O100" s="5" t="inlineStr">
        <is>
          <t>166 Harehills Lane</t>
        </is>
      </c>
      <c r="P100" s="5" t="inlineStr">
        <is>
          <t>Harehills</t>
        </is>
      </c>
      <c r="Q100" s="5" t="inlineStr">
        <is>
          <t>Leeds</t>
        </is>
      </c>
      <c r="R100" s="5" t="inlineStr">
        <is>
          <t>West Yorkshire</t>
        </is>
      </c>
      <c r="S100" s="5" t="inlineStr">
        <is>
          <t>LS8 5JP</t>
        </is>
      </c>
      <c r="T100" s="5" t="inlineStr">
        <is>
          <t>Yorkshire &amp; Humber</t>
        </is>
      </c>
      <c r="U100" s="5" t="inlineStr">
        <is>
          <t>England</t>
        </is>
      </c>
      <c r="V100" s="5" t="inlineStr"/>
      <c r="W100" s="5" t="inlineStr"/>
      <c r="X100" s="5" t="inlineStr"/>
      <c r="Y100" s="5" t="inlineStr"/>
      <c r="Z100" s="5" t="inlineStr"/>
      <c r="AA100" s="5" t="inlineStr"/>
      <c r="AB100" s="5" t="inlineStr"/>
      <c r="AC100" s="5" t="inlineStr"/>
      <c r="AD100" s="5" t="inlineStr"/>
      <c r="AE100" s="5" t="inlineStr">
        <is>
          <t>09552908</t>
        </is>
      </c>
      <c r="AF100" s="5" t="inlineStr"/>
      <c r="AG100" s="5" t="inlineStr">
        <is>
          <t>INTERNATIONAL FOODS LEEDS LIMITED</t>
        </is>
      </c>
      <c r="AH100" s="5" t="inlineStr">
        <is>
          <t>166 Harehills Lane, Leeds, LS8 5JP</t>
        </is>
      </c>
      <c r="AI100" s="5" t="inlineStr">
        <is>
          <t>2015-04-21</t>
        </is>
      </c>
      <c r="AJ100" s="5" t="inlineStr"/>
      <c r="AK100" s="5" t="inlineStr">
        <is>
          <t>halal meat; groceries; South Asian foods</t>
        </is>
      </c>
      <c r="AL100" s="5" t="inlineStr"/>
      <c r="AM100" s="5" t="inlineStr">
        <is>
          <t>Independent Supermarket</t>
        </is>
      </c>
      <c r="AN100" s="5" t="inlineStr"/>
      <c r="AO100" s="5" t="inlineStr">
        <is>
          <t>Open 7 days (approx 09:00-20:00/21:00). Companies House details taken from the CH search result snippet; CH site itself was blocked by the network proxy this session, so company status not captured.</t>
        </is>
      </c>
      <c r="AP100" s="5" t="inlineStr">
        <is>
          <t>Low</t>
        </is>
      </c>
      <c r="AQ100" s="5" t="inlineStr">
        <is>
          <t>Independent retailer; Relevant category</t>
        </is>
      </c>
      <c r="AR100" s="5" t="inlineStr">
        <is>
          <t>https://find-and-update.company-information.service.gov.uk/company/09552908</t>
        </is>
      </c>
      <c r="AS100" s="5" t="inlineStr">
        <is>
          <t>https://www.yell.com/biz/international-foods-ltd-leeds-8342998/</t>
        </is>
      </c>
      <c r="AT100" s="5" t="inlineStr">
        <is>
          <t>3</t>
        </is>
      </c>
      <c r="AU100" s="5" t="inlineStr">
        <is>
          <t>No</t>
        </is>
      </c>
      <c r="AV100" s="5" t="inlineStr">
        <is>
          <t>No</t>
        </is>
      </c>
      <c r="AW100" s="5" t="inlineStr">
        <is>
          <t>No</t>
        </is>
      </c>
      <c r="AX100" s="5" t="inlineStr">
        <is>
          <t>Yes</t>
        </is>
      </c>
      <c r="AY100" s="5" t="inlineStr">
        <is>
          <t>Not Found</t>
        </is>
      </c>
      <c r="AZ100" s="5" t="inlineStr">
        <is>
          <t>Not Found</t>
        </is>
      </c>
      <c r="BA100" s="5" t="inlineStr">
        <is>
          <t>2026-09-16</t>
        </is>
      </c>
      <c r="BB100" s="5" t="inlineStr">
        <is>
          <t>Partially Verified</t>
        </is>
      </c>
      <c r="BC100" s="5" t="inlineStr">
        <is>
          <t>Medium</t>
        </is>
      </c>
      <c r="BD100" s="5" t="inlineStr"/>
      <c r="BE100" s="5" t="inlineStr">
        <is>
          <t>Business (B2B)</t>
        </is>
      </c>
      <c r="BF100" s="5" t="inlineStr">
        <is>
          <t>Legitimate interest (B2B) - assess per campaign; PECR: corporate subscribers</t>
        </is>
      </c>
      <c r="BG100" s="5" t="inlineStr"/>
      <c r="BH100" s="5" t="inlineStr">
        <is>
          <t>No</t>
        </is>
      </c>
      <c r="BI100" s="5" t="inlineStr">
        <is>
          <t>2026-09-16</t>
        </is>
      </c>
      <c r="BJ100" s="5" t="inlineStr">
        <is>
          <t>New</t>
        </is>
      </c>
      <c r="BK100" s="5" t="inlineStr">
        <is>
          <t>2026-09-16</t>
        </is>
      </c>
      <c r="BL100" s="5" t="inlineStr"/>
      <c r="BM100" s="5" t="inlineStr"/>
      <c r="BN100" s="5" t="inlineStr"/>
      <c r="BO100" s="5" t="inlineStr"/>
      <c r="BP100" s="5" t="inlineStr"/>
      <c r="BQ100" s="5" t="inlineStr"/>
    </row>
    <row r="101">
      <c r="A101" s="10" t="inlineStr">
        <is>
          <t>WY-0100</t>
        </is>
      </c>
      <c r="B101" s="10" t="inlineStr">
        <is>
          <t>WY-0100-01</t>
        </is>
      </c>
      <c r="C101" s="10" t="inlineStr"/>
      <c r="D101" s="10" t="inlineStr">
        <is>
          <t>Javid Supermarket</t>
        </is>
      </c>
      <c r="E101" s="10" t="inlineStr">
        <is>
          <t>Javid Supermarket</t>
        </is>
      </c>
      <c r="F101" s="10" t="inlineStr"/>
      <c r="G101" s="10" t="inlineStr">
        <is>
          <t>Independent Supermarket</t>
        </is>
      </c>
      <c r="H101" s="10" t="inlineStr">
        <is>
          <t>Halal, Asian, Caribbean and world foods supermarket</t>
        </is>
      </c>
      <c r="I101" s="10" t="inlineStr">
        <is>
          <t>Independent</t>
        </is>
      </c>
      <c r="J101" s="10" t="inlineStr">
        <is>
          <t>1</t>
        </is>
      </c>
      <c r="K101" s="10" t="inlineStr">
        <is>
          <t>https://www.javidsupermarket.co.uk/</t>
        </is>
      </c>
      <c r="L101" s="10" t="inlineStr"/>
      <c r="M101" s="10" t="inlineStr">
        <is>
          <t>https://www.instagram.com/javidsupermarket/</t>
        </is>
      </c>
      <c r="N101" s="10" t="inlineStr"/>
      <c r="O101" s="10" t="inlineStr">
        <is>
          <t>177-179 Bradford Road</t>
        </is>
      </c>
      <c r="P101" s="10" t="inlineStr">
        <is>
          <t>Fartown</t>
        </is>
      </c>
      <c r="Q101" s="10" t="inlineStr">
        <is>
          <t>Huddersfield</t>
        </is>
      </c>
      <c r="R101" s="10" t="inlineStr">
        <is>
          <t>West Yorkshire</t>
        </is>
      </c>
      <c r="S101" s="10" t="inlineStr">
        <is>
          <t>HD1 6EQ</t>
        </is>
      </c>
      <c r="T101" s="10" t="inlineStr">
        <is>
          <t>Yorkshire &amp; Humber</t>
        </is>
      </c>
      <c r="U101" s="10" t="inlineStr">
        <is>
          <t>England</t>
        </is>
      </c>
      <c r="V101" s="10" t="inlineStr">
        <is>
          <t>01484 517411</t>
        </is>
      </c>
      <c r="W101" s="10" t="inlineStr"/>
      <c r="X101" s="10" t="inlineStr"/>
      <c r="Y101" s="10" t="inlineStr">
        <is>
          <t>contact@javidsupermarket.co.uk</t>
        </is>
      </c>
      <c r="Z101" s="10" t="inlineStr"/>
      <c r="AA101" s="10" t="inlineStr"/>
      <c r="AB101" s="10" t="inlineStr"/>
      <c r="AC101" s="10" t="inlineStr"/>
      <c r="AD101" s="10" t="inlineStr"/>
      <c r="AE101" s="10" t="inlineStr"/>
      <c r="AF101" s="10" t="inlineStr"/>
      <c r="AG101" s="10" t="inlineStr"/>
      <c r="AH101" s="10" t="inlineStr"/>
      <c r="AI101" s="10" t="inlineStr"/>
      <c r="AJ101" s="10" t="inlineStr"/>
      <c r="AK101" s="10" t="inlineStr">
        <is>
          <t>halal meat; poultry; fish; Caribbean, African, Middle Eastern, Polish and English groceries; fresh produce</t>
        </is>
      </c>
      <c r="AL101" s="10" t="inlineStr"/>
      <c r="AM101" s="10" t="inlineStr">
        <is>
          <t>Independent Supermarket</t>
        </is>
      </c>
      <c r="AN101" s="10" t="inlineStr"/>
      <c r="AO101" s="10" t="inlineStr">
        <is>
          <t>Address and phone cross-checked across Yelp, Britainfirm and own-site contact page surfaced in search results.</t>
        </is>
      </c>
      <c r="AP101" s="10" t="inlineStr">
        <is>
          <t>Medium</t>
        </is>
      </c>
      <c r="AQ101" s="10" t="inlineStr">
        <is>
          <t>Independent retailer; Relevant category; Public email available; Active website; Social presence</t>
        </is>
      </c>
      <c r="AR101" s="10" t="inlineStr">
        <is>
          <t>https://www.javidsupermarket.co.uk/contact/</t>
        </is>
      </c>
      <c r="AS101" s="10" t="inlineStr">
        <is>
          <t>https://www.instagram.com/javidsupermarket/</t>
        </is>
      </c>
      <c r="AT101" s="10" t="inlineStr">
        <is>
          <t>4</t>
        </is>
      </c>
      <c r="AU101" s="10" t="inlineStr">
        <is>
          <t>No</t>
        </is>
      </c>
      <c r="AV101" s="10" t="inlineStr">
        <is>
          <t>No</t>
        </is>
      </c>
      <c r="AW101" s="10" t="inlineStr">
        <is>
          <t>No</t>
        </is>
      </c>
      <c r="AX101" s="10" t="inlineStr">
        <is>
          <t>No</t>
        </is>
      </c>
      <c r="AY101" s="10" t="inlineStr">
        <is>
          <t>Verified directory</t>
        </is>
      </c>
      <c r="AZ101" s="10" t="inlineStr">
        <is>
          <t>Publicly Listed</t>
        </is>
      </c>
      <c r="BA101" s="10" t="inlineStr">
        <is>
          <t>2026-09-16</t>
        </is>
      </c>
      <c r="BB101" s="10" t="inlineStr">
        <is>
          <t>Requires Verification</t>
        </is>
      </c>
      <c r="BC101" s="10" t="inlineStr">
        <is>
          <t>Medium</t>
        </is>
      </c>
      <c r="BD101" s="10" t="inlineStr"/>
      <c r="BE101" s="10" t="inlineStr">
        <is>
          <t>Business (B2B)</t>
        </is>
      </c>
      <c r="BF101" s="10" t="inlineStr">
        <is>
          <t>Legitimate interest (B2B) - assess per campaign; PECR: corporate subscribers</t>
        </is>
      </c>
      <c r="BG101" s="10" t="inlineStr"/>
      <c r="BH101" s="10" t="inlineStr">
        <is>
          <t>No</t>
        </is>
      </c>
      <c r="BI101" s="10" t="inlineStr">
        <is>
          <t>2026-09-16</t>
        </is>
      </c>
      <c r="BJ101" s="10" t="inlineStr">
        <is>
          <t>New</t>
        </is>
      </c>
      <c r="BK101" s="10" t="inlineStr">
        <is>
          <t>2026-09-16</t>
        </is>
      </c>
      <c r="BL101" s="10" t="inlineStr"/>
      <c r="BM101" s="10" t="inlineStr"/>
      <c r="BN101" s="10" t="inlineStr"/>
      <c r="BO101" s="10" t="inlineStr"/>
      <c r="BP101" s="10" t="inlineStr"/>
      <c r="BQ101" s="10" t="inlineStr"/>
    </row>
    <row r="102">
      <c r="A102" s="5" t="inlineStr">
        <is>
          <t>WY-0101</t>
        </is>
      </c>
      <c r="B102" s="5" t="inlineStr">
        <is>
          <t>WY-0101-01</t>
        </is>
      </c>
      <c r="C102" s="5" t="inlineStr"/>
      <c r="D102" s="5" t="inlineStr">
        <is>
          <t>KV Convenience &amp; Off Licence</t>
        </is>
      </c>
      <c r="E102" s="5" t="inlineStr">
        <is>
          <t>KV Convenience &amp; Off Licence</t>
        </is>
      </c>
      <c r="F102" s="5" t="inlineStr"/>
      <c r="G102" s="5" t="inlineStr">
        <is>
          <t>Convenience Store</t>
        </is>
      </c>
      <c r="H102" s="5" t="inlineStr">
        <is>
          <t>24-hour convenience store and off-licence</t>
        </is>
      </c>
      <c r="I102" s="5" t="inlineStr">
        <is>
          <t>Independent</t>
        </is>
      </c>
      <c r="J102" s="5" t="inlineStr">
        <is>
          <t>1</t>
        </is>
      </c>
      <c r="K102" s="5" t="inlineStr"/>
      <c r="L102" s="5" t="inlineStr"/>
      <c r="M102" s="5" t="inlineStr"/>
      <c r="N102" s="5" t="inlineStr"/>
      <c r="O102" s="5" t="inlineStr">
        <is>
          <t>51-53 Market Street</t>
        </is>
      </c>
      <c r="P102" s="5" t="inlineStr">
        <is>
          <t>Milnsbridge</t>
        </is>
      </c>
      <c r="Q102" s="5" t="inlineStr">
        <is>
          <t>Huddersfield</t>
        </is>
      </c>
      <c r="R102" s="5" t="inlineStr">
        <is>
          <t>West Yorkshire</t>
        </is>
      </c>
      <c r="S102" s="5" t="inlineStr">
        <is>
          <t>HD3 4HZ</t>
        </is>
      </c>
      <c r="T102" s="5" t="inlineStr">
        <is>
          <t>Yorkshire &amp; Humber</t>
        </is>
      </c>
      <c r="U102" s="5" t="inlineStr">
        <is>
          <t>England</t>
        </is>
      </c>
      <c r="V102" s="5" t="inlineStr">
        <is>
          <t>01484 644192</t>
        </is>
      </c>
      <c r="W102" s="5" t="inlineStr"/>
      <c r="X102" s="5" t="inlineStr"/>
      <c r="Y102" s="5" t="inlineStr"/>
      <c r="Z102" s="5" t="inlineStr"/>
      <c r="AA102" s="5" t="inlineStr"/>
      <c r="AB102" s="5" t="inlineStr"/>
      <c r="AC102" s="5" t="inlineStr"/>
      <c r="AD102" s="5" t="inlineStr"/>
      <c r="AE102" s="5" t="inlineStr"/>
      <c r="AF102" s="5" t="inlineStr"/>
      <c r="AG102" s="5" t="inlineStr"/>
      <c r="AH102" s="5" t="inlineStr"/>
      <c r="AI102" s="5" t="inlineStr"/>
      <c r="AJ102" s="5" t="inlineStr"/>
      <c r="AK102" s="5" t="inlineStr">
        <is>
          <t>convenience goods; alcohol; groceries; snacks</t>
        </is>
      </c>
      <c r="AL102" s="5" t="inlineStr"/>
      <c r="AM102" s="5" t="inlineStr">
        <is>
          <t>Convenience Store</t>
        </is>
      </c>
      <c r="AN102" s="5" t="inlineStr"/>
      <c r="AO102" s="5" t="inlineStr">
        <is>
          <t>Granted a 24-hour alcohol licence in May 2024; sells via Snappy Shopper and Uber Eats for local delivery.</t>
        </is>
      </c>
      <c r="AP102" s="5" t="inlineStr">
        <is>
          <t>Low</t>
        </is>
      </c>
      <c r="AQ102" s="5" t="inlineStr">
        <is>
          <t>Independent retailer; Relevant category</t>
        </is>
      </c>
      <c r="AR102" s="5" t="inlineStr">
        <is>
          <t>https://www.yellowtom.co.uk/1452035</t>
        </is>
      </c>
      <c r="AS102" s="5" t="inlineStr">
        <is>
          <t>https://www.snappyshopper.co.uk/store/KV-Convenience-Off-Licence</t>
        </is>
      </c>
      <c r="AT102" s="5" t="inlineStr">
        <is>
          <t>3</t>
        </is>
      </c>
      <c r="AU102" s="5" t="inlineStr">
        <is>
          <t>No</t>
        </is>
      </c>
      <c r="AV102" s="5" t="inlineStr">
        <is>
          <t>No</t>
        </is>
      </c>
      <c r="AW102" s="5" t="inlineStr">
        <is>
          <t>No</t>
        </is>
      </c>
      <c r="AX102" s="5" t="inlineStr">
        <is>
          <t>No</t>
        </is>
      </c>
      <c r="AY102" s="5" t="inlineStr">
        <is>
          <t>Verified directory</t>
        </is>
      </c>
      <c r="AZ102" s="5" t="inlineStr">
        <is>
          <t>Not Found</t>
        </is>
      </c>
      <c r="BA102" s="5" t="inlineStr">
        <is>
          <t>2026-09-16</t>
        </is>
      </c>
      <c r="BB102" s="5" t="inlineStr">
        <is>
          <t>Requires Verification</t>
        </is>
      </c>
      <c r="BC102" s="5" t="inlineStr">
        <is>
          <t>Medium</t>
        </is>
      </c>
      <c r="BD102" s="5" t="inlineStr"/>
      <c r="BE102" s="5" t="inlineStr">
        <is>
          <t>Business (B2B)</t>
        </is>
      </c>
      <c r="BF102" s="5" t="inlineStr">
        <is>
          <t>Legitimate interest (B2B) - assess per campaign; PECR: corporate subscribers</t>
        </is>
      </c>
      <c r="BG102" s="5" t="inlineStr"/>
      <c r="BH102" s="5" t="inlineStr">
        <is>
          <t>No</t>
        </is>
      </c>
      <c r="BI102" s="5" t="inlineStr">
        <is>
          <t>2026-09-16</t>
        </is>
      </c>
      <c r="BJ102" s="5" t="inlineStr">
        <is>
          <t>New</t>
        </is>
      </c>
      <c r="BK102" s="5" t="inlineStr">
        <is>
          <t>2026-09-16</t>
        </is>
      </c>
      <c r="BL102" s="5" t="inlineStr"/>
      <c r="BM102" s="5" t="inlineStr"/>
      <c r="BN102" s="5" t="inlineStr"/>
      <c r="BO102" s="5" t="inlineStr"/>
      <c r="BP102" s="5" t="inlineStr"/>
      <c r="BQ102" s="5" t="inlineStr"/>
    </row>
    <row r="103">
      <c r="A103" s="10" t="inlineStr">
        <is>
          <t>WY-0102</t>
        </is>
      </c>
      <c r="B103" s="10" t="inlineStr">
        <is>
          <t>WY-0102-01</t>
        </is>
      </c>
      <c r="C103" s="10" t="inlineStr"/>
      <c r="D103" s="10" t="inlineStr">
        <is>
          <t>Kasa Beeston Convenience Store</t>
        </is>
      </c>
      <c r="E103" s="10" t="inlineStr">
        <is>
          <t>Kasa Beeston</t>
        </is>
      </c>
      <c r="F103" s="10" t="inlineStr"/>
      <c r="G103" s="10" t="inlineStr">
        <is>
          <t>Convenience Store</t>
        </is>
      </c>
      <c r="H103" s="10" t="inlineStr">
        <is>
          <t>24-hour convenience store with off-licence and food-to-go</t>
        </is>
      </c>
      <c r="I103" s="10" t="inlineStr">
        <is>
          <t>Independent</t>
        </is>
      </c>
      <c r="J103" s="10" t="inlineStr">
        <is>
          <t>1</t>
        </is>
      </c>
      <c r="K103" s="10" t="inlineStr">
        <is>
          <t>https://kasabeeston.com/</t>
        </is>
      </c>
      <c r="L103" s="10" t="inlineStr">
        <is>
          <t>https://www.facebook.com/kasabeestonstore/</t>
        </is>
      </c>
      <c r="M103" s="10" t="inlineStr"/>
      <c r="N103" s="10" t="inlineStr"/>
      <c r="O103" s="10" t="inlineStr">
        <is>
          <t>334-336 Dewsbury Road</t>
        </is>
      </c>
      <c r="P103" s="10" t="inlineStr">
        <is>
          <t>Beeston</t>
        </is>
      </c>
      <c r="Q103" s="10" t="inlineStr">
        <is>
          <t>Leeds</t>
        </is>
      </c>
      <c r="R103" s="10" t="inlineStr">
        <is>
          <t>West Yorkshire</t>
        </is>
      </c>
      <c r="S103" s="10" t="inlineStr">
        <is>
          <t>LS11 7DJ</t>
        </is>
      </c>
      <c r="T103" s="10" t="inlineStr">
        <is>
          <t>Yorkshire &amp; Humber</t>
        </is>
      </c>
      <c r="U103" s="10" t="inlineStr">
        <is>
          <t>England</t>
        </is>
      </c>
      <c r="V103" s="10" t="inlineStr">
        <is>
          <t>0113 277 5757</t>
        </is>
      </c>
      <c r="W103" s="10" t="inlineStr"/>
      <c r="X103" s="10" t="inlineStr"/>
      <c r="Y103" s="10" t="inlineStr">
        <is>
          <t>info@kasabeeston.com</t>
        </is>
      </c>
      <c r="Z103" s="10" t="inlineStr"/>
      <c r="AA103" s="10" t="inlineStr"/>
      <c r="AB103" s="10" t="inlineStr"/>
      <c r="AC103" s="10" t="inlineStr"/>
      <c r="AD103" s="10" t="inlineStr"/>
      <c r="AE103" s="10" t="inlineStr"/>
      <c r="AF103" s="10" t="inlineStr"/>
      <c r="AG103" s="10" t="inlineStr"/>
      <c r="AH103" s="10" t="inlineStr"/>
      <c r="AI103" s="10" t="inlineStr"/>
      <c r="AJ103" s="10" t="inlineStr"/>
      <c r="AK103" s="10" t="inlineStr">
        <is>
          <t>groceries; alcohol; halal food-to-go; lottery; PayPoint</t>
        </is>
      </c>
      <c r="AL103" s="10" t="inlineStr"/>
      <c r="AM103" s="10" t="inlineStr">
        <is>
          <t>Convenience Store</t>
        </is>
      </c>
      <c r="AN103" s="10" t="inlineStr"/>
      <c r="AO103" s="10" t="inlineStr">
        <is>
          <t>Open 24/7; cash machine, halal deli counter, delivery offered.</t>
        </is>
      </c>
      <c r="AP103" s="10" t="inlineStr">
        <is>
          <t>Medium</t>
        </is>
      </c>
      <c r="AQ103" s="10" t="inlineStr">
        <is>
          <t>Independent retailer; Relevant category; Public email available; Active website; Social presence</t>
        </is>
      </c>
      <c r="AR103" s="10" t="inlineStr">
        <is>
          <t>https://kasabeeston.com/</t>
        </is>
      </c>
      <c r="AS103" s="10" t="inlineStr">
        <is>
          <t>https://www.bizseek.co.uk/kasa-beeston-convenience-store-0113-277-5757</t>
        </is>
      </c>
      <c r="AT103" s="10" t="inlineStr">
        <is>
          <t>3</t>
        </is>
      </c>
      <c r="AU103" s="10" t="inlineStr">
        <is>
          <t>No</t>
        </is>
      </c>
      <c r="AV103" s="10" t="inlineStr">
        <is>
          <t>No</t>
        </is>
      </c>
      <c r="AW103" s="10" t="inlineStr">
        <is>
          <t>Yes</t>
        </is>
      </c>
      <c r="AX103" s="10" t="inlineStr">
        <is>
          <t>No</t>
        </is>
      </c>
      <c r="AY103" s="10" t="inlineStr">
        <is>
          <t>Verified directory</t>
        </is>
      </c>
      <c r="AZ103" s="10" t="inlineStr">
        <is>
          <t>Website Found</t>
        </is>
      </c>
      <c r="BA103" s="10" t="inlineStr">
        <is>
          <t>2026-09-16</t>
        </is>
      </c>
      <c r="BB103" s="10" t="inlineStr">
        <is>
          <t>Partially Verified</t>
        </is>
      </c>
      <c r="BC103" s="10" t="inlineStr">
        <is>
          <t>Medium</t>
        </is>
      </c>
      <c r="BD103" s="10" t="inlineStr"/>
      <c r="BE103" s="10" t="inlineStr">
        <is>
          <t>Business (B2B)</t>
        </is>
      </c>
      <c r="BF103" s="10" t="inlineStr">
        <is>
          <t>Legitimate interest (B2B) - assess per campaign; PECR: corporate subscribers</t>
        </is>
      </c>
      <c r="BG103" s="10" t="inlineStr"/>
      <c r="BH103" s="10" t="inlineStr">
        <is>
          <t>No</t>
        </is>
      </c>
      <c r="BI103" s="10" t="inlineStr">
        <is>
          <t>2026-09-16</t>
        </is>
      </c>
      <c r="BJ103" s="10" t="inlineStr">
        <is>
          <t>New</t>
        </is>
      </c>
      <c r="BK103" s="10" t="inlineStr">
        <is>
          <t>2026-09-16</t>
        </is>
      </c>
      <c r="BL103" s="10" t="inlineStr"/>
      <c r="BM103" s="10" t="inlineStr"/>
      <c r="BN103" s="10" t="inlineStr"/>
      <c r="BO103" s="10" t="inlineStr"/>
      <c r="BP103" s="10" t="inlineStr"/>
      <c r="BQ103" s="10" t="inlineStr"/>
    </row>
    <row r="104">
      <c r="A104" s="5" t="inlineStr">
        <is>
          <t>WY-0103</t>
        </is>
      </c>
      <c r="B104" s="5" t="inlineStr">
        <is>
          <t>WY-0103-01</t>
        </is>
      </c>
      <c r="C104" s="5" t="inlineStr"/>
      <c r="D104" s="5" t="inlineStr">
        <is>
          <t>Kash News &amp; Gifts</t>
        </is>
      </c>
      <c r="E104" s="5" t="inlineStr">
        <is>
          <t>Kash News</t>
        </is>
      </c>
      <c r="F104" s="5" t="inlineStr"/>
      <c r="G104" s="5" t="inlineStr">
        <is>
          <t>Newsagent</t>
        </is>
      </c>
      <c r="H104" s="5" t="inlineStr">
        <is>
          <t>Newsagent and gifts</t>
        </is>
      </c>
      <c r="I104" s="5" t="inlineStr">
        <is>
          <t>Independent</t>
        </is>
      </c>
      <c r="J104" s="5" t="inlineStr">
        <is>
          <t>1</t>
        </is>
      </c>
      <c r="K104" s="5" t="inlineStr"/>
      <c r="L104" s="5" t="inlineStr"/>
      <c r="M104" s="5" t="inlineStr"/>
      <c r="N104" s="5" t="inlineStr"/>
      <c r="O104" s="5" t="inlineStr">
        <is>
          <t>51 Commercial Street</t>
        </is>
      </c>
      <c r="P104" s="5" t="inlineStr"/>
      <c r="Q104" s="5" t="inlineStr">
        <is>
          <t>Brighouse</t>
        </is>
      </c>
      <c r="R104" s="5" t="inlineStr">
        <is>
          <t>West Yorkshire</t>
        </is>
      </c>
      <c r="S104" s="5" t="inlineStr">
        <is>
          <t>HD6 1AF</t>
        </is>
      </c>
      <c r="T104" s="5" t="inlineStr">
        <is>
          <t>Yorkshire &amp; Humber</t>
        </is>
      </c>
      <c r="U104" s="5" t="inlineStr">
        <is>
          <t>England</t>
        </is>
      </c>
      <c r="V104" s="5" t="inlineStr">
        <is>
          <t>01484 400405</t>
        </is>
      </c>
      <c r="W104" s="5" t="inlineStr"/>
      <c r="X104" s="5" t="inlineStr"/>
      <c r="Y104" s="5" t="inlineStr"/>
      <c r="Z104" s="5" t="inlineStr"/>
      <c r="AA104" s="5" t="inlineStr"/>
      <c r="AB104" s="5" t="inlineStr"/>
      <c r="AC104" s="5" t="inlineStr"/>
      <c r="AD104" s="5" t="inlineStr"/>
      <c r="AE104" s="5" t="inlineStr"/>
      <c r="AF104" s="5" t="inlineStr"/>
      <c r="AG104" s="5" t="inlineStr"/>
      <c r="AH104" s="5" t="inlineStr"/>
      <c r="AI104" s="5" t="inlineStr"/>
      <c r="AJ104" s="5" t="inlineStr"/>
      <c r="AK104" s="5" t="inlineStr">
        <is>
          <t>news; confectionery; gifts</t>
        </is>
      </c>
      <c r="AL104" s="5" t="inlineStr"/>
      <c r="AM104" s="5" t="inlineStr">
        <is>
          <t>Newsagent</t>
        </is>
      </c>
      <c r="AN104" s="5" t="inlineStr"/>
      <c r="AO104" s="5" t="inlineStr">
        <is>
          <t>Open 07:00-17:30 per directory listing.</t>
        </is>
      </c>
      <c r="AP104" s="5" t="inlineStr">
        <is>
          <t>Low</t>
        </is>
      </c>
      <c r="AQ104" s="5" t="inlineStr">
        <is>
          <t>Independent retailer; Relevant category</t>
        </is>
      </c>
      <c r="AR104" s="5" t="inlineStr">
        <is>
          <t>https://www.thomsonlocal.com/search/newsagents/halifax-brighouse-calderdale/kash-news-gifts/922805/01484400405</t>
        </is>
      </c>
      <c r="AS104" s="5" t="inlineStr">
        <is>
          <t>https://findit.batleynews.co.uk/company/437704624939008</t>
        </is>
      </c>
      <c r="AT104" s="5" t="inlineStr">
        <is>
          <t>3</t>
        </is>
      </c>
      <c r="AU104" s="5" t="inlineStr">
        <is>
          <t>No</t>
        </is>
      </c>
      <c r="AV104" s="5" t="inlineStr">
        <is>
          <t>No</t>
        </is>
      </c>
      <c r="AW104" s="5" t="inlineStr">
        <is>
          <t>No</t>
        </is>
      </c>
      <c r="AX104" s="5" t="inlineStr">
        <is>
          <t>No</t>
        </is>
      </c>
      <c r="AY104" s="5" t="inlineStr">
        <is>
          <t>Verified directory</t>
        </is>
      </c>
      <c r="AZ104" s="5" t="inlineStr">
        <is>
          <t>Not Found</t>
        </is>
      </c>
      <c r="BA104" s="5" t="inlineStr">
        <is>
          <t>2026-09-16</t>
        </is>
      </c>
      <c r="BB104" s="5" t="inlineStr">
        <is>
          <t>Requires Verification</t>
        </is>
      </c>
      <c r="BC104" s="5" t="inlineStr">
        <is>
          <t>Medium</t>
        </is>
      </c>
      <c r="BD104" s="5" t="inlineStr"/>
      <c r="BE104" s="5" t="inlineStr">
        <is>
          <t>Business (B2B)</t>
        </is>
      </c>
      <c r="BF104" s="5" t="inlineStr">
        <is>
          <t>Legitimate interest (B2B) - assess per campaign; PECR: corporate subscribers</t>
        </is>
      </c>
      <c r="BG104" s="5" t="inlineStr"/>
      <c r="BH104" s="5" t="inlineStr">
        <is>
          <t>No</t>
        </is>
      </c>
      <c r="BI104" s="5" t="inlineStr">
        <is>
          <t>2026-09-16</t>
        </is>
      </c>
      <c r="BJ104" s="5" t="inlineStr">
        <is>
          <t>New</t>
        </is>
      </c>
      <c r="BK104" s="5" t="inlineStr">
        <is>
          <t>2026-09-16</t>
        </is>
      </c>
      <c r="BL104" s="5" t="inlineStr"/>
      <c r="BM104" s="5" t="inlineStr"/>
      <c r="BN104" s="5" t="inlineStr"/>
      <c r="BO104" s="5" t="inlineStr"/>
      <c r="BP104" s="5" t="inlineStr"/>
      <c r="BQ104" s="5" t="inlineStr"/>
    </row>
    <row r="105">
      <c r="A105" s="10" t="inlineStr">
        <is>
          <t>WY-0104</t>
        </is>
      </c>
      <c r="B105" s="10" t="inlineStr">
        <is>
          <t>WY-0104-01</t>
        </is>
      </c>
      <c r="C105" s="10" t="inlineStr"/>
      <c r="D105" s="10" t="inlineStr">
        <is>
          <t>Keep In Touch</t>
        </is>
      </c>
      <c r="E105" s="10" t="inlineStr">
        <is>
          <t>Keep In Touch</t>
        </is>
      </c>
      <c r="F105" s="10" t="inlineStr"/>
      <c r="G105" s="10" t="inlineStr">
        <is>
          <t>Newsagent</t>
        </is>
      </c>
      <c r="H105" s="10" t="inlineStr">
        <is>
          <t>Newsagent</t>
        </is>
      </c>
      <c r="I105" s="10" t="inlineStr">
        <is>
          <t>Independent</t>
        </is>
      </c>
      <c r="J105" s="10" t="inlineStr">
        <is>
          <t>1</t>
        </is>
      </c>
      <c r="K105" s="10" t="inlineStr"/>
      <c r="L105" s="10" t="inlineStr"/>
      <c r="M105" s="10" t="inlineStr"/>
      <c r="N105" s="10" t="inlineStr"/>
      <c r="O105" s="10" t="inlineStr">
        <is>
          <t>5 Albion Street</t>
        </is>
      </c>
      <c r="P105" s="10" t="inlineStr"/>
      <c r="Q105" s="10" t="inlineStr">
        <is>
          <t>Castleford</t>
        </is>
      </c>
      <c r="R105" s="10" t="inlineStr">
        <is>
          <t>West Yorkshire</t>
        </is>
      </c>
      <c r="S105" s="10" t="inlineStr">
        <is>
          <t>WF10 1EG</t>
        </is>
      </c>
      <c r="T105" s="10" t="inlineStr">
        <is>
          <t>Yorkshire &amp; Humber</t>
        </is>
      </c>
      <c r="U105" s="10" t="inlineStr">
        <is>
          <t>England</t>
        </is>
      </c>
      <c r="V105" s="10" t="inlineStr"/>
      <c r="W105" s="10" t="inlineStr"/>
      <c r="X105" s="10" t="inlineStr"/>
      <c r="Y105" s="10" t="inlineStr"/>
      <c r="Z105" s="10" t="inlineStr"/>
      <c r="AA105" s="10" t="inlineStr"/>
      <c r="AB105" s="10" t="inlineStr"/>
      <c r="AC105" s="10" t="inlineStr"/>
      <c r="AD105" s="10" t="inlineStr"/>
      <c r="AE105" s="10" t="inlineStr"/>
      <c r="AF105" s="10" t="inlineStr"/>
      <c r="AG105" s="10" t="inlineStr"/>
      <c r="AH105" s="10" t="inlineStr"/>
      <c r="AI105" s="10" t="inlineStr"/>
      <c r="AJ105" s="10" t="inlineStr"/>
      <c r="AK105" s="10" t="inlineStr">
        <is>
          <t>news and magazines; confectionery; tobacco</t>
        </is>
      </c>
      <c r="AL105" s="10" t="inlineStr"/>
      <c r="AM105" s="10" t="inlineStr">
        <is>
          <t>Newsagent</t>
        </is>
      </c>
      <c r="AN105" s="10" t="inlineStr"/>
      <c r="AO105" s="10" t="inlineStr">
        <is>
          <t>Same street (Albion Street) as Tylor's Booze in Castleford town centre.</t>
        </is>
      </c>
      <c r="AP105" s="10" t="inlineStr">
        <is>
          <t>Low</t>
        </is>
      </c>
      <c r="AQ105" s="10" t="inlineStr">
        <is>
          <t>Independent retailer; Relevant category</t>
        </is>
      </c>
      <c r="AR105" s="10" t="inlineStr">
        <is>
          <t>https://www.192.com/atoz/business/castleford-wf10/newsagents/keep-in-touch/645f3ab15b4cb6acdbc0eb9ef27c5a71438678bb/ml/</t>
        </is>
      </c>
      <c r="AS105" s="10" t="inlineStr"/>
      <c r="AT105" s="10" t="inlineStr">
        <is>
          <t>1</t>
        </is>
      </c>
      <c r="AU105" s="10" t="inlineStr">
        <is>
          <t>No</t>
        </is>
      </c>
      <c r="AV105" s="10" t="inlineStr">
        <is>
          <t>No</t>
        </is>
      </c>
      <c r="AW105" s="10" t="inlineStr">
        <is>
          <t>No</t>
        </is>
      </c>
      <c r="AX105" s="10" t="inlineStr">
        <is>
          <t>No</t>
        </is>
      </c>
      <c r="AY105" s="10" t="inlineStr">
        <is>
          <t>Not Found</t>
        </is>
      </c>
      <c r="AZ105" s="10" t="inlineStr">
        <is>
          <t>Not Found</t>
        </is>
      </c>
      <c r="BA105" s="10" t="inlineStr">
        <is>
          <t>2026-09-16</t>
        </is>
      </c>
      <c r="BB105" s="10" t="inlineStr">
        <is>
          <t>Requires Verification</t>
        </is>
      </c>
      <c r="BC105" s="10" t="inlineStr">
        <is>
          <t>Low</t>
        </is>
      </c>
      <c r="BD105" s="10" t="inlineStr"/>
      <c r="BE105" s="10" t="inlineStr">
        <is>
          <t>Business (B2B)</t>
        </is>
      </c>
      <c r="BF105" s="10" t="inlineStr">
        <is>
          <t>Legitimate interest (B2B) - assess per campaign; PECR: corporate subscribers</t>
        </is>
      </c>
      <c r="BG105" s="10" t="inlineStr"/>
      <c r="BH105" s="10" t="inlineStr">
        <is>
          <t>No</t>
        </is>
      </c>
      <c r="BI105" s="10" t="inlineStr">
        <is>
          <t>2026-09-16</t>
        </is>
      </c>
      <c r="BJ105" s="10" t="inlineStr">
        <is>
          <t>New</t>
        </is>
      </c>
      <c r="BK105" s="10" t="inlineStr">
        <is>
          <t>2026-09-16</t>
        </is>
      </c>
      <c r="BL105" s="10" t="inlineStr"/>
      <c r="BM105" s="10" t="inlineStr"/>
      <c r="BN105" s="10" t="inlineStr"/>
      <c r="BO105" s="10" t="inlineStr"/>
      <c r="BP105" s="10" t="inlineStr"/>
      <c r="BQ105" s="10" t="inlineStr"/>
    </row>
    <row r="106">
      <c r="A106" s="5" t="inlineStr">
        <is>
          <t>WY-0105</t>
        </is>
      </c>
      <c r="B106" s="5" t="inlineStr">
        <is>
          <t>WY-0105-01</t>
        </is>
      </c>
      <c r="C106" s="5" t="inlineStr"/>
      <c r="D106" s="5" t="inlineStr">
        <is>
          <t>Keighley Newsagent</t>
        </is>
      </c>
      <c r="E106" s="5" t="inlineStr">
        <is>
          <t>Keighley Newsagent</t>
        </is>
      </c>
      <c r="F106" s="5" t="inlineStr"/>
      <c r="G106" s="5" t="inlineStr">
        <is>
          <t>Newsagent</t>
        </is>
      </c>
      <c r="H106" s="5" t="inlineStr">
        <is>
          <t>Town-centre newsagent</t>
        </is>
      </c>
      <c r="I106" s="5" t="inlineStr">
        <is>
          <t>Independent</t>
        </is>
      </c>
      <c r="J106" s="5" t="inlineStr">
        <is>
          <t>1</t>
        </is>
      </c>
      <c r="K106" s="5" t="inlineStr"/>
      <c r="L106" s="5" t="inlineStr"/>
      <c r="M106" s="5" t="inlineStr"/>
      <c r="N106" s="5" t="inlineStr"/>
      <c r="O106" s="5" t="inlineStr">
        <is>
          <t>125 North Street</t>
        </is>
      </c>
      <c r="P106" s="5" t="inlineStr"/>
      <c r="Q106" s="5" t="inlineStr">
        <is>
          <t>Keighley</t>
        </is>
      </c>
      <c r="R106" s="5" t="inlineStr">
        <is>
          <t>West Yorkshire</t>
        </is>
      </c>
      <c r="S106" s="5" t="inlineStr">
        <is>
          <t>BD21 3AD</t>
        </is>
      </c>
      <c r="T106" s="5" t="inlineStr">
        <is>
          <t>Yorkshire &amp; Humber</t>
        </is>
      </c>
      <c r="U106" s="5" t="inlineStr">
        <is>
          <t>England</t>
        </is>
      </c>
      <c r="V106" s="5" t="inlineStr"/>
      <c r="W106" s="5" t="inlineStr"/>
      <c r="X106" s="5" t="inlineStr"/>
      <c r="Y106" s="5" t="inlineStr"/>
      <c r="Z106" s="5" t="inlineStr"/>
      <c r="AA106" s="5" t="inlineStr"/>
      <c r="AB106" s="5" t="inlineStr"/>
      <c r="AC106" s="5" t="inlineStr"/>
      <c r="AD106" s="5" t="inlineStr"/>
      <c r="AE106" s="5" t="inlineStr"/>
      <c r="AF106" s="5" t="inlineStr"/>
      <c r="AG106" s="5" t="inlineStr"/>
      <c r="AH106" s="5" t="inlineStr"/>
      <c r="AI106" s="5" t="inlineStr"/>
      <c r="AJ106" s="5" t="inlineStr"/>
      <c r="AK106" s="5" t="inlineStr">
        <is>
          <t>news; magazines; tobacco; convenience lines</t>
        </is>
      </c>
      <c r="AL106" s="5" t="inlineStr"/>
      <c r="AM106" s="5" t="inlineStr">
        <is>
          <t>Newsagent</t>
        </is>
      </c>
      <c r="AN106" s="5" t="inlineStr"/>
      <c r="AO106" s="5" t="inlineStr">
        <is>
          <t>Directory-listed newsagent at 125 North Street (also appears spelled 'Kieghly Newsagent' in one directory).</t>
        </is>
      </c>
      <c r="AP106" s="5" t="inlineStr">
        <is>
          <t>Low</t>
        </is>
      </c>
      <c r="AQ106" s="5" t="inlineStr">
        <is>
          <t>Independent retailer; Relevant category</t>
        </is>
      </c>
      <c r="AR106" s="5" t="inlineStr">
        <is>
          <t>https://directory.bradfordpages.co.uk/company/504571861241856</t>
        </is>
      </c>
      <c r="AS106" s="5" t="inlineStr"/>
      <c r="AT106" s="5" t="inlineStr">
        <is>
          <t>1</t>
        </is>
      </c>
      <c r="AU106" s="5" t="inlineStr">
        <is>
          <t>No</t>
        </is>
      </c>
      <c r="AV106" s="5" t="inlineStr">
        <is>
          <t>No</t>
        </is>
      </c>
      <c r="AW106" s="5" t="inlineStr">
        <is>
          <t>No</t>
        </is>
      </c>
      <c r="AX106" s="5" t="inlineStr">
        <is>
          <t>No</t>
        </is>
      </c>
      <c r="AY106" s="5" t="inlineStr">
        <is>
          <t>Not Found</t>
        </is>
      </c>
      <c r="AZ106" s="5" t="inlineStr">
        <is>
          <t>Not Found</t>
        </is>
      </c>
      <c r="BA106" s="5" t="inlineStr">
        <is>
          <t>2026-09-16</t>
        </is>
      </c>
      <c r="BB106" s="5" t="inlineStr">
        <is>
          <t>Requires Verification</t>
        </is>
      </c>
      <c r="BC106" s="5" t="inlineStr">
        <is>
          <t>Low</t>
        </is>
      </c>
      <c r="BD106" s="5" t="inlineStr"/>
      <c r="BE106" s="5" t="inlineStr">
        <is>
          <t>Business (B2B)</t>
        </is>
      </c>
      <c r="BF106" s="5" t="inlineStr">
        <is>
          <t>Legitimate interest (B2B) - assess per campaign; PECR: corporate subscribers</t>
        </is>
      </c>
      <c r="BG106" s="5" t="inlineStr"/>
      <c r="BH106" s="5" t="inlineStr">
        <is>
          <t>No</t>
        </is>
      </c>
      <c r="BI106" s="5" t="inlineStr">
        <is>
          <t>2026-09-16</t>
        </is>
      </c>
      <c r="BJ106" s="5" t="inlineStr">
        <is>
          <t>New</t>
        </is>
      </c>
      <c r="BK106" s="5" t="inlineStr">
        <is>
          <t>2026-09-16</t>
        </is>
      </c>
      <c r="BL106" s="5" t="inlineStr"/>
      <c r="BM106" s="5" t="inlineStr"/>
      <c r="BN106" s="5" t="inlineStr"/>
      <c r="BO106" s="5" t="inlineStr"/>
      <c r="BP106" s="5" t="inlineStr"/>
      <c r="BQ106" s="5" t="inlineStr"/>
    </row>
    <row r="107">
      <c r="A107" s="10" t="inlineStr">
        <is>
          <t>WY-0106</t>
        </is>
      </c>
      <c r="B107" s="10" t="inlineStr">
        <is>
          <t>WY-0106-01</t>
        </is>
      </c>
      <c r="C107" s="10" t="inlineStr"/>
      <c r="D107" s="10" t="inlineStr">
        <is>
          <t>Khadim Supersave</t>
        </is>
      </c>
      <c r="E107" s="10" t="inlineStr">
        <is>
          <t>Khadim Supersave</t>
        </is>
      </c>
      <c r="F107" s="10" t="inlineStr"/>
      <c r="G107" s="10" t="inlineStr">
        <is>
          <t>Independent Supermarket</t>
        </is>
      </c>
      <c r="H107" s="10" t="inlineStr">
        <is>
          <t>Halal grocery store</t>
        </is>
      </c>
      <c r="I107" s="10" t="inlineStr">
        <is>
          <t>Independent</t>
        </is>
      </c>
      <c r="J107" s="10" t="inlineStr">
        <is>
          <t>1</t>
        </is>
      </c>
      <c r="K107" s="10" t="inlineStr"/>
      <c r="L107" s="10" t="inlineStr"/>
      <c r="M107" s="10" t="inlineStr"/>
      <c r="N107" s="10" t="inlineStr"/>
      <c r="O107" s="10" t="inlineStr">
        <is>
          <t>1 Blacker Road</t>
        </is>
      </c>
      <c r="P107" s="10" t="inlineStr">
        <is>
          <t>Birkby</t>
        </is>
      </c>
      <c r="Q107" s="10" t="inlineStr">
        <is>
          <t>Huddersfield</t>
        </is>
      </c>
      <c r="R107" s="10" t="inlineStr">
        <is>
          <t>West Yorkshire</t>
        </is>
      </c>
      <c r="S107" s="10" t="inlineStr">
        <is>
          <t>HD1 5HU</t>
        </is>
      </c>
      <c r="T107" s="10" t="inlineStr">
        <is>
          <t>Yorkshire &amp; Humber</t>
        </is>
      </c>
      <c r="U107" s="10" t="inlineStr">
        <is>
          <t>England</t>
        </is>
      </c>
      <c r="V107" s="10" t="inlineStr">
        <is>
          <t>01484 360513</t>
        </is>
      </c>
      <c r="W107" s="10" t="inlineStr"/>
      <c r="X107" s="10" t="inlineStr"/>
      <c r="Y107" s="10" t="inlineStr"/>
      <c r="Z107" s="10" t="inlineStr"/>
      <c r="AA107" s="10" t="inlineStr"/>
      <c r="AB107" s="10" t="inlineStr"/>
      <c r="AC107" s="10" t="inlineStr"/>
      <c r="AD107" s="10" t="inlineStr"/>
      <c r="AE107" s="10" t="inlineStr"/>
      <c r="AF107" s="10" t="inlineStr"/>
      <c r="AG107" s="10" t="inlineStr"/>
      <c r="AH107" s="10" t="inlineStr"/>
      <c r="AI107" s="10" t="inlineStr"/>
      <c r="AJ107" s="10" t="inlineStr"/>
      <c r="AK107" s="10" t="inlineStr">
        <is>
          <t>HMC halal meat; groceries; fresh produce</t>
        </is>
      </c>
      <c r="AL107" s="10" t="inlineStr"/>
      <c r="AM107" s="10" t="inlineStr">
        <is>
          <t>Independent Supermarket</t>
        </is>
      </c>
      <c r="AN107" s="10" t="inlineStr"/>
      <c r="AO107" s="10" t="inlineStr"/>
      <c r="AP107" s="10" t="inlineStr">
        <is>
          <t>Low</t>
        </is>
      </c>
      <c r="AQ107" s="10" t="inlineStr">
        <is>
          <t>Independent retailer; Relevant category</t>
        </is>
      </c>
      <c r="AR107" s="10" t="inlineStr">
        <is>
          <t>https://no-divide.co.uk/khadim-supersave/</t>
        </is>
      </c>
      <c r="AS107" s="10" t="inlineStr"/>
      <c r="AT107" s="10" t="inlineStr">
        <is>
          <t>1</t>
        </is>
      </c>
      <c r="AU107" s="10" t="inlineStr">
        <is>
          <t>No</t>
        </is>
      </c>
      <c r="AV107" s="10" t="inlineStr">
        <is>
          <t>No</t>
        </is>
      </c>
      <c r="AW107" s="10" t="inlineStr">
        <is>
          <t>No</t>
        </is>
      </c>
      <c r="AX107" s="10" t="inlineStr">
        <is>
          <t>No</t>
        </is>
      </c>
      <c r="AY107" s="10" t="inlineStr">
        <is>
          <t>Verified directory</t>
        </is>
      </c>
      <c r="AZ107" s="10" t="inlineStr">
        <is>
          <t>Not Found</t>
        </is>
      </c>
      <c r="BA107" s="10" t="inlineStr">
        <is>
          <t>2026-09-16</t>
        </is>
      </c>
      <c r="BB107" s="10" t="inlineStr">
        <is>
          <t>Requires Verification</t>
        </is>
      </c>
      <c r="BC107" s="10" t="inlineStr">
        <is>
          <t>Medium</t>
        </is>
      </c>
      <c r="BD107" s="10" t="inlineStr"/>
      <c r="BE107" s="10" t="inlineStr">
        <is>
          <t>Business (B2B)</t>
        </is>
      </c>
      <c r="BF107" s="10" t="inlineStr">
        <is>
          <t>Legitimate interest (B2B) - assess per campaign; PECR: corporate subscribers</t>
        </is>
      </c>
      <c r="BG107" s="10" t="inlineStr"/>
      <c r="BH107" s="10" t="inlineStr">
        <is>
          <t>No</t>
        </is>
      </c>
      <c r="BI107" s="10" t="inlineStr">
        <is>
          <t>2026-09-16</t>
        </is>
      </c>
      <c r="BJ107" s="10" t="inlineStr">
        <is>
          <t>New</t>
        </is>
      </c>
      <c r="BK107" s="10" t="inlineStr">
        <is>
          <t>2026-09-16</t>
        </is>
      </c>
      <c r="BL107" s="10" t="inlineStr"/>
      <c r="BM107" s="10" t="inlineStr"/>
      <c r="BN107" s="10" t="inlineStr"/>
      <c r="BO107" s="10" t="inlineStr"/>
      <c r="BP107" s="10" t="inlineStr"/>
      <c r="BQ107" s="10" t="inlineStr"/>
    </row>
    <row r="108">
      <c r="A108" s="5" t="inlineStr">
        <is>
          <t>WY-0107</t>
        </is>
      </c>
      <c r="B108" s="5" t="inlineStr">
        <is>
          <t>WY-0107-01</t>
        </is>
      </c>
      <c r="C108" s="5" t="inlineStr"/>
      <c r="D108" s="5" t="inlineStr">
        <is>
          <t>Kubus International Food</t>
        </is>
      </c>
      <c r="E108" s="5" t="inlineStr">
        <is>
          <t>Kubus International Food</t>
        </is>
      </c>
      <c r="F108" s="5" t="inlineStr"/>
      <c r="G108" s="5" t="inlineStr">
        <is>
          <t>Convenience Store</t>
        </is>
      </c>
      <c r="H108" s="5" t="inlineStr">
        <is>
          <t>International / Eastern European grocery and convenience</t>
        </is>
      </c>
      <c r="I108" s="5" t="inlineStr">
        <is>
          <t>Independent</t>
        </is>
      </c>
      <c r="J108" s="5" t="inlineStr">
        <is>
          <t>1</t>
        </is>
      </c>
      <c r="K108" s="5" t="inlineStr"/>
      <c r="L108" s="5" t="inlineStr"/>
      <c r="M108" s="5" t="inlineStr"/>
      <c r="N108" s="5" t="inlineStr"/>
      <c r="O108" s="5" t="inlineStr">
        <is>
          <t>86 Kirkgate</t>
        </is>
      </c>
      <c r="P108" s="5" t="inlineStr"/>
      <c r="Q108" s="5" t="inlineStr">
        <is>
          <t>Wakefield</t>
        </is>
      </c>
      <c r="R108" s="5" t="inlineStr">
        <is>
          <t>West Yorkshire</t>
        </is>
      </c>
      <c r="S108" s="5" t="inlineStr"/>
      <c r="T108" s="5" t="inlineStr">
        <is>
          <t>Yorkshire &amp; Humber</t>
        </is>
      </c>
      <c r="U108" s="5" t="inlineStr">
        <is>
          <t>England</t>
        </is>
      </c>
      <c r="V108" s="5" t="inlineStr"/>
      <c r="W108" s="5" t="inlineStr"/>
      <c r="X108" s="5" t="inlineStr"/>
      <c r="Y108" s="5" t="inlineStr"/>
      <c r="Z108" s="5" t="inlineStr"/>
      <c r="AA108" s="5" t="inlineStr"/>
      <c r="AB108" s="5" t="inlineStr"/>
      <c r="AC108" s="5" t="inlineStr"/>
      <c r="AD108" s="5" t="inlineStr"/>
      <c r="AE108" s="5" t="inlineStr"/>
      <c r="AF108" s="5" t="inlineStr"/>
      <c r="AG108" s="5" t="inlineStr"/>
      <c r="AH108" s="5" t="inlineStr"/>
      <c r="AI108" s="5" t="inlineStr"/>
      <c r="AJ108" s="5" t="inlineStr"/>
      <c r="AK108" s="5" t="inlineStr">
        <is>
          <t>international grocery (Eastern European focus); beers and alcohol; convenience</t>
        </is>
      </c>
      <c r="AL108" s="5" t="inlineStr"/>
      <c r="AM108" s="5" t="inlineStr">
        <is>
          <t>Convenience Store</t>
        </is>
      </c>
      <c r="AN108" s="5" t="inlineStr"/>
      <c r="AO108" s="5" t="inlineStr">
        <is>
          <t>Open late (to 11pm Mon-Sat). Good alcohol range per Yorkshire.com profile.</t>
        </is>
      </c>
      <c r="AP108" s="5" t="inlineStr">
        <is>
          <t>Low</t>
        </is>
      </c>
      <c r="AQ108" s="5" t="inlineStr">
        <is>
          <t>Independent retailer; Relevant category</t>
        </is>
      </c>
      <c r="AR108" s="5" t="inlineStr">
        <is>
          <t>https://www.yorkshire.com/wakefield/shopping/corner-shops/kubus-international-food</t>
        </is>
      </c>
      <c r="AS108" s="5" t="inlineStr"/>
      <c r="AT108" s="5" t="inlineStr">
        <is>
          <t>1</t>
        </is>
      </c>
      <c r="AU108" s="5" t="inlineStr">
        <is>
          <t>No</t>
        </is>
      </c>
      <c r="AV108" s="5" t="inlineStr">
        <is>
          <t>No</t>
        </is>
      </c>
      <c r="AW108" s="5" t="inlineStr">
        <is>
          <t>No</t>
        </is>
      </c>
      <c r="AX108" s="5" t="inlineStr">
        <is>
          <t>No</t>
        </is>
      </c>
      <c r="AY108" s="5" t="inlineStr">
        <is>
          <t>Not Found</t>
        </is>
      </c>
      <c r="AZ108" s="5" t="inlineStr">
        <is>
          <t>Not Found</t>
        </is>
      </c>
      <c r="BA108" s="5" t="inlineStr">
        <is>
          <t>2026-09-16</t>
        </is>
      </c>
      <c r="BB108" s="5" t="inlineStr">
        <is>
          <t>Requires Verification</t>
        </is>
      </c>
      <c r="BC108" s="5" t="inlineStr">
        <is>
          <t>Low</t>
        </is>
      </c>
      <c r="BD108" s="5" t="inlineStr"/>
      <c r="BE108" s="5" t="inlineStr">
        <is>
          <t>Business (B2B)</t>
        </is>
      </c>
      <c r="BF108" s="5" t="inlineStr">
        <is>
          <t>Legitimate interest (B2B) - assess per campaign; PECR: corporate subscribers</t>
        </is>
      </c>
      <c r="BG108" s="5" t="inlineStr"/>
      <c r="BH108" s="5" t="inlineStr">
        <is>
          <t>No</t>
        </is>
      </c>
      <c r="BI108" s="5" t="inlineStr">
        <is>
          <t>2026-09-16</t>
        </is>
      </c>
      <c r="BJ108" s="5" t="inlineStr">
        <is>
          <t>New</t>
        </is>
      </c>
      <c r="BK108" s="5" t="inlineStr">
        <is>
          <t>2026-09-16</t>
        </is>
      </c>
      <c r="BL108" s="5" t="inlineStr"/>
      <c r="BM108" s="5" t="inlineStr"/>
      <c r="BN108" s="5" t="inlineStr"/>
      <c r="BO108" s="5" t="inlineStr"/>
      <c r="BP108" s="5" t="inlineStr"/>
      <c r="BQ108" s="5" t="inlineStr"/>
    </row>
    <row r="109">
      <c r="A109" s="10" t="inlineStr">
        <is>
          <t>WY-0108</t>
        </is>
      </c>
      <c r="B109" s="10" t="inlineStr">
        <is>
          <t>WY-0108-01</t>
        </is>
      </c>
      <c r="C109" s="10" t="inlineStr"/>
      <c r="D109" s="10" t="inlineStr">
        <is>
          <t>Latitude Wine &amp; Liquor Merchant</t>
        </is>
      </c>
      <c r="E109" s="10" t="inlineStr">
        <is>
          <t>Latitude Wine &amp; Liquor Merchant</t>
        </is>
      </c>
      <c r="F109" s="10" t="inlineStr"/>
      <c r="G109" s="10" t="inlineStr">
        <is>
          <t>Off-Licence</t>
        </is>
      </c>
      <c r="H109" s="10" t="inlineStr">
        <is>
          <t>Specialist wine and spirits merchant</t>
        </is>
      </c>
      <c r="I109" s="10" t="inlineStr">
        <is>
          <t>Independent</t>
        </is>
      </c>
      <c r="J109" s="10" t="inlineStr">
        <is>
          <t>1</t>
        </is>
      </c>
      <c r="K109" s="10" t="inlineStr">
        <is>
          <t>https://latitudewine.co.uk/</t>
        </is>
      </c>
      <c r="L109" s="10" t="inlineStr"/>
      <c r="M109" s="10" t="inlineStr"/>
      <c r="N109" s="10" t="inlineStr"/>
      <c r="O109" s="10" t="inlineStr">
        <is>
          <t>5 Cherry Tree Walk</t>
        </is>
      </c>
      <c r="P109" s="10" t="inlineStr">
        <is>
          <t>The Calls, City Centre</t>
        </is>
      </c>
      <c r="Q109" s="10" t="inlineStr">
        <is>
          <t>Leeds</t>
        </is>
      </c>
      <c r="R109" s="10" t="inlineStr">
        <is>
          <t>West Yorkshire</t>
        </is>
      </c>
      <c r="S109" s="10" t="inlineStr">
        <is>
          <t>LS2 7EB</t>
        </is>
      </c>
      <c r="T109" s="10" t="inlineStr">
        <is>
          <t>Yorkshire &amp; Humber</t>
        </is>
      </c>
      <c r="U109" s="10" t="inlineStr">
        <is>
          <t>England</t>
        </is>
      </c>
      <c r="V109" s="10" t="inlineStr">
        <is>
          <t>0113 245 3393</t>
        </is>
      </c>
      <c r="W109" s="10" t="inlineStr"/>
      <c r="X109" s="10" t="inlineStr"/>
      <c r="Y109" s="10" t="inlineStr"/>
      <c r="Z109" s="10" t="inlineStr">
        <is>
          <t>sales@latitudewine.co.uk</t>
        </is>
      </c>
      <c r="AA109" s="10" t="inlineStr"/>
      <c r="AB109" s="10" t="inlineStr"/>
      <c r="AC109" s="10" t="inlineStr"/>
      <c r="AD109" s="10" t="inlineStr"/>
      <c r="AE109" s="10" t="inlineStr"/>
      <c r="AF109" s="10" t="inlineStr"/>
      <c r="AG109" s="10" t="inlineStr"/>
      <c r="AH109" s="10" t="inlineStr"/>
      <c r="AI109" s="10" t="inlineStr"/>
      <c r="AJ109" s="10" t="inlineStr"/>
      <c r="AK109" s="10" t="inlineStr">
        <is>
          <t>wine; spirits; craft beer</t>
        </is>
      </c>
      <c r="AL109" s="10" t="inlineStr"/>
      <c r="AM109" s="10" t="inlineStr">
        <is>
          <t>Off-Licence</t>
        </is>
      </c>
      <c r="AN109" s="10" t="inlineStr"/>
      <c r="AO109" s="10" t="inlineStr">
        <is>
          <t>Independent city-centre wine and spirits merchant; Mon-Sat 10:00-19:00.</t>
        </is>
      </c>
      <c r="AP109" s="10" t="inlineStr">
        <is>
          <t>Medium</t>
        </is>
      </c>
      <c r="AQ109" s="10" t="inlineStr">
        <is>
          <t>Independent retailer; Relevant category; Public trade/sales contact; Active website</t>
        </is>
      </c>
      <c r="AR109" s="10" t="inlineStr">
        <is>
          <t>https://latitudewine.co.uk/</t>
        </is>
      </c>
      <c r="AS109" s="10" t="inlineStr">
        <is>
          <t>https://latitudewine.co.uk/pages/contact-us</t>
        </is>
      </c>
      <c r="AT109" s="10" t="inlineStr">
        <is>
          <t>3</t>
        </is>
      </c>
      <c r="AU109" s="10" t="inlineStr">
        <is>
          <t>No</t>
        </is>
      </c>
      <c r="AV109" s="10" t="inlineStr">
        <is>
          <t>No</t>
        </is>
      </c>
      <c r="AW109" s="10" t="inlineStr">
        <is>
          <t>Yes</t>
        </is>
      </c>
      <c r="AX109" s="10" t="inlineStr">
        <is>
          <t>No</t>
        </is>
      </c>
      <c r="AY109" s="10" t="inlineStr">
        <is>
          <t>Verified directory</t>
        </is>
      </c>
      <c r="AZ109" s="10" t="inlineStr">
        <is>
          <t>Website Found</t>
        </is>
      </c>
      <c r="BA109" s="10" t="inlineStr">
        <is>
          <t>2026-09-16</t>
        </is>
      </c>
      <c r="BB109" s="10" t="inlineStr">
        <is>
          <t>Partially Verified</t>
        </is>
      </c>
      <c r="BC109" s="10" t="inlineStr">
        <is>
          <t>Medium</t>
        </is>
      </c>
      <c r="BD109" s="10" t="inlineStr"/>
      <c r="BE109" s="10" t="inlineStr">
        <is>
          <t>Business (B2B)</t>
        </is>
      </c>
      <c r="BF109" s="10" t="inlineStr">
        <is>
          <t>Legitimate interest (B2B) - assess per campaign; PECR: corporate subscribers</t>
        </is>
      </c>
      <c r="BG109" s="10" t="inlineStr"/>
      <c r="BH109" s="10" t="inlineStr">
        <is>
          <t>No</t>
        </is>
      </c>
      <c r="BI109" s="10" t="inlineStr">
        <is>
          <t>2026-09-16</t>
        </is>
      </c>
      <c r="BJ109" s="10" t="inlineStr">
        <is>
          <t>New</t>
        </is>
      </c>
      <c r="BK109" s="10" t="inlineStr">
        <is>
          <t>2026-09-16</t>
        </is>
      </c>
      <c r="BL109" s="10" t="inlineStr"/>
      <c r="BM109" s="10" t="inlineStr"/>
      <c r="BN109" s="10" t="inlineStr"/>
      <c r="BO109" s="10" t="inlineStr"/>
      <c r="BP109" s="10" t="inlineStr"/>
      <c r="BQ109" s="10" t="inlineStr"/>
    </row>
    <row r="110">
      <c r="A110" s="5" t="inlineStr">
        <is>
          <t>WY-0109</t>
        </is>
      </c>
      <c r="B110" s="5" t="inlineStr">
        <is>
          <t>WY-0109-01</t>
        </is>
      </c>
      <c r="C110" s="5" t="inlineStr"/>
      <c r="D110" s="5" t="inlineStr">
        <is>
          <t>Leeds Shisha Wholesale</t>
        </is>
      </c>
      <c r="E110" s="5" t="inlineStr">
        <is>
          <t>Leeds Shisha Wholesale</t>
        </is>
      </c>
      <c r="F110" s="5" t="inlineStr"/>
      <c r="G110" s="5" t="inlineStr">
        <is>
          <t>Smoke / Shisha Shop</t>
        </is>
      </c>
      <c r="H110" s="5" t="inlineStr">
        <is>
          <t>Shisha wholesale and retail supplier</t>
        </is>
      </c>
      <c r="I110" s="5" t="inlineStr">
        <is>
          <t>Independent</t>
        </is>
      </c>
      <c r="J110" s="5" t="inlineStr">
        <is>
          <t>1</t>
        </is>
      </c>
      <c r="K110" s="5" t="inlineStr"/>
      <c r="L110" s="5" t="inlineStr">
        <is>
          <t>https://www.facebook.com/p/Leeds-Shisha-Wholesale-100066917521496/</t>
        </is>
      </c>
      <c r="M110" s="5" t="inlineStr"/>
      <c r="N110" s="5" t="inlineStr"/>
      <c r="O110" s="5" t="inlineStr"/>
      <c r="P110" s="5" t="inlineStr"/>
      <c r="Q110" s="5" t="inlineStr">
        <is>
          <t>Leeds</t>
        </is>
      </c>
      <c r="R110" s="5" t="inlineStr">
        <is>
          <t>West Yorkshire</t>
        </is>
      </c>
      <c r="S110" s="5" t="inlineStr"/>
      <c r="T110" s="5" t="inlineStr">
        <is>
          <t>Yorkshire &amp; Humber</t>
        </is>
      </c>
      <c r="U110" s="5" t="inlineStr">
        <is>
          <t>England</t>
        </is>
      </c>
      <c r="V110" s="5" t="inlineStr"/>
      <c r="W110" s="5" t="inlineStr"/>
      <c r="X110" s="5" t="inlineStr"/>
      <c r="Y110" s="5" t="inlineStr"/>
      <c r="Z110" s="5" t="inlineStr"/>
      <c r="AA110" s="5" t="inlineStr"/>
      <c r="AB110" s="5" t="inlineStr"/>
      <c r="AC110" s="5" t="inlineStr"/>
      <c r="AD110" s="5" t="inlineStr"/>
      <c r="AE110" s="5" t="inlineStr"/>
      <c r="AF110" s="5" t="inlineStr"/>
      <c r="AG110" s="5" t="inlineStr"/>
      <c r="AH110" s="5" t="inlineStr"/>
      <c r="AI110" s="5" t="inlineStr"/>
      <c r="AJ110" s="5" t="inlineStr"/>
      <c r="AK110" s="5" t="inlineStr">
        <is>
          <t>shisha pipes; shisha flavours; coals; accessories</t>
        </is>
      </c>
      <c r="AL110" s="5" t="inlineStr"/>
      <c r="AM110" s="5" t="inlineStr">
        <is>
          <t>Smoke / Shisha Shop</t>
        </is>
      </c>
      <c r="AN110" s="5" t="inlineStr"/>
      <c r="AO110" s="5" t="inlineStr">
        <is>
          <t>Leeds-based wholesale and retail shisha supplier, delivers UK-wide; street address not published in sources found.</t>
        </is>
      </c>
      <c r="AP110" s="5" t="inlineStr">
        <is>
          <t>Medium</t>
        </is>
      </c>
      <c r="AQ110" s="5" t="inlineStr">
        <is>
          <t>Independent retailer; Core relevant category; Social presence</t>
        </is>
      </c>
      <c r="AR110" s="5" t="inlineStr">
        <is>
          <t>https://www.facebook.com/p/Leeds-Shisha-Wholesale-100066917521496/</t>
        </is>
      </c>
      <c r="AS110" s="5" t="inlineStr">
        <is>
          <t>https://leeds.cylex-uk.co.uk/company/leeds-shisha-wholesale-27498601.html</t>
        </is>
      </c>
      <c r="AT110" s="5" t="inlineStr">
        <is>
          <t>2</t>
        </is>
      </c>
      <c r="AU110" s="5" t="inlineStr">
        <is>
          <t>No</t>
        </is>
      </c>
      <c r="AV110" s="5" t="inlineStr">
        <is>
          <t>No</t>
        </is>
      </c>
      <c r="AW110" s="5" t="inlineStr">
        <is>
          <t>No</t>
        </is>
      </c>
      <c r="AX110" s="5" t="inlineStr">
        <is>
          <t>No</t>
        </is>
      </c>
      <c r="AY110" s="5" t="inlineStr">
        <is>
          <t>Not Found</t>
        </is>
      </c>
      <c r="AZ110" s="5" t="inlineStr">
        <is>
          <t>Not Found</t>
        </is>
      </c>
      <c r="BA110" s="5" t="inlineStr">
        <is>
          <t>2026-09-16</t>
        </is>
      </c>
      <c r="BB110" s="5" t="inlineStr">
        <is>
          <t>Requires Verification</t>
        </is>
      </c>
      <c r="BC110" s="5" t="inlineStr">
        <is>
          <t>Low</t>
        </is>
      </c>
      <c r="BD110" s="5" t="inlineStr"/>
      <c r="BE110" s="5" t="inlineStr">
        <is>
          <t>Business (B2B)</t>
        </is>
      </c>
      <c r="BF110" s="5" t="inlineStr">
        <is>
          <t>Legitimate interest (B2B) - assess per campaign; PECR: corporate subscribers</t>
        </is>
      </c>
      <c r="BG110" s="5" t="inlineStr"/>
      <c r="BH110" s="5" t="inlineStr">
        <is>
          <t>No</t>
        </is>
      </c>
      <c r="BI110" s="5" t="inlineStr">
        <is>
          <t>2026-09-16</t>
        </is>
      </c>
      <c r="BJ110" s="5" t="inlineStr">
        <is>
          <t>New</t>
        </is>
      </c>
      <c r="BK110" s="5" t="inlineStr">
        <is>
          <t>2026-09-16</t>
        </is>
      </c>
      <c r="BL110" s="5" t="inlineStr"/>
      <c r="BM110" s="5" t="inlineStr"/>
      <c r="BN110" s="5" t="inlineStr"/>
      <c r="BO110" s="5" t="inlineStr"/>
      <c r="BP110" s="5" t="inlineStr"/>
      <c r="BQ110" s="5" t="inlineStr"/>
    </row>
    <row r="111">
      <c r="A111" s="10" t="inlineStr">
        <is>
          <t>WY-0110</t>
        </is>
      </c>
      <c r="B111" s="10" t="inlineStr">
        <is>
          <t>WY-0110-01</t>
        </is>
      </c>
      <c r="C111" s="10" t="inlineStr"/>
      <c r="D111" s="10" t="inlineStr">
        <is>
          <t>Liquid Mafia The King of Vapes</t>
        </is>
      </c>
      <c r="E111" s="10" t="inlineStr">
        <is>
          <t>Liquid Mafia</t>
        </is>
      </c>
      <c r="F111" s="10" t="inlineStr"/>
      <c r="G111" s="10" t="inlineStr">
        <is>
          <t>Vape Shop</t>
        </is>
      </c>
      <c r="H111" s="10" t="inlineStr">
        <is>
          <t>Vape retailer</t>
        </is>
      </c>
      <c r="I111" s="10" t="inlineStr">
        <is>
          <t>Independent</t>
        </is>
      </c>
      <c r="J111" s="10" t="inlineStr">
        <is>
          <t>1</t>
        </is>
      </c>
      <c r="K111" s="10" t="inlineStr"/>
      <c r="L111" s="10" t="inlineStr"/>
      <c r="M111" s="10" t="inlineStr">
        <is>
          <t>https://www.instagram.com/liquidmafiaofficial/</t>
        </is>
      </c>
      <c r="N111" s="10" t="inlineStr"/>
      <c r="O111" s="10" t="inlineStr">
        <is>
          <t>506 Huddersfield Road</t>
        </is>
      </c>
      <c r="P111" s="10" t="inlineStr">
        <is>
          <t>Ravensthorpe</t>
        </is>
      </c>
      <c r="Q111" s="10" t="inlineStr">
        <is>
          <t>Dewsbury</t>
        </is>
      </c>
      <c r="R111" s="10" t="inlineStr">
        <is>
          <t>West Yorkshire</t>
        </is>
      </c>
      <c r="S111" s="10" t="inlineStr">
        <is>
          <t>WF13 3ET</t>
        </is>
      </c>
      <c r="T111" s="10" t="inlineStr">
        <is>
          <t>Yorkshire &amp; Humber</t>
        </is>
      </c>
      <c r="U111" s="10" t="inlineStr">
        <is>
          <t>England</t>
        </is>
      </c>
      <c r="V111" s="10" t="inlineStr">
        <is>
          <t>07512 340800</t>
        </is>
      </c>
      <c r="W111" s="10" t="inlineStr"/>
      <c r="X111" s="10" t="inlineStr"/>
      <c r="Y111" s="10" t="inlineStr"/>
      <c r="Z111" s="10" t="inlineStr"/>
      <c r="AA111" s="10" t="inlineStr"/>
      <c r="AB111" s="10" t="inlineStr"/>
      <c r="AC111" s="10" t="inlineStr"/>
      <c r="AD111" s="10" t="inlineStr"/>
      <c r="AE111" s="10" t="inlineStr"/>
      <c r="AF111" s="10" t="inlineStr"/>
      <c r="AG111" s="10" t="inlineStr"/>
      <c r="AH111" s="10" t="inlineStr"/>
      <c r="AI111" s="10" t="inlineStr"/>
      <c r="AJ111" s="10" t="inlineStr"/>
      <c r="AK111" s="10" t="inlineStr">
        <is>
          <t>vape hardware; e-liquids; disposable vapes</t>
        </is>
      </c>
      <c r="AL111" s="10" t="inlineStr"/>
      <c r="AM111" s="10" t="inlineStr">
        <is>
          <t>Vape Shop</t>
        </is>
      </c>
      <c r="AN111" s="10" t="inlineStr"/>
      <c r="AO111" s="10" t="inlineStr">
        <is>
          <t>Open 10:30-22:00 daily. Instagram bio lists an alternative mobile 07746 183134.</t>
        </is>
      </c>
      <c r="AP111" s="10" t="inlineStr">
        <is>
          <t>Medium</t>
        </is>
      </c>
      <c r="AQ111" s="10" t="inlineStr">
        <is>
          <t>Independent retailer; Core relevant category; Social presence</t>
        </is>
      </c>
      <c r="AR111" s="10" t="inlineStr">
        <is>
          <t>https://www.instagram.com/liquidmafiaofficial/</t>
        </is>
      </c>
      <c r="AS111" s="10" t="inlineStr">
        <is>
          <t>https://vapemaps.co/england/west-yorkshire/dewsbury/liquid-mafia-the-king-of-vapes/8788</t>
        </is>
      </c>
      <c r="AT111" s="10" t="inlineStr">
        <is>
          <t>3</t>
        </is>
      </c>
      <c r="AU111" s="10" t="inlineStr">
        <is>
          <t>No</t>
        </is>
      </c>
      <c r="AV111" s="10" t="inlineStr">
        <is>
          <t>No</t>
        </is>
      </c>
      <c r="AW111" s="10" t="inlineStr">
        <is>
          <t>No</t>
        </is>
      </c>
      <c r="AX111" s="10" t="inlineStr">
        <is>
          <t>No</t>
        </is>
      </c>
      <c r="AY111" s="10" t="inlineStr">
        <is>
          <t>Verified directory</t>
        </is>
      </c>
      <c r="AZ111" s="10" t="inlineStr">
        <is>
          <t>Not Found</t>
        </is>
      </c>
      <c r="BA111" s="10" t="inlineStr">
        <is>
          <t>2026-09-16</t>
        </is>
      </c>
      <c r="BB111" s="10" t="inlineStr">
        <is>
          <t>Requires Verification</t>
        </is>
      </c>
      <c r="BC111" s="10" t="inlineStr">
        <is>
          <t>Medium</t>
        </is>
      </c>
      <c r="BD111" s="10" t="inlineStr"/>
      <c r="BE111" s="10" t="inlineStr">
        <is>
          <t>Business (B2B)</t>
        </is>
      </c>
      <c r="BF111" s="10" t="inlineStr">
        <is>
          <t>Legitimate interest (B2B) - assess per campaign; PECR: corporate subscribers</t>
        </is>
      </c>
      <c r="BG111" s="10" t="inlineStr"/>
      <c r="BH111" s="10" t="inlineStr">
        <is>
          <t>No</t>
        </is>
      </c>
      <c r="BI111" s="10" t="inlineStr">
        <is>
          <t>2026-09-16</t>
        </is>
      </c>
      <c r="BJ111" s="10" t="inlineStr">
        <is>
          <t>New</t>
        </is>
      </c>
      <c r="BK111" s="10" t="inlineStr">
        <is>
          <t>2026-09-16</t>
        </is>
      </c>
      <c r="BL111" s="10" t="inlineStr"/>
      <c r="BM111" s="10" t="inlineStr"/>
      <c r="BN111" s="10" t="inlineStr"/>
      <c r="BO111" s="10" t="inlineStr"/>
      <c r="BP111" s="10" t="inlineStr"/>
      <c r="BQ111" s="10" t="inlineStr"/>
    </row>
    <row r="112">
      <c r="A112" s="5" t="inlineStr">
        <is>
          <t>WY-0111</t>
        </is>
      </c>
      <c r="B112" s="5" t="inlineStr">
        <is>
          <t>WY-0111-01</t>
        </is>
      </c>
      <c r="C112" s="5" t="inlineStr"/>
      <c r="D112" s="5" t="inlineStr">
        <is>
          <t>Local Convenience Store (Elsinore Avenue)</t>
        </is>
      </c>
      <c r="E112" s="5" t="inlineStr">
        <is>
          <t>Local Convenience Store</t>
        </is>
      </c>
      <c r="F112" s="5" t="inlineStr"/>
      <c r="G112" s="5" t="inlineStr">
        <is>
          <t>Convenience Store</t>
        </is>
      </c>
      <c r="H112" s="5" t="inlineStr"/>
      <c r="I112" s="5" t="inlineStr">
        <is>
          <t>Independent</t>
        </is>
      </c>
      <c r="J112" s="5" t="inlineStr">
        <is>
          <t>1</t>
        </is>
      </c>
      <c r="K112" s="5" t="inlineStr"/>
      <c r="L112" s="5" t="inlineStr"/>
      <c r="M112" s="5" t="inlineStr"/>
      <c r="N112" s="5" t="inlineStr"/>
      <c r="O112" s="5" t="inlineStr">
        <is>
          <t>12 Elsinore Avenue</t>
        </is>
      </c>
      <c r="P112" s="5" t="inlineStr"/>
      <c r="Q112" s="5" t="inlineStr">
        <is>
          <t>Elland</t>
        </is>
      </c>
      <c r="R112" s="5" t="inlineStr">
        <is>
          <t>West Yorkshire</t>
        </is>
      </c>
      <c r="S112" s="5" t="inlineStr">
        <is>
          <t>HX5 0LT</t>
        </is>
      </c>
      <c r="T112" s="5" t="inlineStr">
        <is>
          <t>Yorkshire &amp; Humber</t>
        </is>
      </c>
      <c r="U112" s="5" t="inlineStr">
        <is>
          <t>England</t>
        </is>
      </c>
      <c r="V112" s="5" t="inlineStr"/>
      <c r="W112" s="5" t="inlineStr"/>
      <c r="X112" s="5" t="inlineStr"/>
      <c r="Y112" s="5" t="inlineStr"/>
      <c r="Z112" s="5" t="inlineStr"/>
      <c r="AA112" s="5" t="inlineStr"/>
      <c r="AB112" s="5" t="inlineStr"/>
      <c r="AC112" s="5" t="inlineStr"/>
      <c r="AD112" s="5" t="inlineStr"/>
      <c r="AE112" s="5" t="inlineStr"/>
      <c r="AF112" s="5" t="inlineStr"/>
      <c r="AG112" s="5" t="inlineStr"/>
      <c r="AH112" s="5" t="inlineStr"/>
      <c r="AI112" s="5" t="inlineStr"/>
      <c r="AJ112" s="5" t="inlineStr"/>
      <c r="AK112" s="5" t="inlineStr">
        <is>
          <t>convenience; food and wine</t>
        </is>
      </c>
      <c r="AL112" s="5" t="inlineStr"/>
      <c r="AM112" s="5" t="inlineStr">
        <is>
          <t>Convenience Store</t>
        </is>
      </c>
      <c r="AN112" s="5" t="inlineStr"/>
      <c r="AO112" s="5" t="inlineStr">
        <is>
          <t>Directory listing gives only the generic name 'Local Convenience Store'; actual trading name may differ - verify on the ground.</t>
        </is>
      </c>
      <c r="AP112" s="5" t="inlineStr">
        <is>
          <t>Low</t>
        </is>
      </c>
      <c r="AQ112" s="5" t="inlineStr">
        <is>
          <t>Independent retailer; Relevant category</t>
        </is>
      </c>
      <c r="AR112" s="5" t="inlineStr">
        <is>
          <t>https://www.yorkshire.com/elland/shopping/corner-shops</t>
        </is>
      </c>
      <c r="AS112" s="5" t="inlineStr"/>
      <c r="AT112" s="5" t="inlineStr">
        <is>
          <t>1</t>
        </is>
      </c>
      <c r="AU112" s="5" t="inlineStr">
        <is>
          <t>No</t>
        </is>
      </c>
      <c r="AV112" s="5" t="inlineStr">
        <is>
          <t>No</t>
        </is>
      </c>
      <c r="AW112" s="5" t="inlineStr">
        <is>
          <t>No</t>
        </is>
      </c>
      <c r="AX112" s="5" t="inlineStr">
        <is>
          <t>No</t>
        </is>
      </c>
      <c r="AY112" s="5" t="inlineStr">
        <is>
          <t>Not Found</t>
        </is>
      </c>
      <c r="AZ112" s="5" t="inlineStr">
        <is>
          <t>Not Found</t>
        </is>
      </c>
      <c r="BA112" s="5" t="inlineStr">
        <is>
          <t>2026-09-16</t>
        </is>
      </c>
      <c r="BB112" s="5" t="inlineStr">
        <is>
          <t>Requires Verification</t>
        </is>
      </c>
      <c r="BC112" s="5" t="inlineStr">
        <is>
          <t>Low</t>
        </is>
      </c>
      <c r="BD112" s="5" t="inlineStr"/>
      <c r="BE112" s="5" t="inlineStr">
        <is>
          <t>Business (B2B)</t>
        </is>
      </c>
      <c r="BF112" s="5" t="inlineStr">
        <is>
          <t>Legitimate interest (B2B) - assess per campaign; PECR: corporate subscribers</t>
        </is>
      </c>
      <c r="BG112" s="5" t="inlineStr"/>
      <c r="BH112" s="5" t="inlineStr">
        <is>
          <t>No</t>
        </is>
      </c>
      <c r="BI112" s="5" t="inlineStr">
        <is>
          <t>2026-09-16</t>
        </is>
      </c>
      <c r="BJ112" s="5" t="inlineStr">
        <is>
          <t>New</t>
        </is>
      </c>
      <c r="BK112" s="5" t="inlineStr">
        <is>
          <t>2026-09-16</t>
        </is>
      </c>
      <c r="BL112" s="5" t="inlineStr"/>
      <c r="BM112" s="5" t="inlineStr"/>
      <c r="BN112" s="5" t="inlineStr"/>
      <c r="BO112" s="5" t="inlineStr"/>
      <c r="BP112" s="5" t="inlineStr"/>
      <c r="BQ112" s="5" t="inlineStr"/>
    </row>
    <row r="113">
      <c r="A113" s="10" t="inlineStr">
        <is>
          <t>WY-0112</t>
        </is>
      </c>
      <c r="B113" s="10" t="inlineStr">
        <is>
          <t>WY-0112-01</t>
        </is>
      </c>
      <c r="C113" s="10" t="inlineStr"/>
      <c r="D113" s="10" t="inlineStr">
        <is>
          <t>Local Express Off Licence</t>
        </is>
      </c>
      <c r="E113" s="10" t="inlineStr">
        <is>
          <t>Local Express Off Licence</t>
        </is>
      </c>
      <c r="F113" s="10" t="inlineStr"/>
      <c r="G113" s="10" t="inlineStr">
        <is>
          <t>Off-Licence</t>
        </is>
      </c>
      <c r="H113" s="10" t="inlineStr">
        <is>
          <t>Off-licence / beer store</t>
        </is>
      </c>
      <c r="I113" s="10" t="inlineStr">
        <is>
          <t>Independent</t>
        </is>
      </c>
      <c r="J113" s="10" t="inlineStr">
        <is>
          <t>1</t>
        </is>
      </c>
      <c r="K113" s="10" t="inlineStr"/>
      <c r="L113" s="10" t="inlineStr"/>
      <c r="M113" s="10" t="inlineStr"/>
      <c r="N113" s="10" t="inlineStr"/>
      <c r="O113" s="10" t="inlineStr">
        <is>
          <t>30 Common Road</t>
        </is>
      </c>
      <c r="P113" s="10" t="inlineStr"/>
      <c r="Q113" s="10" t="inlineStr">
        <is>
          <t>Batley</t>
        </is>
      </c>
      <c r="R113" s="10" t="inlineStr">
        <is>
          <t>West Yorkshire</t>
        </is>
      </c>
      <c r="S113" s="10" t="inlineStr"/>
      <c r="T113" s="10" t="inlineStr">
        <is>
          <t>Yorkshire &amp; Humber</t>
        </is>
      </c>
      <c r="U113" s="10" t="inlineStr">
        <is>
          <t>England</t>
        </is>
      </c>
      <c r="V113" s="10" t="inlineStr"/>
      <c r="W113" s="10" t="inlineStr"/>
      <c r="X113" s="10" t="inlineStr"/>
      <c r="Y113" s="10" t="inlineStr"/>
      <c r="Z113" s="10" t="inlineStr"/>
      <c r="AA113" s="10" t="inlineStr"/>
      <c r="AB113" s="10" t="inlineStr"/>
      <c r="AC113" s="10" t="inlineStr"/>
      <c r="AD113" s="10" t="inlineStr"/>
      <c r="AE113" s="10" t="inlineStr"/>
      <c r="AF113" s="10" t="inlineStr"/>
      <c r="AG113" s="10" t="inlineStr"/>
      <c r="AH113" s="10" t="inlineStr"/>
      <c r="AI113" s="10" t="inlineStr"/>
      <c r="AJ113" s="10" t="inlineStr"/>
      <c r="AK113" s="10" t="inlineStr">
        <is>
          <t>alcohol; convenience goods</t>
        </is>
      </c>
      <c r="AL113" s="10" t="inlineStr"/>
      <c r="AM113" s="10" t="inlineStr">
        <is>
          <t>Off-Licence</t>
        </is>
      </c>
      <c r="AN113" s="10" t="inlineStr"/>
      <c r="AO113" s="10" t="inlineStr"/>
      <c r="AP113" s="10" t="inlineStr">
        <is>
          <t>Low</t>
        </is>
      </c>
      <c r="AQ113" s="10" t="inlineStr">
        <is>
          <t>Independent retailer; Relevant category</t>
        </is>
      </c>
      <c r="AR113" s="10" t="inlineStr">
        <is>
          <t>https://www.bigreddirectory.com/local-express-off-licence-batley</t>
        </is>
      </c>
      <c r="AS113" s="10" t="inlineStr"/>
      <c r="AT113" s="10" t="inlineStr">
        <is>
          <t>1</t>
        </is>
      </c>
      <c r="AU113" s="10" t="inlineStr">
        <is>
          <t>No</t>
        </is>
      </c>
      <c r="AV113" s="10" t="inlineStr">
        <is>
          <t>No</t>
        </is>
      </c>
      <c r="AW113" s="10" t="inlineStr">
        <is>
          <t>No</t>
        </is>
      </c>
      <c r="AX113" s="10" t="inlineStr">
        <is>
          <t>No</t>
        </is>
      </c>
      <c r="AY113" s="10" t="inlineStr">
        <is>
          <t>Not Found</t>
        </is>
      </c>
      <c r="AZ113" s="10" t="inlineStr">
        <is>
          <t>Not Found</t>
        </is>
      </c>
      <c r="BA113" s="10" t="inlineStr">
        <is>
          <t>2026-09-16</t>
        </is>
      </c>
      <c r="BB113" s="10" t="inlineStr">
        <is>
          <t>Requires Verification</t>
        </is>
      </c>
      <c r="BC113" s="10" t="inlineStr">
        <is>
          <t>Low</t>
        </is>
      </c>
      <c r="BD113" s="10" t="inlineStr"/>
      <c r="BE113" s="10" t="inlineStr">
        <is>
          <t>Business (B2B)</t>
        </is>
      </c>
      <c r="BF113" s="10" t="inlineStr">
        <is>
          <t>Legitimate interest (B2B) - assess per campaign; PECR: corporate subscribers</t>
        </is>
      </c>
      <c r="BG113" s="10" t="inlineStr"/>
      <c r="BH113" s="10" t="inlineStr">
        <is>
          <t>No</t>
        </is>
      </c>
      <c r="BI113" s="10" t="inlineStr">
        <is>
          <t>2026-09-16</t>
        </is>
      </c>
      <c r="BJ113" s="10" t="inlineStr">
        <is>
          <t>New</t>
        </is>
      </c>
      <c r="BK113" s="10" t="inlineStr">
        <is>
          <t>2026-09-16</t>
        </is>
      </c>
      <c r="BL113" s="10" t="inlineStr"/>
      <c r="BM113" s="10" t="inlineStr"/>
      <c r="BN113" s="10" t="inlineStr"/>
      <c r="BO113" s="10" t="inlineStr"/>
      <c r="BP113" s="10" t="inlineStr"/>
      <c r="BQ113" s="10" t="inlineStr"/>
    </row>
    <row r="114">
      <c r="A114" s="5" t="inlineStr">
        <is>
          <t>WY-0113</t>
        </is>
      </c>
      <c r="B114" s="5" t="inlineStr">
        <is>
          <t>WY-0113-01</t>
        </is>
      </c>
      <c r="C114" s="5" t="inlineStr"/>
      <c r="D114" s="5" t="inlineStr">
        <is>
          <t>Londis Normanton (313 Castleford Road)</t>
        </is>
      </c>
      <c r="E114" s="5" t="inlineStr">
        <is>
          <t>Londis</t>
        </is>
      </c>
      <c r="F114" s="5" t="inlineStr"/>
      <c r="G114" s="5" t="inlineStr">
        <is>
          <t>Convenience Store</t>
        </is>
      </c>
      <c r="H114" s="5" t="inlineStr">
        <is>
          <t>Convenience store with off-licence</t>
        </is>
      </c>
      <c r="I114" s="5" t="inlineStr">
        <is>
          <t>Franchise / Symbol Group</t>
        </is>
      </c>
      <c r="J114" s="5" t="inlineStr">
        <is>
          <t>1</t>
        </is>
      </c>
      <c r="K114" s="5" t="inlineStr">
        <is>
          <t>https://www.londis.co.uk/our-stores/londis-normanton</t>
        </is>
      </c>
      <c r="L114" s="5" t="inlineStr"/>
      <c r="M114" s="5" t="inlineStr"/>
      <c r="N114" s="5" t="inlineStr"/>
      <c r="O114" s="5" t="inlineStr">
        <is>
          <t>313 Castleford Road</t>
        </is>
      </c>
      <c r="P114" s="5" t="inlineStr"/>
      <c r="Q114" s="5" t="inlineStr">
        <is>
          <t>Normanton</t>
        </is>
      </c>
      <c r="R114" s="5" t="inlineStr">
        <is>
          <t>West Yorkshire</t>
        </is>
      </c>
      <c r="S114" s="5" t="inlineStr">
        <is>
          <t>WF6 2HL</t>
        </is>
      </c>
      <c r="T114" s="5" t="inlineStr">
        <is>
          <t>Yorkshire &amp; Humber</t>
        </is>
      </c>
      <c r="U114" s="5" t="inlineStr">
        <is>
          <t>England</t>
        </is>
      </c>
      <c r="V114" s="5" t="inlineStr">
        <is>
          <t>01924 892113</t>
        </is>
      </c>
      <c r="W114" s="5" t="inlineStr"/>
      <c r="X114" s="5" t="inlineStr"/>
      <c r="Y114" s="5" t="inlineStr"/>
      <c r="Z114" s="5" t="inlineStr"/>
      <c r="AA114" s="5" t="inlineStr"/>
      <c r="AB114" s="5" t="inlineStr"/>
      <c r="AC114" s="5" t="inlineStr"/>
      <c r="AD114" s="5" t="inlineStr"/>
      <c r="AE114" s="5" t="inlineStr"/>
      <c r="AF114" s="5" t="inlineStr"/>
      <c r="AG114" s="5" t="inlineStr"/>
      <c r="AH114" s="5" t="inlineStr"/>
      <c r="AI114" s="5" t="inlineStr"/>
      <c r="AJ114" s="5" t="inlineStr"/>
      <c r="AK114" s="5" t="inlineStr">
        <is>
          <t>grocery; confectionery; beers, wines and spirits; food to go</t>
        </is>
      </c>
      <c r="AL114" s="5" t="inlineStr"/>
      <c r="AM114" s="5" t="inlineStr">
        <is>
          <t>Convenience Store</t>
        </is>
      </c>
      <c r="AN114" s="5" t="inlineStr">
        <is>
          <t>Londis symbol group (Booker/Tesco supply)</t>
        </is>
      </c>
      <c r="AO114" s="5" t="inlineStr">
        <is>
          <t>Independently owned symbol-group store. NOTE: a second Londis store page exists for Castleford Road, Normanton WF6 2DW (separate record) - both appear on the Londis official store finder with different postcodes and phone numbers.</t>
        </is>
      </c>
      <c r="AP114" s="5" t="inlineStr">
        <is>
          <t>Medium</t>
        </is>
      </c>
      <c r="AQ114" s="5" t="inlineStr">
        <is>
          <t>Independent retailer; Relevant category; Active website; Phone verified on official website</t>
        </is>
      </c>
      <c r="AR114" s="5" t="inlineStr">
        <is>
          <t>https://www.londis.co.uk/our-stores/londis-normanton</t>
        </is>
      </c>
      <c r="AS114" s="5" t="inlineStr"/>
      <c r="AT114" s="5" t="inlineStr">
        <is>
          <t>1</t>
        </is>
      </c>
      <c r="AU114" s="5" t="inlineStr">
        <is>
          <t>No</t>
        </is>
      </c>
      <c r="AV114" s="5" t="inlineStr">
        <is>
          <t>No</t>
        </is>
      </c>
      <c r="AW114" s="5" t="inlineStr">
        <is>
          <t>No</t>
        </is>
      </c>
      <c r="AX114" s="5" t="inlineStr">
        <is>
          <t>No</t>
        </is>
      </c>
      <c r="AY114" s="5" t="inlineStr">
        <is>
          <t>Verified on official website</t>
        </is>
      </c>
      <c r="AZ114" s="5" t="inlineStr">
        <is>
          <t>Not Found</t>
        </is>
      </c>
      <c r="BA114" s="5" t="inlineStr">
        <is>
          <t>2026-09-16</t>
        </is>
      </c>
      <c r="BB114" s="5" t="inlineStr">
        <is>
          <t>Requires Verification</t>
        </is>
      </c>
      <c r="BC114" s="5" t="inlineStr">
        <is>
          <t>Medium</t>
        </is>
      </c>
      <c r="BD114" s="5" t="inlineStr"/>
      <c r="BE114" s="5" t="inlineStr">
        <is>
          <t>Business (B2B)</t>
        </is>
      </c>
      <c r="BF114" s="5" t="inlineStr">
        <is>
          <t>Legitimate interest (B2B) - assess per campaign; PECR: corporate subscribers</t>
        </is>
      </c>
      <c r="BG114" s="5" t="inlineStr"/>
      <c r="BH114" s="5" t="inlineStr">
        <is>
          <t>No</t>
        </is>
      </c>
      <c r="BI114" s="5" t="inlineStr">
        <is>
          <t>2026-09-16</t>
        </is>
      </c>
      <c r="BJ114" s="5" t="inlineStr">
        <is>
          <t>New</t>
        </is>
      </c>
      <c r="BK114" s="5" t="inlineStr">
        <is>
          <t>2026-09-16</t>
        </is>
      </c>
      <c r="BL114" s="5" t="inlineStr"/>
      <c r="BM114" s="5" t="inlineStr"/>
      <c r="BN114" s="5" t="inlineStr"/>
      <c r="BO114" s="5" t="inlineStr"/>
      <c r="BP114" s="5" t="inlineStr"/>
      <c r="BQ114" s="5" t="inlineStr"/>
    </row>
    <row r="115">
      <c r="A115" s="10" t="inlineStr">
        <is>
          <t>WY-0114</t>
        </is>
      </c>
      <c r="B115" s="10" t="inlineStr">
        <is>
          <t>WY-0114-01</t>
        </is>
      </c>
      <c r="C115" s="10" t="inlineStr"/>
      <c r="D115" s="10" t="inlineStr">
        <is>
          <t>Londis Normanton (Castleford Road, WF6 2DW)</t>
        </is>
      </c>
      <c r="E115" s="10" t="inlineStr">
        <is>
          <t>Londis</t>
        </is>
      </c>
      <c r="F115" s="10" t="inlineStr"/>
      <c r="G115" s="10" t="inlineStr">
        <is>
          <t>Convenience Store</t>
        </is>
      </c>
      <c r="H115" s="10" t="inlineStr">
        <is>
          <t>Convenience store with off-licence</t>
        </is>
      </c>
      <c r="I115" s="10" t="inlineStr">
        <is>
          <t>Franchise / Symbol Group</t>
        </is>
      </c>
      <c r="J115" s="10" t="inlineStr">
        <is>
          <t>1</t>
        </is>
      </c>
      <c r="K115" s="10" t="inlineStr">
        <is>
          <t>https://www.londis.co.uk/our-stores/normanton</t>
        </is>
      </c>
      <c r="L115" s="10" t="inlineStr"/>
      <c r="M115" s="10" t="inlineStr"/>
      <c r="N115" s="10" t="inlineStr"/>
      <c r="O115" s="10" t="inlineStr">
        <is>
          <t>Castleford Road</t>
        </is>
      </c>
      <c r="P115" s="10" t="inlineStr"/>
      <c r="Q115" s="10" t="inlineStr">
        <is>
          <t>Normanton</t>
        </is>
      </c>
      <c r="R115" s="10" t="inlineStr">
        <is>
          <t>West Yorkshire</t>
        </is>
      </c>
      <c r="S115" s="10" t="inlineStr">
        <is>
          <t>WF6 2DW</t>
        </is>
      </c>
      <c r="T115" s="10" t="inlineStr">
        <is>
          <t>Yorkshire &amp; Humber</t>
        </is>
      </c>
      <c r="U115" s="10" t="inlineStr">
        <is>
          <t>England</t>
        </is>
      </c>
      <c r="V115" s="10" t="inlineStr">
        <is>
          <t>01924 890438</t>
        </is>
      </c>
      <c r="W115" s="10" t="inlineStr"/>
      <c r="X115" s="10" t="inlineStr"/>
      <c r="Y115" s="10" t="inlineStr"/>
      <c r="Z115" s="10" t="inlineStr"/>
      <c r="AA115" s="10" t="inlineStr"/>
      <c r="AB115" s="10" t="inlineStr"/>
      <c r="AC115" s="10" t="inlineStr"/>
      <c r="AD115" s="10" t="inlineStr"/>
      <c r="AE115" s="10" t="inlineStr"/>
      <c r="AF115" s="10" t="inlineStr"/>
      <c r="AG115" s="10" t="inlineStr"/>
      <c r="AH115" s="10" t="inlineStr"/>
      <c r="AI115" s="10" t="inlineStr"/>
      <c r="AJ115" s="10" t="inlineStr"/>
      <c r="AK115" s="10" t="inlineStr">
        <is>
          <t>grocery; confectionery; beers, wines and spirits; fresh produce; food to go</t>
        </is>
      </c>
      <c r="AL115" s="10" t="inlineStr"/>
      <c r="AM115" s="10" t="inlineStr">
        <is>
          <t>Convenience Store</t>
        </is>
      </c>
      <c r="AN115" s="10" t="inlineStr">
        <is>
          <t>Londis symbol group (Booker/Tesco supply)</t>
        </is>
      </c>
      <c r="AO115" s="10" t="inlineStr">
        <is>
          <t>Independently owned symbol-group store. Listed on the Londis official store finder separately from the 313 Castleford Road WF6 2HL store; different postcode and phone. Flag for dedupe check on merge.</t>
        </is>
      </c>
      <c r="AP115" s="10" t="inlineStr">
        <is>
          <t>Medium</t>
        </is>
      </c>
      <c r="AQ115" s="10" t="inlineStr">
        <is>
          <t>Independent retailer; Relevant category; Active website; Phone verified on official website</t>
        </is>
      </c>
      <c r="AR115" s="10" t="inlineStr">
        <is>
          <t>https://www.londis.co.uk/our-stores/normanton</t>
        </is>
      </c>
      <c r="AS115" s="10" t="inlineStr"/>
      <c r="AT115" s="10" t="inlineStr">
        <is>
          <t>1</t>
        </is>
      </c>
      <c r="AU115" s="10" t="inlineStr">
        <is>
          <t>No</t>
        </is>
      </c>
      <c r="AV115" s="10" t="inlineStr">
        <is>
          <t>No</t>
        </is>
      </c>
      <c r="AW115" s="10" t="inlineStr">
        <is>
          <t>No</t>
        </is>
      </c>
      <c r="AX115" s="10" t="inlineStr">
        <is>
          <t>No</t>
        </is>
      </c>
      <c r="AY115" s="10" t="inlineStr">
        <is>
          <t>Verified on official website</t>
        </is>
      </c>
      <c r="AZ115" s="10" t="inlineStr">
        <is>
          <t>Not Found</t>
        </is>
      </c>
      <c r="BA115" s="10" t="inlineStr">
        <is>
          <t>2026-09-16</t>
        </is>
      </c>
      <c r="BB115" s="10" t="inlineStr">
        <is>
          <t>Requires Verification</t>
        </is>
      </c>
      <c r="BC115" s="10" t="inlineStr">
        <is>
          <t>Medium</t>
        </is>
      </c>
      <c r="BD115" s="10" t="inlineStr"/>
      <c r="BE115" s="10" t="inlineStr">
        <is>
          <t>Business (B2B)</t>
        </is>
      </c>
      <c r="BF115" s="10" t="inlineStr">
        <is>
          <t>Legitimate interest (B2B) - assess per campaign; PECR: corporate subscribers</t>
        </is>
      </c>
      <c r="BG115" s="10" t="inlineStr"/>
      <c r="BH115" s="10" t="inlineStr">
        <is>
          <t>No</t>
        </is>
      </c>
      <c r="BI115" s="10" t="inlineStr">
        <is>
          <t>2026-09-16</t>
        </is>
      </c>
      <c r="BJ115" s="10" t="inlineStr">
        <is>
          <t>New</t>
        </is>
      </c>
      <c r="BK115" s="10" t="inlineStr">
        <is>
          <t>2026-09-16</t>
        </is>
      </c>
      <c r="BL115" s="10" t="inlineStr"/>
      <c r="BM115" s="10" t="inlineStr"/>
      <c r="BN115" s="10" t="inlineStr"/>
      <c r="BO115" s="10" t="inlineStr"/>
      <c r="BP115" s="10" t="inlineStr"/>
      <c r="BQ115" s="10" t="inlineStr"/>
    </row>
    <row r="116">
      <c r="A116" s="5" t="inlineStr">
        <is>
          <t>WY-0115</t>
        </is>
      </c>
      <c r="B116" s="5" t="inlineStr">
        <is>
          <t>WY-0115-01</t>
        </is>
      </c>
      <c r="C116" s="5" t="inlineStr"/>
      <c r="D116" s="5" t="inlineStr">
        <is>
          <t>Londis Ravensthorpe</t>
        </is>
      </c>
      <c r="E116" s="5" t="inlineStr">
        <is>
          <t>Londis Ravensthorpe</t>
        </is>
      </c>
      <c r="F116" s="5" t="inlineStr"/>
      <c r="G116" s="5" t="inlineStr">
        <is>
          <t>Convenience Store</t>
        </is>
      </c>
      <c r="H116" s="5" t="inlineStr">
        <is>
          <t>Londis symbol group convenience store</t>
        </is>
      </c>
      <c r="I116" s="5" t="inlineStr">
        <is>
          <t>Franchise / Symbol Group</t>
        </is>
      </c>
      <c r="J116" s="5" t="inlineStr">
        <is>
          <t>1</t>
        </is>
      </c>
      <c r="K116" s="5" t="inlineStr">
        <is>
          <t>https://www.londis.co.uk/our-stores/londis-ravensthorpe</t>
        </is>
      </c>
      <c r="L116" s="5" t="inlineStr"/>
      <c r="M116" s="5" t="inlineStr"/>
      <c r="N116" s="5" t="inlineStr"/>
      <c r="O116" s="5" t="inlineStr"/>
      <c r="P116" s="5" t="inlineStr">
        <is>
          <t>Ravensthorpe</t>
        </is>
      </c>
      <c r="Q116" s="5" t="inlineStr">
        <is>
          <t>Dewsbury</t>
        </is>
      </c>
      <c r="R116" s="5" t="inlineStr">
        <is>
          <t>West Yorkshire</t>
        </is>
      </c>
      <c r="S116" s="5" t="inlineStr">
        <is>
          <t>WF13 3JE</t>
        </is>
      </c>
      <c r="T116" s="5" t="inlineStr">
        <is>
          <t>Yorkshire &amp; Humber</t>
        </is>
      </c>
      <c r="U116" s="5" t="inlineStr">
        <is>
          <t>England</t>
        </is>
      </c>
      <c r="V116" s="5" t="inlineStr">
        <is>
          <t>01924 461300</t>
        </is>
      </c>
      <c r="W116" s="5" t="inlineStr"/>
      <c r="X116" s="5" t="inlineStr"/>
      <c r="Y116" s="5" t="inlineStr"/>
      <c r="Z116" s="5" t="inlineStr"/>
      <c r="AA116" s="5" t="inlineStr"/>
      <c r="AB116" s="5" t="inlineStr"/>
      <c r="AC116" s="5" t="inlineStr"/>
      <c r="AD116" s="5" t="inlineStr"/>
      <c r="AE116" s="5" t="inlineStr"/>
      <c r="AF116" s="5" t="inlineStr"/>
      <c r="AG116" s="5" t="inlineStr"/>
      <c r="AH116" s="5" t="inlineStr"/>
      <c r="AI116" s="5" t="inlineStr"/>
      <c r="AJ116" s="5" t="inlineStr"/>
      <c r="AK116" s="5" t="inlineStr">
        <is>
          <t>convenience goods; alcohol; tobacco; groceries</t>
        </is>
      </c>
      <c r="AL116" s="5" t="inlineStr"/>
      <c r="AM116" s="5" t="inlineStr">
        <is>
          <t>Convenience Store</t>
        </is>
      </c>
      <c r="AN116" s="5" t="inlineStr">
        <is>
          <t>Londis (Booker) symbol group</t>
        </is>
      </c>
      <c r="AO116" s="5" t="inlineStr">
        <is>
          <t>Independently owned store under the Londis fascia, listed on the official Londis store locator for Ravensthorpe, Dewsbury; street address not captured (page fetch blocked).</t>
        </is>
      </c>
      <c r="AP116" s="5" t="inlineStr">
        <is>
          <t>Medium</t>
        </is>
      </c>
      <c r="AQ116" s="5" t="inlineStr">
        <is>
          <t>Independent retailer; Relevant category; Active website</t>
        </is>
      </c>
      <c r="AR116" s="5" t="inlineStr">
        <is>
          <t>https://www.londis.co.uk/our-stores/londis-ravensthorpe</t>
        </is>
      </c>
      <c r="AS116" s="5" t="inlineStr">
        <is>
          <t>https://directory.gazettelive.co.uk/company/999b46611b8a8afc4d77d779e9c8dcf7</t>
        </is>
      </c>
      <c r="AT116" s="5" t="inlineStr">
        <is>
          <t>2</t>
        </is>
      </c>
      <c r="AU116" s="5" t="inlineStr">
        <is>
          <t>No</t>
        </is>
      </c>
      <c r="AV116" s="5" t="inlineStr">
        <is>
          <t>No</t>
        </is>
      </c>
      <c r="AW116" s="5" t="inlineStr">
        <is>
          <t>No</t>
        </is>
      </c>
      <c r="AX116" s="5" t="inlineStr">
        <is>
          <t>No</t>
        </is>
      </c>
      <c r="AY116" s="5" t="inlineStr">
        <is>
          <t>Verified directory</t>
        </is>
      </c>
      <c r="AZ116" s="5" t="inlineStr">
        <is>
          <t>Not Found</t>
        </is>
      </c>
      <c r="BA116" s="5" t="inlineStr">
        <is>
          <t>2026-09-16</t>
        </is>
      </c>
      <c r="BB116" s="5" t="inlineStr">
        <is>
          <t>Requires Verification</t>
        </is>
      </c>
      <c r="BC116" s="5" t="inlineStr">
        <is>
          <t>Medium</t>
        </is>
      </c>
      <c r="BD116" s="5" t="inlineStr"/>
      <c r="BE116" s="5" t="inlineStr">
        <is>
          <t>Business (B2B)</t>
        </is>
      </c>
      <c r="BF116" s="5" t="inlineStr">
        <is>
          <t>Legitimate interest (B2B) - assess per campaign; PECR: corporate subscribers</t>
        </is>
      </c>
      <c r="BG116" s="5" t="inlineStr"/>
      <c r="BH116" s="5" t="inlineStr">
        <is>
          <t>No</t>
        </is>
      </c>
      <c r="BI116" s="5" t="inlineStr">
        <is>
          <t>2026-09-16</t>
        </is>
      </c>
      <c r="BJ116" s="5" t="inlineStr">
        <is>
          <t>New</t>
        </is>
      </c>
      <c r="BK116" s="5" t="inlineStr">
        <is>
          <t>2026-09-16</t>
        </is>
      </c>
      <c r="BL116" s="5" t="inlineStr"/>
      <c r="BM116" s="5" t="inlineStr"/>
      <c r="BN116" s="5" t="inlineStr"/>
      <c r="BO116" s="5" t="inlineStr"/>
      <c r="BP116" s="5" t="inlineStr"/>
      <c r="BQ116" s="5" t="inlineStr"/>
    </row>
    <row r="117">
      <c r="A117" s="10" t="inlineStr">
        <is>
          <t>WY-0116</t>
        </is>
      </c>
      <c r="B117" s="10" t="inlineStr">
        <is>
          <t>WY-0116-01</t>
        </is>
      </c>
      <c r="C117" s="10" t="inlineStr"/>
      <c r="D117" s="10" t="inlineStr">
        <is>
          <t>Low Lane Convenience Store (Premier)</t>
        </is>
      </c>
      <c r="E117" s="10" t="inlineStr">
        <is>
          <t>Low Lane Convenience Store</t>
        </is>
      </c>
      <c r="F117" s="10" t="inlineStr"/>
      <c r="G117" s="10" t="inlineStr">
        <is>
          <t>Convenience Store</t>
        </is>
      </c>
      <c r="H117" s="10" t="inlineStr">
        <is>
          <t>Premier symbol group convenience store</t>
        </is>
      </c>
      <c r="I117" s="10" t="inlineStr">
        <is>
          <t>Franchise / Symbol Group</t>
        </is>
      </c>
      <c r="J117" s="10" t="inlineStr">
        <is>
          <t>1</t>
        </is>
      </c>
      <c r="K117" s="10" t="inlineStr">
        <is>
          <t>https://www.premier-stores.co.uk/our-stores/low-lane-convenience-store</t>
        </is>
      </c>
      <c r="L117" s="10" t="inlineStr"/>
      <c r="M117" s="10" t="inlineStr"/>
      <c r="N117" s="10" t="inlineStr"/>
      <c r="O117" s="10" t="inlineStr">
        <is>
          <t>6 Low Lane</t>
        </is>
      </c>
      <c r="P117" s="10" t="inlineStr">
        <is>
          <t>Birstall</t>
        </is>
      </c>
      <c r="Q117" s="10" t="inlineStr">
        <is>
          <t>Batley</t>
        </is>
      </c>
      <c r="R117" s="10" t="inlineStr">
        <is>
          <t>West Yorkshire</t>
        </is>
      </c>
      <c r="S117" s="10" t="inlineStr">
        <is>
          <t>WF17 9EY</t>
        </is>
      </c>
      <c r="T117" s="10" t="inlineStr">
        <is>
          <t>Yorkshire &amp; Humber</t>
        </is>
      </c>
      <c r="U117" s="10" t="inlineStr">
        <is>
          <t>England</t>
        </is>
      </c>
      <c r="V117" s="10" t="inlineStr"/>
      <c r="W117" s="10" t="inlineStr"/>
      <c r="X117" s="10" t="inlineStr"/>
      <c r="Y117" s="10" t="inlineStr"/>
      <c r="Z117" s="10" t="inlineStr"/>
      <c r="AA117" s="10" t="inlineStr"/>
      <c r="AB117" s="10" t="inlineStr"/>
      <c r="AC117" s="10" t="inlineStr"/>
      <c r="AD117" s="10" t="inlineStr"/>
      <c r="AE117" s="10" t="inlineStr"/>
      <c r="AF117" s="10" t="inlineStr"/>
      <c r="AG117" s="10" t="inlineStr"/>
      <c r="AH117" s="10" t="inlineStr"/>
      <c r="AI117" s="10" t="inlineStr"/>
      <c r="AJ117" s="10" t="inlineStr"/>
      <c r="AK117" s="10" t="inlineStr">
        <is>
          <t>convenience goods; alcohol; tobacco; groceries</t>
        </is>
      </c>
      <c r="AL117" s="10" t="inlineStr"/>
      <c r="AM117" s="10" t="inlineStr">
        <is>
          <t>Convenience Store</t>
        </is>
      </c>
      <c r="AN117" s="10" t="inlineStr">
        <is>
          <t>Premier (Booker) symbol group</t>
        </is>
      </c>
      <c r="AO117" s="10" t="inlineStr">
        <is>
          <t>Independently owned store trading under the Premier fascia; listed on the official Premier Stores locator.</t>
        </is>
      </c>
      <c r="AP117" s="10" t="inlineStr">
        <is>
          <t>Medium</t>
        </is>
      </c>
      <c r="AQ117" s="10" t="inlineStr">
        <is>
          <t>Independent retailer; Relevant category; Active website</t>
        </is>
      </c>
      <c r="AR117" s="10" t="inlineStr">
        <is>
          <t>https://www.premier-stores.co.uk/our-stores/low-lane-convenience-store</t>
        </is>
      </c>
      <c r="AS117" s="10" t="inlineStr"/>
      <c r="AT117" s="10" t="inlineStr">
        <is>
          <t>1</t>
        </is>
      </c>
      <c r="AU117" s="10" t="inlineStr">
        <is>
          <t>No</t>
        </is>
      </c>
      <c r="AV117" s="10" t="inlineStr">
        <is>
          <t>No</t>
        </is>
      </c>
      <c r="AW117" s="10" t="inlineStr">
        <is>
          <t>No</t>
        </is>
      </c>
      <c r="AX117" s="10" t="inlineStr">
        <is>
          <t>No</t>
        </is>
      </c>
      <c r="AY117" s="10" t="inlineStr">
        <is>
          <t>Not Found</t>
        </is>
      </c>
      <c r="AZ117" s="10" t="inlineStr">
        <is>
          <t>Not Found</t>
        </is>
      </c>
      <c r="BA117" s="10" t="inlineStr">
        <is>
          <t>2026-09-16</t>
        </is>
      </c>
      <c r="BB117" s="10" t="inlineStr">
        <is>
          <t>Requires Verification</t>
        </is>
      </c>
      <c r="BC117" s="10" t="inlineStr">
        <is>
          <t>Medium</t>
        </is>
      </c>
      <c r="BD117" s="10" t="inlineStr"/>
      <c r="BE117" s="10" t="inlineStr">
        <is>
          <t>Business (B2B)</t>
        </is>
      </c>
      <c r="BF117" s="10" t="inlineStr">
        <is>
          <t>Legitimate interest (B2B) - assess per campaign; PECR: corporate subscribers</t>
        </is>
      </c>
      <c r="BG117" s="10" t="inlineStr"/>
      <c r="BH117" s="10" t="inlineStr">
        <is>
          <t>No</t>
        </is>
      </c>
      <c r="BI117" s="10" t="inlineStr">
        <is>
          <t>2026-09-16</t>
        </is>
      </c>
      <c r="BJ117" s="10" t="inlineStr">
        <is>
          <t>New</t>
        </is>
      </c>
      <c r="BK117" s="10" t="inlineStr">
        <is>
          <t>2026-09-16</t>
        </is>
      </c>
      <c r="BL117" s="10" t="inlineStr"/>
      <c r="BM117" s="10" t="inlineStr"/>
      <c r="BN117" s="10" t="inlineStr"/>
      <c r="BO117" s="10" t="inlineStr"/>
      <c r="BP117" s="10" t="inlineStr"/>
      <c r="BQ117" s="10" t="inlineStr"/>
    </row>
    <row r="118">
      <c r="A118" s="5" t="inlineStr">
        <is>
          <t>WY-0117</t>
        </is>
      </c>
      <c r="B118" s="5" t="inlineStr">
        <is>
          <t>WY-0117-01</t>
        </is>
      </c>
      <c r="C118" s="5" t="inlineStr"/>
      <c r="D118" s="5" t="inlineStr">
        <is>
          <t>Mace News &amp; Off Licence</t>
        </is>
      </c>
      <c r="E118" s="5" t="inlineStr">
        <is>
          <t>Mace News &amp; Off Licence</t>
        </is>
      </c>
      <c r="F118" s="5" t="inlineStr"/>
      <c r="G118" s="5" t="inlineStr">
        <is>
          <t>Newsagent</t>
        </is>
      </c>
      <c r="H118" s="5" t="inlineStr">
        <is>
          <t>Newsagent with off-licence</t>
        </is>
      </c>
      <c r="I118" s="5" t="inlineStr">
        <is>
          <t>Franchise / Symbol Group</t>
        </is>
      </c>
      <c r="J118" s="5" t="inlineStr">
        <is>
          <t>1</t>
        </is>
      </c>
      <c r="K118" s="5" t="inlineStr"/>
      <c r="L118" s="5" t="inlineStr"/>
      <c r="M118" s="5" t="inlineStr"/>
      <c r="N118" s="5" t="inlineStr"/>
      <c r="O118" s="5" t="inlineStr">
        <is>
          <t>Otley Road</t>
        </is>
      </c>
      <c r="P118" s="5" t="inlineStr">
        <is>
          <t>Baildon</t>
        </is>
      </c>
      <c r="Q118" s="5" t="inlineStr">
        <is>
          <t>Shipley</t>
        </is>
      </c>
      <c r="R118" s="5" t="inlineStr">
        <is>
          <t>West Yorkshire</t>
        </is>
      </c>
      <c r="S118" s="5" t="inlineStr"/>
      <c r="T118" s="5" t="inlineStr">
        <is>
          <t>Yorkshire &amp; Humber</t>
        </is>
      </c>
      <c r="U118" s="5" t="inlineStr">
        <is>
          <t>England</t>
        </is>
      </c>
      <c r="V118" s="5" t="inlineStr"/>
      <c r="W118" s="5" t="inlineStr"/>
      <c r="X118" s="5" t="inlineStr"/>
      <c r="Y118" s="5" t="inlineStr"/>
      <c r="Z118" s="5" t="inlineStr"/>
      <c r="AA118" s="5" t="inlineStr"/>
      <c r="AB118" s="5" t="inlineStr"/>
      <c r="AC118" s="5" t="inlineStr"/>
      <c r="AD118" s="5" t="inlineStr"/>
      <c r="AE118" s="5" t="inlineStr"/>
      <c r="AF118" s="5" t="inlineStr"/>
      <c r="AG118" s="5" t="inlineStr"/>
      <c r="AH118" s="5" t="inlineStr"/>
      <c r="AI118" s="5" t="inlineStr"/>
      <c r="AJ118" s="5" t="inlineStr"/>
      <c r="AK118" s="5" t="inlineStr">
        <is>
          <t>news; magazines; alcohol; convenience lines</t>
        </is>
      </c>
      <c r="AL118" s="5" t="inlineStr"/>
      <c r="AM118" s="5" t="inlineStr">
        <is>
          <t>Newsagent</t>
        </is>
      </c>
      <c r="AN118" s="5" t="inlineStr"/>
      <c r="AO118" s="5" t="inlineStr">
        <is>
          <t>Independently owned Mace symbol-group newsagent/off-licence on Otley Road, Baildon. Open daily 9am-9pm per listing snippet.</t>
        </is>
      </c>
      <c r="AP118" s="5" t="inlineStr">
        <is>
          <t>Low</t>
        </is>
      </c>
      <c r="AQ118" s="5" t="inlineStr">
        <is>
          <t>Independent retailer; Relevant category</t>
        </is>
      </c>
      <c r="AR118" s="5" t="inlineStr">
        <is>
          <t>https://www.yorkshire.com/shipley/shopping/off-license/mace-news-off-licence</t>
        </is>
      </c>
      <c r="AS118" s="5" t="inlineStr"/>
      <c r="AT118" s="5" t="inlineStr">
        <is>
          <t>1</t>
        </is>
      </c>
      <c r="AU118" s="5" t="inlineStr">
        <is>
          <t>No</t>
        </is>
      </c>
      <c r="AV118" s="5" t="inlineStr">
        <is>
          <t>No</t>
        </is>
      </c>
      <c r="AW118" s="5" t="inlineStr">
        <is>
          <t>No</t>
        </is>
      </c>
      <c r="AX118" s="5" t="inlineStr">
        <is>
          <t>No</t>
        </is>
      </c>
      <c r="AY118" s="5" t="inlineStr">
        <is>
          <t>Not Found</t>
        </is>
      </c>
      <c r="AZ118" s="5" t="inlineStr">
        <is>
          <t>Not Found</t>
        </is>
      </c>
      <c r="BA118" s="5" t="inlineStr">
        <is>
          <t>2026-09-16</t>
        </is>
      </c>
      <c r="BB118" s="5" t="inlineStr">
        <is>
          <t>Requires Verification</t>
        </is>
      </c>
      <c r="BC118" s="5" t="inlineStr">
        <is>
          <t>Low</t>
        </is>
      </c>
      <c r="BD118" s="5" t="inlineStr"/>
      <c r="BE118" s="5" t="inlineStr">
        <is>
          <t>Business (B2B)</t>
        </is>
      </c>
      <c r="BF118" s="5" t="inlineStr">
        <is>
          <t>Legitimate interest (B2B) - assess per campaign; PECR: corporate subscribers</t>
        </is>
      </c>
      <c r="BG118" s="5" t="inlineStr"/>
      <c r="BH118" s="5" t="inlineStr">
        <is>
          <t>No</t>
        </is>
      </c>
      <c r="BI118" s="5" t="inlineStr">
        <is>
          <t>2026-09-16</t>
        </is>
      </c>
      <c r="BJ118" s="5" t="inlineStr">
        <is>
          <t>New</t>
        </is>
      </c>
      <c r="BK118" s="5" t="inlineStr">
        <is>
          <t>2026-09-16</t>
        </is>
      </c>
      <c r="BL118" s="5" t="inlineStr"/>
      <c r="BM118" s="5" t="inlineStr"/>
      <c r="BN118" s="5" t="inlineStr"/>
      <c r="BO118" s="5" t="inlineStr"/>
      <c r="BP118" s="5" t="inlineStr"/>
      <c r="BQ118" s="5" t="inlineStr"/>
    </row>
    <row r="119">
      <c r="A119" s="10" t="inlineStr">
        <is>
          <t>WY-0118</t>
        </is>
      </c>
      <c r="B119" s="10" t="inlineStr">
        <is>
          <t>WY-0118-01</t>
        </is>
      </c>
      <c r="C119" s="10" t="inlineStr"/>
      <c r="D119" s="10" t="inlineStr">
        <is>
          <t>Martinez Wines</t>
        </is>
      </c>
      <c r="E119" s="10" t="inlineStr">
        <is>
          <t>Martinez Wines</t>
        </is>
      </c>
      <c r="F119" s="10" t="inlineStr"/>
      <c r="G119" s="10" t="inlineStr">
        <is>
          <t>Off-Licence</t>
        </is>
      </c>
      <c r="H119" s="10" t="inlineStr">
        <is>
          <t>Independent fine wine merchant (with cellar wine bar)</t>
        </is>
      </c>
      <c r="I119" s="10" t="inlineStr">
        <is>
          <t>Independent</t>
        </is>
      </c>
      <c r="J119" s="10" t="inlineStr">
        <is>
          <t>1</t>
        </is>
      </c>
      <c r="K119" s="10" t="inlineStr">
        <is>
          <t>https://martinez.co.uk/</t>
        </is>
      </c>
      <c r="L119" s="10" t="inlineStr"/>
      <c r="M119" s="10" t="inlineStr">
        <is>
          <t>https://www.instagram.com/martinezwines/</t>
        </is>
      </c>
      <c r="N119" s="10" t="inlineStr">
        <is>
          <t>https://x.com/martinezwines</t>
        </is>
      </c>
      <c r="O119" s="10" t="inlineStr">
        <is>
          <t>35 The Grove</t>
        </is>
      </c>
      <c r="P119" s="10" t="inlineStr"/>
      <c r="Q119" s="10" t="inlineStr">
        <is>
          <t>Ilkley</t>
        </is>
      </c>
      <c r="R119" s="10" t="inlineStr">
        <is>
          <t>West Yorkshire</t>
        </is>
      </c>
      <c r="S119" s="10" t="inlineStr">
        <is>
          <t>LS29 9NJ</t>
        </is>
      </c>
      <c r="T119" s="10" t="inlineStr">
        <is>
          <t>Yorkshire &amp; Humber</t>
        </is>
      </c>
      <c r="U119" s="10" t="inlineStr">
        <is>
          <t>England</t>
        </is>
      </c>
      <c r="V119" s="10" t="inlineStr">
        <is>
          <t>01943 600000</t>
        </is>
      </c>
      <c r="W119" s="10" t="inlineStr"/>
      <c r="X119" s="10" t="inlineStr"/>
      <c r="Y119" s="10" t="inlineStr">
        <is>
          <t>shop@martinez.co.uk</t>
        </is>
      </c>
      <c r="Z119" s="10" t="inlineStr"/>
      <c r="AA119" s="10" t="inlineStr"/>
      <c r="AB119" s="10" t="inlineStr"/>
      <c r="AC119" s="10" t="inlineStr"/>
      <c r="AD119" s="10" t="inlineStr"/>
      <c r="AE119" s="10" t="inlineStr"/>
      <c r="AF119" s="10" t="inlineStr"/>
      <c r="AG119" s="10" t="inlineStr"/>
      <c r="AH119" s="10" t="inlineStr"/>
      <c r="AI119" s="10" t="inlineStr"/>
      <c r="AJ119" s="10" t="inlineStr"/>
      <c r="AK119" s="10" t="inlineStr">
        <is>
          <t>fine wine; spirits; beer</t>
        </is>
      </c>
      <c r="AL119" s="10" t="inlineStr"/>
      <c r="AM119" s="10" t="inlineStr">
        <is>
          <t>Off-Licence</t>
        </is>
      </c>
      <c r="AN119" s="10" t="inlineStr"/>
      <c r="AO119" s="10" t="inlineStr">
        <is>
          <t>Long-established independent wine merchant in Ilkley; listed in the Harpers directory as 'Martinez Fine Wines'. Phone and email as summarised from its own contact page (martinez.co.uk/shop-services/contact/) in search results.</t>
        </is>
      </c>
      <c r="AP119" s="10" t="inlineStr">
        <is>
          <t>High</t>
        </is>
      </c>
      <c r="AQ119" s="10" t="inlineStr">
        <is>
          <t>Independent retailer; Relevant category; Public email available; Active website; Social presence; Phone verified on official website</t>
        </is>
      </c>
      <c r="AR119" s="10" t="inlineStr">
        <is>
          <t>https://martinez.co.uk/shop-services/contact/</t>
        </is>
      </c>
      <c r="AS119" s="10" t="inlineStr">
        <is>
          <t>https://www.instagram.com/martinezwines/</t>
        </is>
      </c>
      <c r="AT119" s="10" t="inlineStr">
        <is>
          <t>3</t>
        </is>
      </c>
      <c r="AU119" s="10" t="inlineStr">
        <is>
          <t>No</t>
        </is>
      </c>
      <c r="AV119" s="10" t="inlineStr">
        <is>
          <t>No</t>
        </is>
      </c>
      <c r="AW119" s="10" t="inlineStr">
        <is>
          <t>No</t>
        </is>
      </c>
      <c r="AX119" s="10" t="inlineStr">
        <is>
          <t>No</t>
        </is>
      </c>
      <c r="AY119" s="10" t="inlineStr">
        <is>
          <t>Verified on official website</t>
        </is>
      </c>
      <c r="AZ119" s="10" t="inlineStr">
        <is>
          <t>Publicly Listed</t>
        </is>
      </c>
      <c r="BA119" s="10" t="inlineStr">
        <is>
          <t>2026-09-16</t>
        </is>
      </c>
      <c r="BB119" s="10" t="inlineStr">
        <is>
          <t>Requires Verification</t>
        </is>
      </c>
      <c r="BC119" s="10" t="inlineStr">
        <is>
          <t>Medium</t>
        </is>
      </c>
      <c r="BD119" s="10" t="inlineStr"/>
      <c r="BE119" s="10" t="inlineStr">
        <is>
          <t>Business (B2B)</t>
        </is>
      </c>
      <c r="BF119" s="10" t="inlineStr">
        <is>
          <t>Legitimate interest (B2B) - assess per campaign; PECR: corporate subscribers</t>
        </is>
      </c>
      <c r="BG119" s="10" t="inlineStr"/>
      <c r="BH119" s="10" t="inlineStr">
        <is>
          <t>No</t>
        </is>
      </c>
      <c r="BI119" s="10" t="inlineStr">
        <is>
          <t>2026-09-16</t>
        </is>
      </c>
      <c r="BJ119" s="10" t="inlineStr">
        <is>
          <t>New</t>
        </is>
      </c>
      <c r="BK119" s="10" t="inlineStr">
        <is>
          <t>2026-09-16</t>
        </is>
      </c>
      <c r="BL119" s="10" t="inlineStr"/>
      <c r="BM119" s="10" t="inlineStr"/>
      <c r="BN119" s="10" t="inlineStr"/>
      <c r="BO119" s="10" t="inlineStr"/>
      <c r="BP119" s="10" t="inlineStr"/>
      <c r="BQ119" s="10" t="inlineStr"/>
    </row>
    <row r="120">
      <c r="A120" s="5" t="inlineStr">
        <is>
          <t>WY-0119</t>
        </is>
      </c>
      <c r="B120" s="5" t="inlineStr">
        <is>
          <t>WY-0119-01</t>
        </is>
      </c>
      <c r="C120" s="5" t="inlineStr"/>
      <c r="D120" s="5" t="inlineStr">
        <is>
          <t>Matharu Newsagents</t>
        </is>
      </c>
      <c r="E120" s="5" t="inlineStr">
        <is>
          <t>Matharu Newsagents</t>
        </is>
      </c>
      <c r="F120" s="5" t="inlineStr"/>
      <c r="G120" s="5" t="inlineStr">
        <is>
          <t>Newsagent</t>
        </is>
      </c>
      <c r="H120" s="5" t="inlineStr"/>
      <c r="I120" s="5" t="inlineStr">
        <is>
          <t>Independent</t>
        </is>
      </c>
      <c r="J120" s="5" t="inlineStr">
        <is>
          <t>1</t>
        </is>
      </c>
      <c r="K120" s="5" t="inlineStr"/>
      <c r="L120" s="5" t="inlineStr"/>
      <c r="M120" s="5" t="inlineStr"/>
      <c r="N120" s="5" t="inlineStr"/>
      <c r="O120" s="5" t="inlineStr">
        <is>
          <t>46 Monk Bridge Road</t>
        </is>
      </c>
      <c r="P120" s="5" t="inlineStr">
        <is>
          <t>Meanwood</t>
        </is>
      </c>
      <c r="Q120" s="5" t="inlineStr">
        <is>
          <t>Leeds</t>
        </is>
      </c>
      <c r="R120" s="5" t="inlineStr">
        <is>
          <t>West Yorkshire</t>
        </is>
      </c>
      <c r="S120" s="5" t="inlineStr">
        <is>
          <t>LS6 4ER</t>
        </is>
      </c>
      <c r="T120" s="5" t="inlineStr">
        <is>
          <t>Yorkshire &amp; Humber</t>
        </is>
      </c>
      <c r="U120" s="5" t="inlineStr">
        <is>
          <t>England</t>
        </is>
      </c>
      <c r="V120" s="5" t="inlineStr">
        <is>
          <t>0113 275 1851</t>
        </is>
      </c>
      <c r="W120" s="5" t="inlineStr"/>
      <c r="X120" s="5" t="inlineStr"/>
      <c r="Y120" s="5" t="inlineStr"/>
      <c r="Z120" s="5" t="inlineStr"/>
      <c r="AA120" s="5" t="inlineStr"/>
      <c r="AB120" s="5" t="inlineStr"/>
      <c r="AC120" s="5" t="inlineStr"/>
      <c r="AD120" s="5" t="inlineStr"/>
      <c r="AE120" s="5" t="inlineStr"/>
      <c r="AF120" s="5" t="inlineStr"/>
      <c r="AG120" s="5" t="inlineStr"/>
      <c r="AH120" s="5" t="inlineStr"/>
      <c r="AI120" s="5" t="inlineStr"/>
      <c r="AJ120" s="5" t="inlineStr"/>
      <c r="AK120" s="5" t="inlineStr">
        <is>
          <t>newspapers; magazines; confectionery; tobacco</t>
        </is>
      </c>
      <c r="AL120" s="5" t="inlineStr"/>
      <c r="AM120" s="5" t="inlineStr">
        <is>
          <t>Newsagent</t>
        </is>
      </c>
      <c r="AN120" s="5" t="inlineStr"/>
      <c r="AO120" s="5" t="inlineStr"/>
      <c r="AP120" s="5" t="inlineStr">
        <is>
          <t>Low</t>
        </is>
      </c>
      <c r="AQ120" s="5" t="inlineStr">
        <is>
          <t>Independent retailer; Relevant category</t>
        </is>
      </c>
      <c r="AR120" s="5" t="inlineStr">
        <is>
          <t>https://findit.yorkshireeveningpost.co.uk/search/leeds/newsagent</t>
        </is>
      </c>
      <c r="AS120" s="5" t="inlineStr"/>
      <c r="AT120" s="5" t="inlineStr">
        <is>
          <t>1</t>
        </is>
      </c>
      <c r="AU120" s="5" t="inlineStr">
        <is>
          <t>No</t>
        </is>
      </c>
      <c r="AV120" s="5" t="inlineStr">
        <is>
          <t>No</t>
        </is>
      </c>
      <c r="AW120" s="5" t="inlineStr">
        <is>
          <t>No</t>
        </is>
      </c>
      <c r="AX120" s="5" t="inlineStr">
        <is>
          <t>No</t>
        </is>
      </c>
      <c r="AY120" s="5" t="inlineStr">
        <is>
          <t>Verified directory</t>
        </is>
      </c>
      <c r="AZ120" s="5" t="inlineStr">
        <is>
          <t>Not Found</t>
        </is>
      </c>
      <c r="BA120" s="5" t="inlineStr">
        <is>
          <t>2026-09-16</t>
        </is>
      </c>
      <c r="BB120" s="5" t="inlineStr">
        <is>
          <t>Requires Verification</t>
        </is>
      </c>
      <c r="BC120" s="5" t="inlineStr">
        <is>
          <t>Medium</t>
        </is>
      </c>
      <c r="BD120" s="5" t="inlineStr"/>
      <c r="BE120" s="5" t="inlineStr">
        <is>
          <t>Business (B2B)</t>
        </is>
      </c>
      <c r="BF120" s="5" t="inlineStr">
        <is>
          <t>Legitimate interest (B2B) - assess per campaign; PECR: corporate subscribers</t>
        </is>
      </c>
      <c r="BG120" s="5" t="inlineStr"/>
      <c r="BH120" s="5" t="inlineStr">
        <is>
          <t>No</t>
        </is>
      </c>
      <c r="BI120" s="5" t="inlineStr">
        <is>
          <t>2026-09-16</t>
        </is>
      </c>
      <c r="BJ120" s="5" t="inlineStr">
        <is>
          <t>New</t>
        </is>
      </c>
      <c r="BK120" s="5" t="inlineStr">
        <is>
          <t>2026-09-16</t>
        </is>
      </c>
      <c r="BL120" s="5" t="inlineStr"/>
      <c r="BM120" s="5" t="inlineStr"/>
      <c r="BN120" s="5" t="inlineStr"/>
      <c r="BO120" s="5" t="inlineStr"/>
      <c r="BP120" s="5" t="inlineStr"/>
      <c r="BQ120" s="5" t="inlineStr"/>
    </row>
    <row r="121">
      <c r="A121" s="10" t="inlineStr">
        <is>
          <t>WY-0120</t>
        </is>
      </c>
      <c r="B121" s="10" t="inlineStr">
        <is>
          <t>WY-0120-01</t>
        </is>
      </c>
      <c r="C121" s="10" t="inlineStr"/>
      <c r="D121" s="10" t="inlineStr">
        <is>
          <t>Meltham Convenience Store</t>
        </is>
      </c>
      <c r="E121" s="10" t="inlineStr">
        <is>
          <t>Meltham Convenience Store</t>
        </is>
      </c>
      <c r="F121" s="10" t="inlineStr"/>
      <c r="G121" s="10" t="inlineStr">
        <is>
          <t>Convenience Store</t>
        </is>
      </c>
      <c r="H121" s="10" t="inlineStr">
        <is>
          <t>Convenience store and off-licence</t>
        </is>
      </c>
      <c r="I121" s="10" t="inlineStr">
        <is>
          <t>Independent</t>
        </is>
      </c>
      <c r="J121" s="10" t="inlineStr">
        <is>
          <t>1</t>
        </is>
      </c>
      <c r="K121" s="10" t="inlineStr"/>
      <c r="L121" s="10" t="inlineStr"/>
      <c r="M121" s="10" t="inlineStr"/>
      <c r="N121" s="10" t="inlineStr"/>
      <c r="O121" s="10" t="inlineStr">
        <is>
          <t>30 Meltham Mills Road</t>
        </is>
      </c>
      <c r="P121" s="10" t="inlineStr"/>
      <c r="Q121" s="10" t="inlineStr">
        <is>
          <t>Meltham</t>
        </is>
      </c>
      <c r="R121" s="10" t="inlineStr">
        <is>
          <t>West Yorkshire</t>
        </is>
      </c>
      <c r="S121" s="10" t="inlineStr">
        <is>
          <t>HD9 4EJ</t>
        </is>
      </c>
      <c r="T121" s="10" t="inlineStr">
        <is>
          <t>Yorkshire &amp; Humber</t>
        </is>
      </c>
      <c r="U121" s="10" t="inlineStr">
        <is>
          <t>England</t>
        </is>
      </c>
      <c r="V121" s="10" t="inlineStr">
        <is>
          <t>01484 618211</t>
        </is>
      </c>
      <c r="W121" s="10" t="inlineStr"/>
      <c r="X121" s="10" t="inlineStr"/>
      <c r="Y121" s="10" t="inlineStr"/>
      <c r="Z121" s="10" t="inlineStr"/>
      <c r="AA121" s="10" t="inlineStr"/>
      <c r="AB121" s="10" t="inlineStr"/>
      <c r="AC121" s="10" t="inlineStr"/>
      <c r="AD121" s="10" t="inlineStr"/>
      <c r="AE121" s="10" t="inlineStr"/>
      <c r="AF121" s="10" t="inlineStr"/>
      <c r="AG121" s="10" t="inlineStr"/>
      <c r="AH121" s="10" t="inlineStr"/>
      <c r="AI121" s="10" t="inlineStr"/>
      <c r="AJ121" s="10" t="inlineStr"/>
      <c r="AK121" s="10" t="inlineStr">
        <is>
          <t>convenience goods; alcohol; tobacco; newspapers</t>
        </is>
      </c>
      <c r="AL121" s="10" t="inlineStr"/>
      <c r="AM121" s="10" t="inlineStr">
        <is>
          <t>Convenience Store</t>
        </is>
      </c>
      <c r="AN121" s="10" t="inlineStr"/>
      <c r="AO121" s="10" t="inlineStr">
        <is>
          <t>Listed under Off Licences on Yell and as a convenience store on Gazette Live directory with matching address and phone.</t>
        </is>
      </c>
      <c r="AP121" s="10" t="inlineStr">
        <is>
          <t>Low</t>
        </is>
      </c>
      <c r="AQ121" s="10" t="inlineStr">
        <is>
          <t>Independent retailer; Relevant category</t>
        </is>
      </c>
      <c r="AR121" s="10" t="inlineStr">
        <is>
          <t>https://www.yell.com/biz/meltham-convenience-store-holmfirth-9079746/</t>
        </is>
      </c>
      <c r="AS121" s="10" t="inlineStr">
        <is>
          <t>https://directory.gazettelive.co.uk/company/d9f72795f940854d6693354206b3bc2d</t>
        </is>
      </c>
      <c r="AT121" s="10" t="inlineStr">
        <is>
          <t>2</t>
        </is>
      </c>
      <c r="AU121" s="10" t="inlineStr">
        <is>
          <t>No</t>
        </is>
      </c>
      <c r="AV121" s="10" t="inlineStr">
        <is>
          <t>No</t>
        </is>
      </c>
      <c r="AW121" s="10" t="inlineStr">
        <is>
          <t>No</t>
        </is>
      </c>
      <c r="AX121" s="10" t="inlineStr">
        <is>
          <t>No</t>
        </is>
      </c>
      <c r="AY121" s="10" t="inlineStr">
        <is>
          <t>Verified directory</t>
        </is>
      </c>
      <c r="AZ121" s="10" t="inlineStr">
        <is>
          <t>Not Found</t>
        </is>
      </c>
      <c r="BA121" s="10" t="inlineStr">
        <is>
          <t>2026-09-16</t>
        </is>
      </c>
      <c r="BB121" s="10" t="inlineStr">
        <is>
          <t>Requires Verification</t>
        </is>
      </c>
      <c r="BC121" s="10" t="inlineStr">
        <is>
          <t>Medium</t>
        </is>
      </c>
      <c r="BD121" s="10" t="inlineStr"/>
      <c r="BE121" s="10" t="inlineStr">
        <is>
          <t>Business (B2B)</t>
        </is>
      </c>
      <c r="BF121" s="10" t="inlineStr">
        <is>
          <t>Legitimate interest (B2B) - assess per campaign; PECR: corporate subscribers</t>
        </is>
      </c>
      <c r="BG121" s="10" t="inlineStr"/>
      <c r="BH121" s="10" t="inlineStr">
        <is>
          <t>No</t>
        </is>
      </c>
      <c r="BI121" s="10" t="inlineStr">
        <is>
          <t>2026-09-16</t>
        </is>
      </c>
      <c r="BJ121" s="10" t="inlineStr">
        <is>
          <t>New</t>
        </is>
      </c>
      <c r="BK121" s="10" t="inlineStr">
        <is>
          <t>2026-09-16</t>
        </is>
      </c>
      <c r="BL121" s="10" t="inlineStr"/>
      <c r="BM121" s="10" t="inlineStr"/>
      <c r="BN121" s="10" t="inlineStr"/>
      <c r="BO121" s="10" t="inlineStr"/>
      <c r="BP121" s="10" t="inlineStr"/>
      <c r="BQ121" s="10" t="inlineStr"/>
    </row>
    <row r="122">
      <c r="A122" s="5" t="inlineStr">
        <is>
          <t>WY-0121</t>
        </is>
      </c>
      <c r="B122" s="5" t="inlineStr">
        <is>
          <t>WY-0121-01</t>
        </is>
      </c>
      <c r="C122" s="5" t="inlineStr"/>
      <c r="D122" s="5" t="inlineStr">
        <is>
          <t>Mister Motivaper</t>
        </is>
      </c>
      <c r="E122" s="5" t="inlineStr">
        <is>
          <t>Mister Motivaper</t>
        </is>
      </c>
      <c r="F122" s="5" t="inlineStr"/>
      <c r="G122" s="5" t="inlineStr">
        <is>
          <t>Vape Shop</t>
        </is>
      </c>
      <c r="H122" s="5" t="inlineStr">
        <is>
          <t>Vape retailer</t>
        </is>
      </c>
      <c r="I122" s="5" t="inlineStr">
        <is>
          <t>Independent</t>
        </is>
      </c>
      <c r="J122" s="5" t="inlineStr">
        <is>
          <t>1</t>
        </is>
      </c>
      <c r="K122" s="5" t="inlineStr"/>
      <c r="L122" s="5" t="inlineStr"/>
      <c r="M122" s="5" t="inlineStr"/>
      <c r="N122" s="5" t="inlineStr"/>
      <c r="O122" s="5" t="inlineStr">
        <is>
          <t>7 Horse Fair</t>
        </is>
      </c>
      <c r="P122" s="5" t="inlineStr"/>
      <c r="Q122" s="5" t="inlineStr">
        <is>
          <t>Pontefract</t>
        </is>
      </c>
      <c r="R122" s="5" t="inlineStr">
        <is>
          <t>West Yorkshire</t>
        </is>
      </c>
      <c r="S122" s="5" t="inlineStr"/>
      <c r="T122" s="5" t="inlineStr">
        <is>
          <t>Yorkshire &amp; Humber</t>
        </is>
      </c>
      <c r="U122" s="5" t="inlineStr">
        <is>
          <t>England</t>
        </is>
      </c>
      <c r="V122" s="5" t="inlineStr">
        <is>
          <t>01274 987430</t>
        </is>
      </c>
      <c r="W122" s="5" t="inlineStr"/>
      <c r="X122" s="5" t="inlineStr"/>
      <c r="Y122" s="5" t="inlineStr"/>
      <c r="Z122" s="5" t="inlineStr"/>
      <c r="AA122" s="5" t="inlineStr"/>
      <c r="AB122" s="5" t="inlineStr"/>
      <c r="AC122" s="5" t="inlineStr"/>
      <c r="AD122" s="5" t="inlineStr"/>
      <c r="AE122" s="5" t="inlineStr"/>
      <c r="AF122" s="5" t="inlineStr"/>
      <c r="AG122" s="5" t="inlineStr"/>
      <c r="AH122" s="5" t="inlineStr"/>
      <c r="AI122" s="5" t="inlineStr"/>
      <c r="AJ122" s="5" t="inlineStr"/>
      <c r="AK122" s="5" t="inlineStr">
        <is>
          <t>vape hardware; e-liquids</t>
        </is>
      </c>
      <c r="AL122" s="5" t="inlineStr"/>
      <c r="AM122" s="5" t="inlineStr">
        <is>
          <t>Vape Shop</t>
        </is>
      </c>
      <c r="AN122" s="5" t="inlineStr"/>
      <c r="AO122" s="5" t="inlineStr">
        <is>
          <t>Next door to Vaperites on Horse Fair. Listed phone is a Bradford (01274) number, suggesting possible link to a Bradford-based operator - unconfirmed.</t>
        </is>
      </c>
      <c r="AP122" s="5" t="inlineStr">
        <is>
          <t>Medium</t>
        </is>
      </c>
      <c r="AQ122" s="5" t="inlineStr">
        <is>
          <t>Independent retailer; Core relevant category</t>
        </is>
      </c>
      <c r="AR122" s="5" t="inlineStr">
        <is>
          <t>https://ecigdirectory.co.uk/vape-shop/listing/mister-motivaper-pontefract</t>
        </is>
      </c>
      <c r="AS122" s="5" t="inlineStr"/>
      <c r="AT122" s="5" t="inlineStr">
        <is>
          <t>1</t>
        </is>
      </c>
      <c r="AU122" s="5" t="inlineStr">
        <is>
          <t>No</t>
        </is>
      </c>
      <c r="AV122" s="5" t="inlineStr">
        <is>
          <t>No</t>
        </is>
      </c>
      <c r="AW122" s="5" t="inlineStr">
        <is>
          <t>No</t>
        </is>
      </c>
      <c r="AX122" s="5" t="inlineStr">
        <is>
          <t>No</t>
        </is>
      </c>
      <c r="AY122" s="5" t="inlineStr">
        <is>
          <t>Verified directory</t>
        </is>
      </c>
      <c r="AZ122" s="5" t="inlineStr">
        <is>
          <t>Not Found</t>
        </is>
      </c>
      <c r="BA122" s="5" t="inlineStr">
        <is>
          <t>2026-09-16</t>
        </is>
      </c>
      <c r="BB122" s="5" t="inlineStr">
        <is>
          <t>Requires Verification</t>
        </is>
      </c>
      <c r="BC122" s="5" t="inlineStr">
        <is>
          <t>Low</t>
        </is>
      </c>
      <c r="BD122" s="5" t="inlineStr"/>
      <c r="BE122" s="5" t="inlineStr">
        <is>
          <t>Business (B2B)</t>
        </is>
      </c>
      <c r="BF122" s="5" t="inlineStr">
        <is>
          <t>Legitimate interest (B2B) - assess per campaign; PECR: corporate subscribers</t>
        </is>
      </c>
      <c r="BG122" s="5" t="inlineStr"/>
      <c r="BH122" s="5" t="inlineStr">
        <is>
          <t>No</t>
        </is>
      </c>
      <c r="BI122" s="5" t="inlineStr">
        <is>
          <t>2026-09-16</t>
        </is>
      </c>
      <c r="BJ122" s="5" t="inlineStr">
        <is>
          <t>New</t>
        </is>
      </c>
      <c r="BK122" s="5" t="inlineStr">
        <is>
          <t>2026-09-16</t>
        </is>
      </c>
      <c r="BL122" s="5" t="inlineStr"/>
      <c r="BM122" s="5" t="inlineStr"/>
      <c r="BN122" s="5" t="inlineStr"/>
      <c r="BO122" s="5" t="inlineStr"/>
      <c r="BP122" s="5" t="inlineStr"/>
      <c r="BQ122" s="5" t="inlineStr"/>
    </row>
    <row r="123">
      <c r="A123" s="10" t="inlineStr">
        <is>
          <t>WY-0122</t>
        </is>
      </c>
      <c r="B123" s="10" t="inlineStr">
        <is>
          <t>WY-0122-01</t>
        </is>
      </c>
      <c r="C123" s="10" t="inlineStr"/>
      <c r="D123" s="10" t="inlineStr">
        <is>
          <t>Mount Pellon Newsagent</t>
        </is>
      </c>
      <c r="E123" s="10" t="inlineStr">
        <is>
          <t>Mount Pellon Newsagent</t>
        </is>
      </c>
      <c r="F123" s="10" t="inlineStr"/>
      <c r="G123" s="10" t="inlineStr">
        <is>
          <t>Newsagent</t>
        </is>
      </c>
      <c r="H123" s="10" t="inlineStr">
        <is>
          <t>Corner shop newsagent with Royal Mail parcel services</t>
        </is>
      </c>
      <c r="I123" s="10" t="inlineStr">
        <is>
          <t>Independent</t>
        </is>
      </c>
      <c r="J123" s="10" t="inlineStr">
        <is>
          <t>1</t>
        </is>
      </c>
      <c r="K123" s="10" t="inlineStr"/>
      <c r="L123" s="10" t="inlineStr"/>
      <c r="M123" s="10" t="inlineStr"/>
      <c r="N123" s="10" t="inlineStr"/>
      <c r="O123" s="10" t="inlineStr">
        <is>
          <t>Cross Street West</t>
        </is>
      </c>
      <c r="P123" s="10" t="inlineStr">
        <is>
          <t>Mount Pellon</t>
        </is>
      </c>
      <c r="Q123" s="10" t="inlineStr">
        <is>
          <t>Halifax</t>
        </is>
      </c>
      <c r="R123" s="10" t="inlineStr">
        <is>
          <t>West Yorkshire</t>
        </is>
      </c>
      <c r="S123" s="10" t="inlineStr">
        <is>
          <t>HX2 0HA</t>
        </is>
      </c>
      <c r="T123" s="10" t="inlineStr">
        <is>
          <t>Yorkshire &amp; Humber</t>
        </is>
      </c>
      <c r="U123" s="10" t="inlineStr">
        <is>
          <t>England</t>
        </is>
      </c>
      <c r="V123" s="10" t="inlineStr">
        <is>
          <t>01422 361609</t>
        </is>
      </c>
      <c r="W123" s="10" t="inlineStr"/>
      <c r="X123" s="10" t="inlineStr"/>
      <c r="Y123" s="10" t="inlineStr"/>
      <c r="Z123" s="10" t="inlineStr"/>
      <c r="AA123" s="10" t="inlineStr"/>
      <c r="AB123" s="10" t="inlineStr"/>
      <c r="AC123" s="10" t="inlineStr"/>
      <c r="AD123" s="10" t="inlineStr"/>
      <c r="AE123" s="10" t="inlineStr"/>
      <c r="AF123" s="10" t="inlineStr"/>
      <c r="AG123" s="10" t="inlineStr"/>
      <c r="AH123" s="10" t="inlineStr"/>
      <c r="AI123" s="10" t="inlineStr"/>
      <c r="AJ123" s="10" t="inlineStr"/>
      <c r="AK123" s="10" t="inlineStr">
        <is>
          <t>news; convenience; parcel services</t>
        </is>
      </c>
      <c r="AL123" s="10" t="inlineStr"/>
      <c r="AM123" s="10" t="inlineStr">
        <is>
          <t>Newsagent</t>
        </is>
      </c>
      <c r="AN123" s="10" t="inlineStr"/>
      <c r="AO123" s="10" t="inlineStr"/>
      <c r="AP123" s="10" t="inlineStr">
        <is>
          <t>Low</t>
        </is>
      </c>
      <c r="AQ123" s="10" t="inlineStr">
        <is>
          <t>Independent retailer; Relevant category</t>
        </is>
      </c>
      <c r="AR123" s="10" t="inlineStr">
        <is>
          <t>https://www.misterwhat.co.uk/company/573371-mount-pellon-newsagent-halifax</t>
        </is>
      </c>
      <c r="AS123" s="10" t="inlineStr">
        <is>
          <t>https://www.yorkshire.com/halifax/shopping/corner-shops/mount-pellon-newsagent</t>
        </is>
      </c>
      <c r="AT123" s="10" t="inlineStr">
        <is>
          <t>2</t>
        </is>
      </c>
      <c r="AU123" s="10" t="inlineStr">
        <is>
          <t>No</t>
        </is>
      </c>
      <c r="AV123" s="10" t="inlineStr">
        <is>
          <t>No</t>
        </is>
      </c>
      <c r="AW123" s="10" t="inlineStr">
        <is>
          <t>No</t>
        </is>
      </c>
      <c r="AX123" s="10" t="inlineStr">
        <is>
          <t>No</t>
        </is>
      </c>
      <c r="AY123" s="10" t="inlineStr">
        <is>
          <t>Verified directory</t>
        </is>
      </c>
      <c r="AZ123" s="10" t="inlineStr">
        <is>
          <t>Not Found</t>
        </is>
      </c>
      <c r="BA123" s="10" t="inlineStr">
        <is>
          <t>2026-09-16</t>
        </is>
      </c>
      <c r="BB123" s="10" t="inlineStr">
        <is>
          <t>Requires Verification</t>
        </is>
      </c>
      <c r="BC123" s="10" t="inlineStr">
        <is>
          <t>Medium</t>
        </is>
      </c>
      <c r="BD123" s="10" t="inlineStr"/>
      <c r="BE123" s="10" t="inlineStr">
        <is>
          <t>Business (B2B)</t>
        </is>
      </c>
      <c r="BF123" s="10" t="inlineStr">
        <is>
          <t>Legitimate interest (B2B) - assess per campaign; PECR: corporate subscribers</t>
        </is>
      </c>
      <c r="BG123" s="10" t="inlineStr"/>
      <c r="BH123" s="10" t="inlineStr">
        <is>
          <t>No</t>
        </is>
      </c>
      <c r="BI123" s="10" t="inlineStr">
        <is>
          <t>2026-09-16</t>
        </is>
      </c>
      <c r="BJ123" s="10" t="inlineStr">
        <is>
          <t>New</t>
        </is>
      </c>
      <c r="BK123" s="10" t="inlineStr">
        <is>
          <t>2026-09-16</t>
        </is>
      </c>
      <c r="BL123" s="10" t="inlineStr"/>
      <c r="BM123" s="10" t="inlineStr"/>
      <c r="BN123" s="10" t="inlineStr"/>
      <c r="BO123" s="10" t="inlineStr"/>
      <c r="BP123" s="10" t="inlineStr"/>
      <c r="BQ123" s="10" t="inlineStr"/>
    </row>
    <row r="124">
      <c r="A124" s="5" t="inlineStr">
        <is>
          <t>WY-0123</t>
        </is>
      </c>
      <c r="B124" s="5" t="inlineStr">
        <is>
          <t>WY-0123-01</t>
        </is>
      </c>
      <c r="C124" s="5" t="inlineStr"/>
      <c r="D124" s="5" t="inlineStr">
        <is>
          <t>Mount Vapes</t>
        </is>
      </c>
      <c r="E124" s="5" t="inlineStr">
        <is>
          <t>Mount Vapes</t>
        </is>
      </c>
      <c r="F124" s="5" t="inlineStr"/>
      <c r="G124" s="5" t="inlineStr">
        <is>
          <t>Vape Shop</t>
        </is>
      </c>
      <c r="H124" s="5" t="inlineStr"/>
      <c r="I124" s="5" t="inlineStr">
        <is>
          <t>Independent</t>
        </is>
      </c>
      <c r="J124" s="5" t="inlineStr">
        <is>
          <t>1</t>
        </is>
      </c>
      <c r="K124" s="5" t="inlineStr">
        <is>
          <t>https://mountvapes.co.uk/</t>
        </is>
      </c>
      <c r="L124" s="5" t="inlineStr">
        <is>
          <t>https://www.facebook.com/MountVapes/</t>
        </is>
      </c>
      <c r="M124" s="5" t="inlineStr"/>
      <c r="N124" s="5" t="inlineStr"/>
      <c r="O124" s="5" t="inlineStr"/>
      <c r="P124" s="5" t="inlineStr">
        <is>
          <t>Boothtown</t>
        </is>
      </c>
      <c r="Q124" s="5" t="inlineStr">
        <is>
          <t>Halifax</t>
        </is>
      </c>
      <c r="R124" s="5" t="inlineStr">
        <is>
          <t>West Yorkshire</t>
        </is>
      </c>
      <c r="S124" s="5" t="inlineStr">
        <is>
          <t>HX3 6EE</t>
        </is>
      </c>
      <c r="T124" s="5" t="inlineStr">
        <is>
          <t>Yorkshire &amp; Humber</t>
        </is>
      </c>
      <c r="U124" s="5" t="inlineStr">
        <is>
          <t>England</t>
        </is>
      </c>
      <c r="V124" s="5" t="inlineStr">
        <is>
          <t>07843 846154</t>
        </is>
      </c>
      <c r="W124" s="5" t="inlineStr"/>
      <c r="X124" s="5" t="inlineStr"/>
      <c r="Y124" s="5" t="inlineStr"/>
      <c r="Z124" s="5" t="inlineStr"/>
      <c r="AA124" s="5" t="inlineStr"/>
      <c r="AB124" s="5" t="inlineStr"/>
      <c r="AC124" s="5" t="inlineStr"/>
      <c r="AD124" s="5" t="inlineStr"/>
      <c r="AE124" s="5" t="inlineStr"/>
      <c r="AF124" s="5" t="inlineStr"/>
      <c r="AG124" s="5" t="inlineStr"/>
      <c r="AH124" s="5" t="inlineStr"/>
      <c r="AI124" s="5" t="inlineStr"/>
      <c r="AJ124" s="5" t="inlineStr"/>
      <c r="AK124" s="5" t="inlineStr">
        <is>
          <t>vape hardware; e-liquids</t>
        </is>
      </c>
      <c r="AL124" s="5" t="inlineStr"/>
      <c r="AM124" s="5" t="inlineStr">
        <is>
          <t>Vape Shop</t>
        </is>
      </c>
      <c r="AN124" s="5" t="inlineStr"/>
      <c r="AO124" s="5" t="inlineStr">
        <is>
          <t>Shop in the Boothtown area of Halifax with its own website and Facebook page; street address not obtainable (website fetch blocked by network egress proxy).</t>
        </is>
      </c>
      <c r="AP124" s="5" t="inlineStr">
        <is>
          <t>Medium</t>
        </is>
      </c>
      <c r="AQ124" s="5" t="inlineStr">
        <is>
          <t>Independent retailer; Core relevant category; Active website; Social presence</t>
        </is>
      </c>
      <c r="AR124" s="5" t="inlineStr">
        <is>
          <t>https://mountvapes.co.uk/</t>
        </is>
      </c>
      <c r="AS124" s="5" t="inlineStr">
        <is>
          <t>https://vapeshops.puffingbird.com/yorkshire-and-the-humber/halifax/mount-vapes</t>
        </is>
      </c>
      <c r="AT124" s="5" t="inlineStr">
        <is>
          <t>3</t>
        </is>
      </c>
      <c r="AU124" s="5" t="inlineStr">
        <is>
          <t>No</t>
        </is>
      </c>
      <c r="AV124" s="5" t="inlineStr">
        <is>
          <t>No</t>
        </is>
      </c>
      <c r="AW124" s="5" t="inlineStr">
        <is>
          <t>No</t>
        </is>
      </c>
      <c r="AX124" s="5" t="inlineStr">
        <is>
          <t>No</t>
        </is>
      </c>
      <c r="AY124" s="5" t="inlineStr">
        <is>
          <t>Verified directory</t>
        </is>
      </c>
      <c r="AZ124" s="5" t="inlineStr">
        <is>
          <t>Website Found</t>
        </is>
      </c>
      <c r="BA124" s="5" t="inlineStr">
        <is>
          <t>2026-09-16</t>
        </is>
      </c>
      <c r="BB124" s="5" t="inlineStr">
        <is>
          <t>Requires Verification</t>
        </is>
      </c>
      <c r="BC124" s="5" t="inlineStr">
        <is>
          <t>Medium</t>
        </is>
      </c>
      <c r="BD124" s="5" t="inlineStr"/>
      <c r="BE124" s="5" t="inlineStr">
        <is>
          <t>Business (B2B)</t>
        </is>
      </c>
      <c r="BF124" s="5" t="inlineStr">
        <is>
          <t>Legitimate interest (B2B) - assess per campaign; PECR: corporate subscribers</t>
        </is>
      </c>
      <c r="BG124" s="5" t="inlineStr"/>
      <c r="BH124" s="5" t="inlineStr">
        <is>
          <t>No</t>
        </is>
      </c>
      <c r="BI124" s="5" t="inlineStr">
        <is>
          <t>2026-09-16</t>
        </is>
      </c>
      <c r="BJ124" s="5" t="inlineStr">
        <is>
          <t>New</t>
        </is>
      </c>
      <c r="BK124" s="5" t="inlineStr">
        <is>
          <t>2026-09-16</t>
        </is>
      </c>
      <c r="BL124" s="5" t="inlineStr"/>
      <c r="BM124" s="5" t="inlineStr"/>
      <c r="BN124" s="5" t="inlineStr"/>
      <c r="BO124" s="5" t="inlineStr"/>
      <c r="BP124" s="5" t="inlineStr"/>
      <c r="BQ124" s="5" t="inlineStr"/>
    </row>
    <row r="125">
      <c r="A125" s="10" t="inlineStr">
        <is>
          <t>WY-0124</t>
        </is>
      </c>
      <c r="B125" s="10" t="inlineStr">
        <is>
          <t>WY-0124-01</t>
        </is>
      </c>
      <c r="C125" s="10" t="inlineStr"/>
      <c r="D125" s="10" t="inlineStr">
        <is>
          <t>Mytholmroyd Post Office</t>
        </is>
      </c>
      <c r="E125" s="10" t="inlineStr">
        <is>
          <t>Mytholmroyd Post Office</t>
        </is>
      </c>
      <c r="F125" s="10" t="inlineStr"/>
      <c r="G125" s="10" t="inlineStr">
        <is>
          <t>Convenience Store</t>
        </is>
      </c>
      <c r="H125" s="10" t="inlineStr">
        <is>
          <t>Post office and newsagent counter</t>
        </is>
      </c>
      <c r="I125" s="10" t="inlineStr">
        <is>
          <t>Independent</t>
        </is>
      </c>
      <c r="J125" s="10" t="inlineStr">
        <is>
          <t>1</t>
        </is>
      </c>
      <c r="K125" s="10" t="inlineStr"/>
      <c r="L125" s="10" t="inlineStr"/>
      <c r="M125" s="10" t="inlineStr"/>
      <c r="N125" s="10" t="inlineStr"/>
      <c r="O125" s="10" t="inlineStr">
        <is>
          <t>Grange Dene, Burnley Road</t>
        </is>
      </c>
      <c r="P125" s="10" t="inlineStr">
        <is>
          <t>Mytholmroyd</t>
        </is>
      </c>
      <c r="Q125" s="10" t="inlineStr">
        <is>
          <t>Mytholmroyd</t>
        </is>
      </c>
      <c r="R125" s="10" t="inlineStr">
        <is>
          <t>West Yorkshire</t>
        </is>
      </c>
      <c r="S125" s="10" t="inlineStr">
        <is>
          <t>HX7 5LF</t>
        </is>
      </c>
      <c r="T125" s="10" t="inlineStr">
        <is>
          <t>Yorkshire &amp; Humber</t>
        </is>
      </c>
      <c r="U125" s="10" t="inlineStr">
        <is>
          <t>England</t>
        </is>
      </c>
      <c r="V125" s="10" t="inlineStr"/>
      <c r="W125" s="10" t="inlineStr"/>
      <c r="X125" s="10" t="inlineStr"/>
      <c r="Y125" s="10" t="inlineStr"/>
      <c r="Z125" s="10" t="inlineStr"/>
      <c r="AA125" s="10" t="inlineStr"/>
      <c r="AB125" s="10" t="inlineStr"/>
      <c r="AC125" s="10" t="inlineStr"/>
      <c r="AD125" s="10" t="inlineStr"/>
      <c r="AE125" s="10" t="inlineStr"/>
      <c r="AF125" s="10" t="inlineStr"/>
      <c r="AG125" s="10" t="inlineStr"/>
      <c r="AH125" s="10" t="inlineStr"/>
      <c r="AI125" s="10" t="inlineStr"/>
      <c r="AJ125" s="10" t="inlineStr"/>
      <c r="AK125" s="10" t="inlineStr">
        <is>
          <t>convenience; news; post office services</t>
        </is>
      </c>
      <c r="AL125" s="10" t="inlineStr"/>
      <c r="AM125" s="10" t="inlineStr">
        <is>
          <t>Convenience Store</t>
        </is>
      </c>
      <c r="AN125" s="10" t="inlineStr"/>
      <c r="AO125" s="10" t="inlineStr">
        <is>
          <t>Early-opening village post office/shop (06:30 weekdays). Post office counter is franchised; retail side independently run.</t>
        </is>
      </c>
      <c r="AP125" s="10" t="inlineStr">
        <is>
          <t>Low</t>
        </is>
      </c>
      <c r="AQ125" s="10" t="inlineStr">
        <is>
          <t>Independent retailer; Relevant category</t>
        </is>
      </c>
      <c r="AR125" s="10" t="inlineStr">
        <is>
          <t>https://www.postoffice.co.uk/branch-finder/6314589/mytholmroyd</t>
        </is>
      </c>
      <c r="AS125" s="10" t="inlineStr">
        <is>
          <t>https://findit.halifaxcourier.co.uk/company/1235285678424065</t>
        </is>
      </c>
      <c r="AT125" s="10" t="inlineStr">
        <is>
          <t>2</t>
        </is>
      </c>
      <c r="AU125" s="10" t="inlineStr">
        <is>
          <t>No</t>
        </is>
      </c>
      <c r="AV125" s="10" t="inlineStr">
        <is>
          <t>No</t>
        </is>
      </c>
      <c r="AW125" s="10" t="inlineStr">
        <is>
          <t>No</t>
        </is>
      </c>
      <c r="AX125" s="10" t="inlineStr">
        <is>
          <t>No</t>
        </is>
      </c>
      <c r="AY125" s="10" t="inlineStr">
        <is>
          <t>Not Found</t>
        </is>
      </c>
      <c r="AZ125" s="10" t="inlineStr">
        <is>
          <t>Not Found</t>
        </is>
      </c>
      <c r="BA125" s="10" t="inlineStr">
        <is>
          <t>2026-09-16</t>
        </is>
      </c>
      <c r="BB125" s="10" t="inlineStr">
        <is>
          <t>Requires Verification</t>
        </is>
      </c>
      <c r="BC125" s="10" t="inlineStr">
        <is>
          <t>Medium</t>
        </is>
      </c>
      <c r="BD125" s="10" t="inlineStr"/>
      <c r="BE125" s="10" t="inlineStr">
        <is>
          <t>Business (B2B)</t>
        </is>
      </c>
      <c r="BF125" s="10" t="inlineStr">
        <is>
          <t>Legitimate interest (B2B) - assess per campaign; PECR: corporate subscribers</t>
        </is>
      </c>
      <c r="BG125" s="10" t="inlineStr"/>
      <c r="BH125" s="10" t="inlineStr">
        <is>
          <t>No</t>
        </is>
      </c>
      <c r="BI125" s="10" t="inlineStr">
        <is>
          <t>2026-09-16</t>
        </is>
      </c>
      <c r="BJ125" s="10" t="inlineStr">
        <is>
          <t>New</t>
        </is>
      </c>
      <c r="BK125" s="10" t="inlineStr">
        <is>
          <t>2026-09-16</t>
        </is>
      </c>
      <c r="BL125" s="10" t="inlineStr"/>
      <c r="BM125" s="10" t="inlineStr"/>
      <c r="BN125" s="10" t="inlineStr"/>
      <c r="BO125" s="10" t="inlineStr"/>
      <c r="BP125" s="10" t="inlineStr"/>
      <c r="BQ125" s="10" t="inlineStr"/>
    </row>
    <row r="126">
      <c r="A126" s="5" t="inlineStr">
        <is>
          <t>WY-0125</t>
        </is>
      </c>
      <c r="B126" s="5" t="inlineStr">
        <is>
          <t>WY-0125-01</t>
        </is>
      </c>
      <c r="C126" s="5" t="inlineStr"/>
      <c r="D126" s="5" t="inlineStr">
        <is>
          <t>Nisa Local Knottingley</t>
        </is>
      </c>
      <c r="E126" s="5" t="inlineStr">
        <is>
          <t>Nisa Local</t>
        </is>
      </c>
      <c r="F126" s="5" t="inlineStr"/>
      <c r="G126" s="5" t="inlineStr">
        <is>
          <t>Convenience Store</t>
        </is>
      </c>
      <c r="H126" s="5" t="inlineStr">
        <is>
          <t>Symbol group convenience store</t>
        </is>
      </c>
      <c r="I126" s="5" t="inlineStr">
        <is>
          <t>Franchise / Symbol Group</t>
        </is>
      </c>
      <c r="J126" s="5" t="inlineStr">
        <is>
          <t>1</t>
        </is>
      </c>
      <c r="K126" s="5" t="inlineStr">
        <is>
          <t>https://www.nisalocally.co.uk/stores/west-yorkshire/knottingley</t>
        </is>
      </c>
      <c r="L126" s="5" t="inlineStr">
        <is>
          <t>https://www.facebook.com/NisaLocalPinewoodPlaceKnottingley/</t>
        </is>
      </c>
      <c r="M126" s="5" t="inlineStr"/>
      <c r="N126" s="5" t="inlineStr"/>
      <c r="O126" s="5" t="inlineStr">
        <is>
          <t>12-14 Pinewood Place</t>
        </is>
      </c>
      <c r="P126" s="5" t="inlineStr"/>
      <c r="Q126" s="5" t="inlineStr">
        <is>
          <t>Knottingley</t>
        </is>
      </c>
      <c r="R126" s="5" t="inlineStr">
        <is>
          <t>West Yorkshire</t>
        </is>
      </c>
      <c r="S126" s="5" t="inlineStr">
        <is>
          <t>WF11 0QH</t>
        </is>
      </c>
      <c r="T126" s="5" t="inlineStr">
        <is>
          <t>Yorkshire &amp; Humber</t>
        </is>
      </c>
      <c r="U126" s="5" t="inlineStr">
        <is>
          <t>England</t>
        </is>
      </c>
      <c r="V126" s="5" t="inlineStr">
        <is>
          <t>01977 607202</t>
        </is>
      </c>
      <c r="W126" s="5" t="inlineStr"/>
      <c r="X126" s="5" t="inlineStr"/>
      <c r="Y126" s="5" t="inlineStr"/>
      <c r="Z126" s="5" t="inlineStr"/>
      <c r="AA126" s="5" t="inlineStr"/>
      <c r="AB126" s="5" t="inlineStr"/>
      <c r="AC126" s="5" t="inlineStr"/>
      <c r="AD126" s="5" t="inlineStr"/>
      <c r="AE126" s="5" t="inlineStr"/>
      <c r="AF126" s="5" t="inlineStr"/>
      <c r="AG126" s="5" t="inlineStr"/>
      <c r="AH126" s="5" t="inlineStr"/>
      <c r="AI126" s="5" t="inlineStr"/>
      <c r="AJ126" s="5" t="inlineStr"/>
      <c r="AK126" s="5" t="inlineStr">
        <is>
          <t>grocery; alcohol; convenience</t>
        </is>
      </c>
      <c r="AL126" s="5" t="inlineStr"/>
      <c r="AM126" s="5" t="inlineStr">
        <is>
          <t>Convenience Store</t>
        </is>
      </c>
      <c r="AN126" s="5" t="inlineStr">
        <is>
          <t>Nisa symbol group (Co-op wholesale supply)</t>
        </is>
      </c>
      <c r="AO126" s="5" t="inlineStr">
        <is>
          <t>Independently owned Nisa symbol store; also appears on the official Nisa Locally store finder for Knottingley.</t>
        </is>
      </c>
      <c r="AP126" s="5" t="inlineStr">
        <is>
          <t>Medium</t>
        </is>
      </c>
      <c r="AQ126" s="5" t="inlineStr">
        <is>
          <t>Independent retailer; Relevant category; Active website; Social presence</t>
        </is>
      </c>
      <c r="AR126" s="5" t="inlineStr">
        <is>
          <t>https://www.nisalocally.co.uk/stores/west-yorkshire/knottingley</t>
        </is>
      </c>
      <c r="AS126" s="5" t="inlineStr">
        <is>
          <t>https://www.facebook.com/NisaLocalPinewoodPlaceKnottingley/</t>
        </is>
      </c>
      <c r="AT126" s="5" t="inlineStr">
        <is>
          <t>4</t>
        </is>
      </c>
      <c r="AU126" s="5" t="inlineStr">
        <is>
          <t>No</t>
        </is>
      </c>
      <c r="AV126" s="5" t="inlineStr">
        <is>
          <t>No</t>
        </is>
      </c>
      <c r="AW126" s="5" t="inlineStr">
        <is>
          <t>No</t>
        </is>
      </c>
      <c r="AX126" s="5" t="inlineStr">
        <is>
          <t>No</t>
        </is>
      </c>
      <c r="AY126" s="5" t="inlineStr">
        <is>
          <t>Verified directory</t>
        </is>
      </c>
      <c r="AZ126" s="5" t="inlineStr">
        <is>
          <t>Not Found</t>
        </is>
      </c>
      <c r="BA126" s="5" t="inlineStr">
        <is>
          <t>2026-09-16</t>
        </is>
      </c>
      <c r="BB126" s="5" t="inlineStr">
        <is>
          <t>Requires Verification</t>
        </is>
      </c>
      <c r="BC126" s="5" t="inlineStr">
        <is>
          <t>Medium</t>
        </is>
      </c>
      <c r="BD126" s="5" t="inlineStr"/>
      <c r="BE126" s="5" t="inlineStr">
        <is>
          <t>Business (B2B)</t>
        </is>
      </c>
      <c r="BF126" s="5" t="inlineStr">
        <is>
          <t>Legitimate interest (B2B) - assess per campaign; PECR: corporate subscribers</t>
        </is>
      </c>
      <c r="BG126" s="5" t="inlineStr"/>
      <c r="BH126" s="5" t="inlineStr">
        <is>
          <t>No</t>
        </is>
      </c>
      <c r="BI126" s="5" t="inlineStr">
        <is>
          <t>2026-09-16</t>
        </is>
      </c>
      <c r="BJ126" s="5" t="inlineStr">
        <is>
          <t>New</t>
        </is>
      </c>
      <c r="BK126" s="5" t="inlineStr">
        <is>
          <t>2026-09-16</t>
        </is>
      </c>
      <c r="BL126" s="5" t="inlineStr"/>
      <c r="BM126" s="5" t="inlineStr"/>
      <c r="BN126" s="5" t="inlineStr"/>
      <c r="BO126" s="5" t="inlineStr"/>
      <c r="BP126" s="5" t="inlineStr"/>
      <c r="BQ126" s="5" t="inlineStr"/>
    </row>
    <row r="127">
      <c r="A127" s="10" t="inlineStr">
        <is>
          <t>WY-0126</t>
        </is>
      </c>
      <c r="B127" s="10" t="inlineStr">
        <is>
          <t>WY-0126-01</t>
        </is>
      </c>
      <c r="C127" s="10" t="inlineStr"/>
      <c r="D127" s="10" t="inlineStr">
        <is>
          <t>Northowram Post Office</t>
        </is>
      </c>
      <c r="E127" s="10" t="inlineStr">
        <is>
          <t>Northowram Post Office</t>
        </is>
      </c>
      <c r="F127" s="10" t="inlineStr"/>
      <c r="G127" s="10" t="inlineStr">
        <is>
          <t>Convenience Store</t>
        </is>
      </c>
      <c r="H127" s="10" t="inlineStr">
        <is>
          <t>Family-run convenience store with post office</t>
        </is>
      </c>
      <c r="I127" s="10" t="inlineStr">
        <is>
          <t>Independent</t>
        </is>
      </c>
      <c r="J127" s="10" t="inlineStr">
        <is>
          <t>1</t>
        </is>
      </c>
      <c r="K127" s="10" t="inlineStr"/>
      <c r="L127" s="10" t="inlineStr"/>
      <c r="M127" s="10" t="inlineStr"/>
      <c r="N127" s="10" t="inlineStr"/>
      <c r="O127" s="10" t="inlineStr">
        <is>
          <t>62 Towngate</t>
        </is>
      </c>
      <c r="P127" s="10" t="inlineStr">
        <is>
          <t>Northowram</t>
        </is>
      </c>
      <c r="Q127" s="10" t="inlineStr">
        <is>
          <t>Halifax</t>
        </is>
      </c>
      <c r="R127" s="10" t="inlineStr">
        <is>
          <t>West Yorkshire</t>
        </is>
      </c>
      <c r="S127" s="10" t="inlineStr">
        <is>
          <t>HX3 7DX</t>
        </is>
      </c>
      <c r="T127" s="10" t="inlineStr">
        <is>
          <t>Yorkshire &amp; Humber</t>
        </is>
      </c>
      <c r="U127" s="10" t="inlineStr">
        <is>
          <t>England</t>
        </is>
      </c>
      <c r="V127" s="10" t="inlineStr"/>
      <c r="W127" s="10" t="inlineStr"/>
      <c r="X127" s="10" t="inlineStr"/>
      <c r="Y127" s="10" t="inlineStr"/>
      <c r="Z127" s="10" t="inlineStr"/>
      <c r="AA127" s="10" t="inlineStr"/>
      <c r="AB127" s="10" t="inlineStr"/>
      <c r="AC127" s="10" t="inlineStr"/>
      <c r="AD127" s="10" t="inlineStr"/>
      <c r="AE127" s="10" t="inlineStr"/>
      <c r="AF127" s="10" t="inlineStr"/>
      <c r="AG127" s="10" t="inlineStr"/>
      <c r="AH127" s="10" t="inlineStr"/>
      <c r="AI127" s="10" t="inlineStr"/>
      <c r="AJ127" s="10" t="inlineStr"/>
      <c r="AK127" s="10" t="inlineStr">
        <is>
          <t>convenience; post office services</t>
        </is>
      </c>
      <c r="AL127" s="10" t="inlineStr"/>
      <c r="AM127" s="10" t="inlineStr">
        <is>
          <t>Convenience Store</t>
        </is>
      </c>
      <c r="AN127" s="10" t="inlineStr"/>
      <c r="AO127" s="10" t="inlineStr">
        <is>
          <t>Described as a family-run convenience store; long opening hours (to 9pm daily). Post office counter is a franchise of Post Office Ltd but the shop is independently owned.</t>
        </is>
      </c>
      <c r="AP127" s="10" t="inlineStr">
        <is>
          <t>Low</t>
        </is>
      </c>
      <c r="AQ127" s="10" t="inlineStr">
        <is>
          <t>Independent retailer; Relevant category</t>
        </is>
      </c>
      <c r="AR127" s="10" t="inlineStr">
        <is>
          <t>https://www.postoffice.co.uk/branch-finder/6204589/northowram</t>
        </is>
      </c>
      <c r="AS127" s="10" t="inlineStr">
        <is>
          <t>https://www.royalmail.com/services-near-you/post-office/northowram-hx3-7dx</t>
        </is>
      </c>
      <c r="AT127" s="10" t="inlineStr">
        <is>
          <t>2</t>
        </is>
      </c>
      <c r="AU127" s="10" t="inlineStr">
        <is>
          <t>No</t>
        </is>
      </c>
      <c r="AV127" s="10" t="inlineStr">
        <is>
          <t>No</t>
        </is>
      </c>
      <c r="AW127" s="10" t="inlineStr">
        <is>
          <t>No</t>
        </is>
      </c>
      <c r="AX127" s="10" t="inlineStr">
        <is>
          <t>No</t>
        </is>
      </c>
      <c r="AY127" s="10" t="inlineStr">
        <is>
          <t>Not Found</t>
        </is>
      </c>
      <c r="AZ127" s="10" t="inlineStr">
        <is>
          <t>Not Found</t>
        </is>
      </c>
      <c r="BA127" s="10" t="inlineStr">
        <is>
          <t>2026-09-16</t>
        </is>
      </c>
      <c r="BB127" s="10" t="inlineStr">
        <is>
          <t>Requires Verification</t>
        </is>
      </c>
      <c r="BC127" s="10" t="inlineStr">
        <is>
          <t>Medium</t>
        </is>
      </c>
      <c r="BD127" s="10" t="inlineStr"/>
      <c r="BE127" s="10" t="inlineStr">
        <is>
          <t>Business (B2B)</t>
        </is>
      </c>
      <c r="BF127" s="10" t="inlineStr">
        <is>
          <t>Legitimate interest (B2B) - assess per campaign; PECR: corporate subscribers</t>
        </is>
      </c>
      <c r="BG127" s="10" t="inlineStr"/>
      <c r="BH127" s="10" t="inlineStr">
        <is>
          <t>No</t>
        </is>
      </c>
      <c r="BI127" s="10" t="inlineStr">
        <is>
          <t>2026-09-16</t>
        </is>
      </c>
      <c r="BJ127" s="10" t="inlineStr">
        <is>
          <t>New</t>
        </is>
      </c>
      <c r="BK127" s="10" t="inlineStr">
        <is>
          <t>2026-09-16</t>
        </is>
      </c>
      <c r="BL127" s="10" t="inlineStr"/>
      <c r="BM127" s="10" t="inlineStr"/>
      <c r="BN127" s="10" t="inlineStr"/>
      <c r="BO127" s="10" t="inlineStr"/>
      <c r="BP127" s="10" t="inlineStr"/>
      <c r="BQ127" s="10" t="inlineStr"/>
    </row>
    <row r="128">
      <c r="A128" s="5" t="inlineStr">
        <is>
          <t>WY-0127</t>
        </is>
      </c>
      <c r="B128" s="5" t="inlineStr">
        <is>
          <t>WY-0127-01</t>
        </is>
      </c>
      <c r="C128" s="5" t="inlineStr"/>
      <c r="D128" s="5" t="inlineStr">
        <is>
          <t>Notay Convenience Store (Premier)</t>
        </is>
      </c>
      <c r="E128" s="5" t="inlineStr">
        <is>
          <t>Notay Convenience Store</t>
        </is>
      </c>
      <c r="F128" s="5" t="inlineStr"/>
      <c r="G128" s="5" t="inlineStr">
        <is>
          <t>Convenience Store</t>
        </is>
      </c>
      <c r="H128" s="5" t="inlineStr">
        <is>
          <t>Premier symbol group convenience store</t>
        </is>
      </c>
      <c r="I128" s="5" t="inlineStr">
        <is>
          <t>Franchise / Symbol Group</t>
        </is>
      </c>
      <c r="J128" s="5" t="inlineStr">
        <is>
          <t>1</t>
        </is>
      </c>
      <c r="K128" s="5" t="inlineStr">
        <is>
          <t>https://www.premier-stores.co.uk/our-stores/notay-convenience-store</t>
        </is>
      </c>
      <c r="L128" s="5" t="inlineStr"/>
      <c r="M128" s="5" t="inlineStr"/>
      <c r="N128" s="5" t="inlineStr"/>
      <c r="O128" s="5" t="inlineStr">
        <is>
          <t>Oakhill Road</t>
        </is>
      </c>
      <c r="P128" s="5" t="inlineStr"/>
      <c r="Q128" s="5" t="inlineStr">
        <is>
          <t>Batley</t>
        </is>
      </c>
      <c r="R128" s="5" t="inlineStr">
        <is>
          <t>West Yorkshire</t>
        </is>
      </c>
      <c r="S128" s="5" t="inlineStr">
        <is>
          <t>WF17 8JD</t>
        </is>
      </c>
      <c r="T128" s="5" t="inlineStr">
        <is>
          <t>Yorkshire &amp; Humber</t>
        </is>
      </c>
      <c r="U128" s="5" t="inlineStr">
        <is>
          <t>England</t>
        </is>
      </c>
      <c r="V128" s="5" t="inlineStr">
        <is>
          <t>01924 471483</t>
        </is>
      </c>
      <c r="W128" s="5" t="inlineStr"/>
      <c r="X128" s="5" t="inlineStr"/>
      <c r="Y128" s="5" t="inlineStr"/>
      <c r="Z128" s="5" t="inlineStr"/>
      <c r="AA128" s="5" t="inlineStr"/>
      <c r="AB128" s="5" t="inlineStr"/>
      <c r="AC128" s="5" t="inlineStr"/>
      <c r="AD128" s="5" t="inlineStr"/>
      <c r="AE128" s="5" t="inlineStr"/>
      <c r="AF128" s="5" t="inlineStr"/>
      <c r="AG128" s="5" t="inlineStr"/>
      <c r="AH128" s="5" t="inlineStr"/>
      <c r="AI128" s="5" t="inlineStr"/>
      <c r="AJ128" s="5" t="inlineStr"/>
      <c r="AK128" s="5" t="inlineStr">
        <is>
          <t>convenience goods; alcohol; tobacco; groceries</t>
        </is>
      </c>
      <c r="AL128" s="5" t="inlineStr"/>
      <c r="AM128" s="5" t="inlineStr">
        <is>
          <t>Convenience Store</t>
        </is>
      </c>
      <c r="AN128" s="5" t="inlineStr">
        <is>
          <t>Premier (Booker) symbol group</t>
        </is>
      </c>
      <c r="AO128" s="5" t="inlineStr">
        <is>
          <t>Independently owned store trading under the Premier fascia; listed on the official Premier Stores locator.</t>
        </is>
      </c>
      <c r="AP128" s="5" t="inlineStr">
        <is>
          <t>Medium</t>
        </is>
      </c>
      <c r="AQ128" s="5" t="inlineStr">
        <is>
          <t>Independent retailer; Relevant category; Active website</t>
        </is>
      </c>
      <c r="AR128" s="5" t="inlineStr">
        <is>
          <t>https://www.premier-stores.co.uk/our-stores/notay-convenience-store</t>
        </is>
      </c>
      <c r="AS128" s="5" t="inlineStr"/>
      <c r="AT128" s="5" t="inlineStr">
        <is>
          <t>1</t>
        </is>
      </c>
      <c r="AU128" s="5" t="inlineStr">
        <is>
          <t>No</t>
        </is>
      </c>
      <c r="AV128" s="5" t="inlineStr">
        <is>
          <t>No</t>
        </is>
      </c>
      <c r="AW128" s="5" t="inlineStr">
        <is>
          <t>No</t>
        </is>
      </c>
      <c r="AX128" s="5" t="inlineStr">
        <is>
          <t>No</t>
        </is>
      </c>
      <c r="AY128" s="5" t="inlineStr">
        <is>
          <t>Verified directory</t>
        </is>
      </c>
      <c r="AZ128" s="5" t="inlineStr">
        <is>
          <t>Not Found</t>
        </is>
      </c>
      <c r="BA128" s="5" t="inlineStr">
        <is>
          <t>2026-09-16</t>
        </is>
      </c>
      <c r="BB128" s="5" t="inlineStr">
        <is>
          <t>Requires Verification</t>
        </is>
      </c>
      <c r="BC128" s="5" t="inlineStr">
        <is>
          <t>Medium</t>
        </is>
      </c>
      <c r="BD128" s="5" t="inlineStr"/>
      <c r="BE128" s="5" t="inlineStr">
        <is>
          <t>Business (B2B)</t>
        </is>
      </c>
      <c r="BF128" s="5" t="inlineStr">
        <is>
          <t>Legitimate interest (B2B) - assess per campaign; PECR: corporate subscribers</t>
        </is>
      </c>
      <c r="BG128" s="5" t="inlineStr"/>
      <c r="BH128" s="5" t="inlineStr">
        <is>
          <t>No</t>
        </is>
      </c>
      <c r="BI128" s="5" t="inlineStr">
        <is>
          <t>2026-09-16</t>
        </is>
      </c>
      <c r="BJ128" s="5" t="inlineStr">
        <is>
          <t>New</t>
        </is>
      </c>
      <c r="BK128" s="5" t="inlineStr">
        <is>
          <t>2026-09-16</t>
        </is>
      </c>
      <c r="BL128" s="5" t="inlineStr"/>
      <c r="BM128" s="5" t="inlineStr"/>
      <c r="BN128" s="5" t="inlineStr"/>
      <c r="BO128" s="5" t="inlineStr"/>
      <c r="BP128" s="5" t="inlineStr"/>
      <c r="BQ128" s="5" t="inlineStr"/>
    </row>
    <row r="129">
      <c r="A129" s="10" t="inlineStr">
        <is>
          <t>WY-0128</t>
        </is>
      </c>
      <c r="B129" s="10" t="inlineStr">
        <is>
          <t>WY-0128-01</t>
        </is>
      </c>
      <c r="C129" s="10" t="inlineStr"/>
      <c r="D129" s="10" t="inlineStr">
        <is>
          <t>Off Licence and Convenience Store (Cutsyke)</t>
        </is>
      </c>
      <c r="E129" s="10" t="inlineStr">
        <is>
          <t>Off Licence and Convenience Store</t>
        </is>
      </c>
      <c r="F129" s="10" t="inlineStr"/>
      <c r="G129" s="10" t="inlineStr">
        <is>
          <t>Off-Licence</t>
        </is>
      </c>
      <c r="H129" s="10" t="inlineStr">
        <is>
          <t>Off-licence and convenience store</t>
        </is>
      </c>
      <c r="I129" s="10" t="inlineStr">
        <is>
          <t>Independent</t>
        </is>
      </c>
      <c r="J129" s="10" t="inlineStr">
        <is>
          <t>1</t>
        </is>
      </c>
      <c r="K129" s="10" t="inlineStr"/>
      <c r="L129" s="10" t="inlineStr"/>
      <c r="M129" s="10" t="inlineStr"/>
      <c r="N129" s="10" t="inlineStr"/>
      <c r="O129" s="10" t="inlineStr">
        <is>
          <t>2 Leeds Road</t>
        </is>
      </c>
      <c r="P129" s="10" t="inlineStr">
        <is>
          <t>Cutsyke</t>
        </is>
      </c>
      <c r="Q129" s="10" t="inlineStr">
        <is>
          <t>Castleford</t>
        </is>
      </c>
      <c r="R129" s="10" t="inlineStr">
        <is>
          <t>West Yorkshire</t>
        </is>
      </c>
      <c r="S129" s="10" t="inlineStr">
        <is>
          <t>WF10 5HA</t>
        </is>
      </c>
      <c r="T129" s="10" t="inlineStr">
        <is>
          <t>Yorkshire &amp; Humber</t>
        </is>
      </c>
      <c r="U129" s="10" t="inlineStr">
        <is>
          <t>England</t>
        </is>
      </c>
      <c r="V129" s="10" t="inlineStr"/>
      <c r="W129" s="10" t="inlineStr"/>
      <c r="X129" s="10" t="inlineStr"/>
      <c r="Y129" s="10" t="inlineStr"/>
      <c r="Z129" s="10" t="inlineStr"/>
      <c r="AA129" s="10" t="inlineStr"/>
      <c r="AB129" s="10" t="inlineStr"/>
      <c r="AC129" s="10" t="inlineStr"/>
      <c r="AD129" s="10" t="inlineStr"/>
      <c r="AE129" s="10" t="inlineStr"/>
      <c r="AF129" s="10" t="inlineStr"/>
      <c r="AG129" s="10" t="inlineStr"/>
      <c r="AH129" s="10" t="inlineStr"/>
      <c r="AI129" s="10" t="inlineStr"/>
      <c r="AJ129" s="10" t="inlineStr"/>
      <c r="AK129" s="10" t="inlineStr">
        <is>
          <t>alcohol; convenience grocery</t>
        </is>
      </c>
      <c r="AL129" s="10" t="inlineStr"/>
      <c r="AM129" s="10" t="inlineStr">
        <is>
          <t>Off-Licence</t>
        </is>
      </c>
      <c r="AN129" s="10" t="inlineStr"/>
      <c r="AO129" s="10" t="inlineStr">
        <is>
          <t>Registered on the FSA food hygiene register under the generic name 'Off Licence and Convenience Store'; actual fascia/trading name needs on-the-ground or Google Business verification.</t>
        </is>
      </c>
      <c r="AP129" s="10" t="inlineStr">
        <is>
          <t>Low</t>
        </is>
      </c>
      <c r="AQ129" s="10" t="inlineStr">
        <is>
          <t>Independent retailer; Relevant category</t>
        </is>
      </c>
      <c r="AR129" s="10" t="inlineStr">
        <is>
          <t>https://ratings.food.gov.uk/business/1268724/off-licence-and-convenience-store-castleford</t>
        </is>
      </c>
      <c r="AS129" s="10" t="inlineStr"/>
      <c r="AT129" s="10" t="inlineStr">
        <is>
          <t>1</t>
        </is>
      </c>
      <c r="AU129" s="10" t="inlineStr">
        <is>
          <t>No</t>
        </is>
      </c>
      <c r="AV129" s="10" t="inlineStr">
        <is>
          <t>No</t>
        </is>
      </c>
      <c r="AW129" s="10" t="inlineStr">
        <is>
          <t>No</t>
        </is>
      </c>
      <c r="AX129" s="10" t="inlineStr">
        <is>
          <t>No</t>
        </is>
      </c>
      <c r="AY129" s="10" t="inlineStr">
        <is>
          <t>Not Found</t>
        </is>
      </c>
      <c r="AZ129" s="10" t="inlineStr">
        <is>
          <t>Not Found</t>
        </is>
      </c>
      <c r="BA129" s="10" t="inlineStr">
        <is>
          <t>2026-09-16</t>
        </is>
      </c>
      <c r="BB129" s="10" t="inlineStr">
        <is>
          <t>Requires Verification</t>
        </is>
      </c>
      <c r="BC129" s="10" t="inlineStr">
        <is>
          <t>Low</t>
        </is>
      </c>
      <c r="BD129" s="10" t="inlineStr"/>
      <c r="BE129" s="10" t="inlineStr">
        <is>
          <t>Business (B2B)</t>
        </is>
      </c>
      <c r="BF129" s="10" t="inlineStr">
        <is>
          <t>Legitimate interest (B2B) - assess per campaign; PECR: corporate subscribers</t>
        </is>
      </c>
      <c r="BG129" s="10" t="inlineStr"/>
      <c r="BH129" s="10" t="inlineStr">
        <is>
          <t>No</t>
        </is>
      </c>
      <c r="BI129" s="10" t="inlineStr">
        <is>
          <t>2026-09-16</t>
        </is>
      </c>
      <c r="BJ129" s="10" t="inlineStr">
        <is>
          <t>New</t>
        </is>
      </c>
      <c r="BK129" s="10" t="inlineStr">
        <is>
          <t>2026-09-16</t>
        </is>
      </c>
      <c r="BL129" s="10" t="inlineStr"/>
      <c r="BM129" s="10" t="inlineStr"/>
      <c r="BN129" s="10" t="inlineStr"/>
      <c r="BO129" s="10" t="inlineStr"/>
      <c r="BP129" s="10" t="inlineStr"/>
      <c r="BQ129" s="10" t="inlineStr"/>
    </row>
    <row r="130">
      <c r="A130" s="5" t="inlineStr">
        <is>
          <t>WY-0129</t>
        </is>
      </c>
      <c r="B130" s="5" t="inlineStr">
        <is>
          <t>WY-0129-01</t>
        </is>
      </c>
      <c r="C130" s="5" t="inlineStr"/>
      <c r="D130" s="5" t="inlineStr">
        <is>
          <t>Outwood Express</t>
        </is>
      </c>
      <c r="E130" s="5" t="inlineStr">
        <is>
          <t>Outwood Express</t>
        </is>
      </c>
      <c r="F130" s="5" t="inlineStr"/>
      <c r="G130" s="5" t="inlineStr">
        <is>
          <t>Convenience Store</t>
        </is>
      </c>
      <c r="H130" s="5" t="inlineStr">
        <is>
          <t>Convenience store / grocer</t>
        </is>
      </c>
      <c r="I130" s="5" t="inlineStr">
        <is>
          <t>Independent</t>
        </is>
      </c>
      <c r="J130" s="5" t="inlineStr">
        <is>
          <t>1</t>
        </is>
      </c>
      <c r="K130" s="5" t="inlineStr"/>
      <c r="L130" s="5" t="inlineStr"/>
      <c r="M130" s="5" t="inlineStr"/>
      <c r="N130" s="5" t="inlineStr"/>
      <c r="O130" s="5" t="inlineStr"/>
      <c r="P130" s="5" t="inlineStr">
        <is>
          <t>Outwood</t>
        </is>
      </c>
      <c r="Q130" s="5" t="inlineStr">
        <is>
          <t>Wakefield</t>
        </is>
      </c>
      <c r="R130" s="5" t="inlineStr">
        <is>
          <t>West Yorkshire</t>
        </is>
      </c>
      <c r="S130" s="5" t="inlineStr"/>
      <c r="T130" s="5" t="inlineStr">
        <is>
          <t>Yorkshire &amp; Humber</t>
        </is>
      </c>
      <c r="U130" s="5" t="inlineStr">
        <is>
          <t>England</t>
        </is>
      </c>
      <c r="V130" s="5" t="inlineStr"/>
      <c r="W130" s="5" t="inlineStr"/>
      <c r="X130" s="5" t="inlineStr"/>
      <c r="Y130" s="5" t="inlineStr"/>
      <c r="Z130" s="5" t="inlineStr"/>
      <c r="AA130" s="5" t="inlineStr"/>
      <c r="AB130" s="5" t="inlineStr"/>
      <c r="AC130" s="5" t="inlineStr"/>
      <c r="AD130" s="5" t="inlineStr"/>
      <c r="AE130" s="5" t="inlineStr"/>
      <c r="AF130" s="5" t="inlineStr"/>
      <c r="AG130" s="5" t="inlineStr"/>
      <c r="AH130" s="5" t="inlineStr"/>
      <c r="AI130" s="5" t="inlineStr"/>
      <c r="AJ130" s="5" t="inlineStr"/>
      <c r="AK130" s="5" t="inlineStr">
        <is>
          <t>grocery; convenience</t>
        </is>
      </c>
      <c r="AL130" s="5" t="inlineStr"/>
      <c r="AM130" s="5" t="inlineStr">
        <is>
          <t>Convenience Store</t>
        </is>
      </c>
      <c r="AN130" s="5" t="inlineStr"/>
      <c r="AO130" s="5" t="inlineStr">
        <is>
          <t>Listed on Yell under Grocers &amp; Convenience Stores, Wakefield WF1 (Outwood). Full address/phone behind Yell listing which could not be fetched - needs follow-up.</t>
        </is>
      </c>
      <c r="AP130" s="5" t="inlineStr">
        <is>
          <t>Low</t>
        </is>
      </c>
      <c r="AQ130" s="5" t="inlineStr">
        <is>
          <t>Independent retailer; Relevant category</t>
        </is>
      </c>
      <c r="AR130" s="5" t="inlineStr">
        <is>
          <t>https://www.yell.com/biz/outwood-express-wakefield-10165328/</t>
        </is>
      </c>
      <c r="AS130" s="5" t="inlineStr"/>
      <c r="AT130" s="5" t="inlineStr">
        <is>
          <t>1</t>
        </is>
      </c>
      <c r="AU130" s="5" t="inlineStr">
        <is>
          <t>No</t>
        </is>
      </c>
      <c r="AV130" s="5" t="inlineStr">
        <is>
          <t>No</t>
        </is>
      </c>
      <c r="AW130" s="5" t="inlineStr">
        <is>
          <t>No</t>
        </is>
      </c>
      <c r="AX130" s="5" t="inlineStr">
        <is>
          <t>No</t>
        </is>
      </c>
      <c r="AY130" s="5" t="inlineStr">
        <is>
          <t>Not Found</t>
        </is>
      </c>
      <c r="AZ130" s="5" t="inlineStr">
        <is>
          <t>Not Found</t>
        </is>
      </c>
      <c r="BA130" s="5" t="inlineStr">
        <is>
          <t>2026-09-16</t>
        </is>
      </c>
      <c r="BB130" s="5" t="inlineStr">
        <is>
          <t>Requires Verification</t>
        </is>
      </c>
      <c r="BC130" s="5" t="inlineStr">
        <is>
          <t>Low</t>
        </is>
      </c>
      <c r="BD130" s="5" t="inlineStr"/>
      <c r="BE130" s="5" t="inlineStr">
        <is>
          <t>Business (B2B)</t>
        </is>
      </c>
      <c r="BF130" s="5" t="inlineStr">
        <is>
          <t>Legitimate interest (B2B) - assess per campaign; PECR: corporate subscribers</t>
        </is>
      </c>
      <c r="BG130" s="5" t="inlineStr"/>
      <c r="BH130" s="5" t="inlineStr">
        <is>
          <t>No</t>
        </is>
      </c>
      <c r="BI130" s="5" t="inlineStr">
        <is>
          <t>2026-09-16</t>
        </is>
      </c>
      <c r="BJ130" s="5" t="inlineStr">
        <is>
          <t>New</t>
        </is>
      </c>
      <c r="BK130" s="5" t="inlineStr">
        <is>
          <t>2026-09-16</t>
        </is>
      </c>
      <c r="BL130" s="5" t="inlineStr"/>
      <c r="BM130" s="5" t="inlineStr"/>
      <c r="BN130" s="5" t="inlineStr"/>
      <c r="BO130" s="5" t="inlineStr"/>
      <c r="BP130" s="5" t="inlineStr"/>
      <c r="BQ130" s="5" t="inlineStr"/>
    </row>
    <row r="131">
      <c r="A131" s="10" t="inlineStr">
        <is>
          <t>WY-0130</t>
        </is>
      </c>
      <c r="B131" s="10" t="inlineStr">
        <is>
          <t>WY-0130-01</t>
        </is>
      </c>
      <c r="C131" s="10" t="inlineStr"/>
      <c r="D131" s="10" t="inlineStr">
        <is>
          <t>Pakeezah Superstore</t>
        </is>
      </c>
      <c r="E131" s="10" t="inlineStr">
        <is>
          <t>Pakeezah</t>
        </is>
      </c>
      <c r="F131" s="10" t="inlineStr"/>
      <c r="G131" s="10" t="inlineStr">
        <is>
          <t>Independent Supermarket</t>
        </is>
      </c>
      <c r="H131" s="10" t="inlineStr">
        <is>
          <t>Asian / halal superstore with curry counter</t>
        </is>
      </c>
      <c r="I131" s="10" t="inlineStr">
        <is>
          <t>Independent</t>
        </is>
      </c>
      <c r="J131" s="10" t="inlineStr">
        <is>
          <t>1</t>
        </is>
      </c>
      <c r="K131" s="10" t="inlineStr">
        <is>
          <t>https://www.pakeezah.com/</t>
        </is>
      </c>
      <c r="L131" s="10" t="inlineStr">
        <is>
          <t>https://www.facebook.com/PakeezahGourmet/</t>
        </is>
      </c>
      <c r="M131" s="10" t="inlineStr"/>
      <c r="N131" s="10" t="inlineStr"/>
      <c r="O131" s="10" t="inlineStr">
        <is>
          <t>91 Edderthorpe Street</t>
        </is>
      </c>
      <c r="P131" s="10" t="inlineStr"/>
      <c r="Q131" s="10" t="inlineStr">
        <is>
          <t>Bradford</t>
        </is>
      </c>
      <c r="R131" s="10" t="inlineStr">
        <is>
          <t>West Yorkshire</t>
        </is>
      </c>
      <c r="S131" s="10" t="inlineStr">
        <is>
          <t>BD3 9UD</t>
        </is>
      </c>
      <c r="T131" s="10" t="inlineStr">
        <is>
          <t>Yorkshire &amp; Humber</t>
        </is>
      </c>
      <c r="U131" s="10" t="inlineStr">
        <is>
          <t>England</t>
        </is>
      </c>
      <c r="V131" s="10" t="inlineStr">
        <is>
          <t>01274 739500</t>
        </is>
      </c>
      <c r="W131" s="10" t="inlineStr"/>
      <c r="X131" s="10" t="inlineStr"/>
      <c r="Y131" s="10" t="inlineStr">
        <is>
          <t>info@pakeezah.com</t>
        </is>
      </c>
      <c r="Z131" s="10" t="inlineStr"/>
      <c r="AA131" s="10" t="inlineStr"/>
      <c r="AB131" s="10" t="inlineStr"/>
      <c r="AC131" s="10" t="inlineStr"/>
      <c r="AD131" s="10" t="inlineStr"/>
      <c r="AE131" s="10" t="inlineStr"/>
      <c r="AF131" s="10" t="inlineStr"/>
      <c r="AG131" s="10" t="inlineStr"/>
      <c r="AH131" s="10" t="inlineStr"/>
      <c r="AI131" s="10" t="inlineStr"/>
      <c r="AJ131" s="10" t="inlineStr"/>
      <c r="AK131" s="10" t="inlineStr">
        <is>
          <t>halal meat; Asian groceries; fresh produce; prepared foods</t>
        </is>
      </c>
      <c r="AL131" s="10" t="inlineStr"/>
      <c r="AM131" s="10" t="inlineStr">
        <is>
          <t>Independent Supermarket</t>
        </is>
      </c>
      <c r="AN131" s="10" t="inlineStr"/>
      <c r="AO131" s="10" t="inlineStr">
        <is>
          <t>Well-known Bradford Asian superstore, open daily 9am-9pm. Address and phone consistent across Thomson Local, Yelp and Hotfrog.</t>
        </is>
      </c>
      <c r="AP131" s="10" t="inlineStr">
        <is>
          <t>Medium</t>
        </is>
      </c>
      <c r="AQ131" s="10" t="inlineStr">
        <is>
          <t>Independent retailer; Relevant category; Public email available; Active website; Social presence</t>
        </is>
      </c>
      <c r="AR131" s="10" t="inlineStr">
        <is>
          <t>https://www.thomsonlocal.com/search/supermarkets/bradford-keighley-skipton/pakeezah/1241547/01274739500</t>
        </is>
      </c>
      <c r="AS131" s="10" t="inlineStr">
        <is>
          <t>https://www.yelp.com/biz/pakeezah-superstore-bradford</t>
        </is>
      </c>
      <c r="AT131" s="10" t="inlineStr">
        <is>
          <t>3</t>
        </is>
      </c>
      <c r="AU131" s="10" t="inlineStr">
        <is>
          <t>No</t>
        </is>
      </c>
      <c r="AV131" s="10" t="inlineStr">
        <is>
          <t>No</t>
        </is>
      </c>
      <c r="AW131" s="10" t="inlineStr">
        <is>
          <t>Yes</t>
        </is>
      </c>
      <c r="AX131" s="10" t="inlineStr">
        <is>
          <t>No</t>
        </is>
      </c>
      <c r="AY131" s="10" t="inlineStr">
        <is>
          <t>Verified directory</t>
        </is>
      </c>
      <c r="AZ131" s="10" t="inlineStr">
        <is>
          <t>Website Found</t>
        </is>
      </c>
      <c r="BA131" s="10" t="inlineStr">
        <is>
          <t>2026-09-16</t>
        </is>
      </c>
      <c r="BB131" s="10" t="inlineStr">
        <is>
          <t>Partially Verified</t>
        </is>
      </c>
      <c r="BC131" s="10" t="inlineStr">
        <is>
          <t>Medium</t>
        </is>
      </c>
      <c r="BD131" s="10" t="inlineStr"/>
      <c r="BE131" s="10" t="inlineStr">
        <is>
          <t>Business (B2B)</t>
        </is>
      </c>
      <c r="BF131" s="10" t="inlineStr">
        <is>
          <t>Legitimate interest (B2B) - assess per campaign; PECR: corporate subscribers</t>
        </is>
      </c>
      <c r="BG131" s="10" t="inlineStr"/>
      <c r="BH131" s="10" t="inlineStr">
        <is>
          <t>No</t>
        </is>
      </c>
      <c r="BI131" s="10" t="inlineStr">
        <is>
          <t>2026-09-16</t>
        </is>
      </c>
      <c r="BJ131" s="10" t="inlineStr">
        <is>
          <t>New</t>
        </is>
      </c>
      <c r="BK131" s="10" t="inlineStr">
        <is>
          <t>2026-09-16</t>
        </is>
      </c>
      <c r="BL131" s="10" t="inlineStr"/>
      <c r="BM131" s="10" t="inlineStr"/>
      <c r="BN131" s="10" t="inlineStr"/>
      <c r="BO131" s="10" t="inlineStr"/>
      <c r="BP131" s="10" t="inlineStr"/>
      <c r="BQ131" s="10" t="inlineStr"/>
    </row>
    <row r="132">
      <c r="A132" s="5" t="inlineStr">
        <is>
          <t>WY-0131</t>
        </is>
      </c>
      <c r="B132" s="5" t="inlineStr">
        <is>
          <t>WY-0131-01</t>
        </is>
      </c>
      <c r="C132" s="5" t="inlineStr"/>
      <c r="D132" s="5" t="inlineStr">
        <is>
          <t>Phantom Vape Store</t>
        </is>
      </c>
      <c r="E132" s="5" t="inlineStr">
        <is>
          <t>Phantom Vapes</t>
        </is>
      </c>
      <c r="F132" s="5" t="inlineStr"/>
      <c r="G132" s="5" t="inlineStr">
        <is>
          <t>Vape Shop</t>
        </is>
      </c>
      <c r="H132" s="5" t="inlineStr">
        <is>
          <t>Pods, kits, e-liquids and accessories</t>
        </is>
      </c>
      <c r="I132" s="5" t="inlineStr">
        <is>
          <t>Independent</t>
        </is>
      </c>
      <c r="J132" s="5" t="inlineStr">
        <is>
          <t>1</t>
        </is>
      </c>
      <c r="K132" s="5" t="inlineStr">
        <is>
          <t>https://www.phantomvapes.co.uk/</t>
        </is>
      </c>
      <c r="L132" s="5" t="inlineStr">
        <is>
          <t>https://www.facebook.com/61578393599194/</t>
        </is>
      </c>
      <c r="M132" s="5" t="inlineStr"/>
      <c r="N132" s="5" t="inlineStr"/>
      <c r="O132" s="5" t="inlineStr">
        <is>
          <t>17 Slaithwaite Road</t>
        </is>
      </c>
      <c r="P132" s="5" t="inlineStr">
        <is>
          <t>Thornhill Lees</t>
        </is>
      </c>
      <c r="Q132" s="5" t="inlineStr">
        <is>
          <t>Dewsbury</t>
        </is>
      </c>
      <c r="R132" s="5" t="inlineStr">
        <is>
          <t>West Yorkshire</t>
        </is>
      </c>
      <c r="S132" s="5" t="inlineStr">
        <is>
          <t>WF12 9DJ</t>
        </is>
      </c>
      <c r="T132" s="5" t="inlineStr">
        <is>
          <t>Yorkshire &amp; Humber</t>
        </is>
      </c>
      <c r="U132" s="5" t="inlineStr">
        <is>
          <t>England</t>
        </is>
      </c>
      <c r="V132" s="5" t="inlineStr"/>
      <c r="W132" s="5" t="inlineStr"/>
      <c r="X132" s="5" t="inlineStr"/>
      <c r="Y132" s="5" t="inlineStr"/>
      <c r="Z132" s="5" t="inlineStr"/>
      <c r="AA132" s="5" t="inlineStr"/>
      <c r="AB132" s="5" t="inlineStr"/>
      <c r="AC132" s="5" t="inlineStr"/>
      <c r="AD132" s="5" t="inlineStr"/>
      <c r="AE132" s="5" t="inlineStr"/>
      <c r="AF132" s="5" t="inlineStr"/>
      <c r="AG132" s="5" t="inlineStr"/>
      <c r="AH132" s="5" t="inlineStr"/>
      <c r="AI132" s="5" t="inlineStr"/>
      <c r="AJ132" s="5" t="inlineStr"/>
      <c r="AK132" s="5" t="inlineStr">
        <is>
          <t>vape hardware; pod systems; e-liquids; accessories</t>
        </is>
      </c>
      <c r="AL132" s="5" t="inlineStr"/>
      <c r="AM132" s="5" t="inlineStr">
        <is>
          <t>Vape Shop</t>
        </is>
      </c>
      <c r="AN132" s="5" t="inlineStr"/>
      <c r="AO132" s="5" t="inlineStr">
        <is>
          <t>Address published on the business's own website (seen in search results); site fetch blocked by proxy so phone/email not captured.</t>
        </is>
      </c>
      <c r="AP132" s="5" t="inlineStr">
        <is>
          <t>Medium</t>
        </is>
      </c>
      <c r="AQ132" s="5" t="inlineStr">
        <is>
          <t>Independent retailer; Core relevant category; Active website; Social presence</t>
        </is>
      </c>
      <c r="AR132" s="5" t="inlineStr">
        <is>
          <t>https://www.phantomvapes.co.uk/vape-shop-dewsbury</t>
        </is>
      </c>
      <c r="AS132" s="5" t="inlineStr">
        <is>
          <t>https://www.facebook.com/61578393599194/</t>
        </is>
      </c>
      <c r="AT132" s="5" t="inlineStr">
        <is>
          <t>2</t>
        </is>
      </c>
      <c r="AU132" s="5" t="inlineStr">
        <is>
          <t>No</t>
        </is>
      </c>
      <c r="AV132" s="5" t="inlineStr">
        <is>
          <t>No</t>
        </is>
      </c>
      <c r="AW132" s="5" t="inlineStr">
        <is>
          <t>No</t>
        </is>
      </c>
      <c r="AX132" s="5" t="inlineStr">
        <is>
          <t>No</t>
        </is>
      </c>
      <c r="AY132" s="5" t="inlineStr">
        <is>
          <t>Not Found</t>
        </is>
      </c>
      <c r="AZ132" s="5" t="inlineStr">
        <is>
          <t>Website Found</t>
        </is>
      </c>
      <c r="BA132" s="5" t="inlineStr">
        <is>
          <t>2026-09-16</t>
        </is>
      </c>
      <c r="BB132" s="5" t="inlineStr">
        <is>
          <t>Requires Verification</t>
        </is>
      </c>
      <c r="BC132" s="5" t="inlineStr">
        <is>
          <t>Medium</t>
        </is>
      </c>
      <c r="BD132" s="5" t="inlineStr"/>
      <c r="BE132" s="5" t="inlineStr">
        <is>
          <t>Business (B2B)</t>
        </is>
      </c>
      <c r="BF132" s="5" t="inlineStr">
        <is>
          <t>Legitimate interest (B2B) - assess per campaign; PECR: corporate subscribers</t>
        </is>
      </c>
      <c r="BG132" s="5" t="inlineStr"/>
      <c r="BH132" s="5" t="inlineStr">
        <is>
          <t>No</t>
        </is>
      </c>
      <c r="BI132" s="5" t="inlineStr">
        <is>
          <t>2026-09-16</t>
        </is>
      </c>
      <c r="BJ132" s="5" t="inlineStr">
        <is>
          <t>New</t>
        </is>
      </c>
      <c r="BK132" s="5" t="inlineStr">
        <is>
          <t>2026-09-16</t>
        </is>
      </c>
      <c r="BL132" s="5" t="inlineStr"/>
      <c r="BM132" s="5" t="inlineStr"/>
      <c r="BN132" s="5" t="inlineStr"/>
      <c r="BO132" s="5" t="inlineStr"/>
      <c r="BP132" s="5" t="inlineStr"/>
      <c r="BQ132" s="5" t="inlineStr"/>
    </row>
    <row r="133">
      <c r="A133" s="10" t="inlineStr">
        <is>
          <t>WY-0132</t>
        </is>
      </c>
      <c r="B133" s="10" t="inlineStr">
        <is>
          <t>WY-0132-01</t>
        </is>
      </c>
      <c r="C133" s="10" t="inlineStr"/>
      <c r="D133" s="10" t="inlineStr">
        <is>
          <t>Phoenix Filling Station</t>
        </is>
      </c>
      <c r="E133" s="10" t="inlineStr">
        <is>
          <t>Phoenix Filling Station (BP)</t>
        </is>
      </c>
      <c r="F133" s="10" t="inlineStr">
        <is>
          <t>Phoenix Filling Station Ltd</t>
        </is>
      </c>
      <c r="G133" s="10" t="inlineStr">
        <is>
          <t>Petrol Station / Forecourt</t>
        </is>
      </c>
      <c r="H133" s="10" t="inlineStr">
        <is>
          <t>Independent BP-branded 24-hour forecourt with shop</t>
        </is>
      </c>
      <c r="I133" s="10" t="inlineStr">
        <is>
          <t>Independent</t>
        </is>
      </c>
      <c r="J133" s="10" t="inlineStr">
        <is>
          <t>1</t>
        </is>
      </c>
      <c r="K133" s="10" t="inlineStr"/>
      <c r="L133" s="10" t="inlineStr">
        <is>
          <t>https://www.facebook.com/phoenixFST/</t>
        </is>
      </c>
      <c r="M133" s="10" t="inlineStr"/>
      <c r="N133" s="10" t="inlineStr"/>
      <c r="O133" s="10" t="inlineStr">
        <is>
          <t>93 Listerhills Road</t>
        </is>
      </c>
      <c r="P133" s="10" t="inlineStr"/>
      <c r="Q133" s="10" t="inlineStr">
        <is>
          <t>Bradford</t>
        </is>
      </c>
      <c r="R133" s="10" t="inlineStr">
        <is>
          <t>West Yorkshire</t>
        </is>
      </c>
      <c r="S133" s="10" t="inlineStr">
        <is>
          <t>BD7 1JT</t>
        </is>
      </c>
      <c r="T133" s="10" t="inlineStr">
        <is>
          <t>Yorkshire &amp; Humber</t>
        </is>
      </c>
      <c r="U133" s="10" t="inlineStr">
        <is>
          <t>England</t>
        </is>
      </c>
      <c r="V133" s="10" t="inlineStr">
        <is>
          <t>01274 721896</t>
        </is>
      </c>
      <c r="W133" s="10" t="inlineStr"/>
      <c r="X133" s="10" t="inlineStr"/>
      <c r="Y133" s="10" t="inlineStr"/>
      <c r="Z133" s="10" t="inlineStr"/>
      <c r="AA133" s="10" t="inlineStr"/>
      <c r="AB133" s="10" t="inlineStr"/>
      <c r="AC133" s="10" t="inlineStr"/>
      <c r="AD133" s="10" t="inlineStr"/>
      <c r="AE133" s="10" t="inlineStr">
        <is>
          <t>11511613</t>
        </is>
      </c>
      <c r="AF133" s="10" t="inlineStr"/>
      <c r="AG133" s="10" t="inlineStr">
        <is>
          <t>PHOENIX FILLING STATION LTD</t>
        </is>
      </c>
      <c r="AH133" s="10" t="inlineStr"/>
      <c r="AI133" s="10" t="inlineStr"/>
      <c r="AJ133" s="10" t="inlineStr"/>
      <c r="AK133" s="10" t="inlineStr">
        <is>
          <t>fuel; convenience shop lines</t>
        </is>
      </c>
      <c r="AL133" s="10" t="inlineStr"/>
      <c r="AM133" s="10" t="inlineStr">
        <is>
          <t>Petrol Station / Forecourt</t>
        </is>
      </c>
      <c r="AN133" s="10" t="inlineStr"/>
      <c r="AO133" s="10" t="inlineStr">
        <is>
          <t>Independently owned limited company operating a BP-branded 24/7 forecourt with well-stocked shop near the university quarter.</t>
        </is>
      </c>
      <c r="AP133" s="10" t="inlineStr">
        <is>
          <t>Medium</t>
        </is>
      </c>
      <c r="AQ133" s="10" t="inlineStr">
        <is>
          <t>Independent retailer; Relevant category; Social presence</t>
        </is>
      </c>
      <c r="AR133" s="10" t="inlineStr">
        <is>
          <t>https://find-and-update.company-information.service.gov.uk/company/11511613</t>
        </is>
      </c>
      <c r="AS133" s="10" t="inlineStr">
        <is>
          <t>https://www.mylocalservices.co.uk/Phoenix+Filling+Station-Bradford-2646217.html</t>
        </is>
      </c>
      <c r="AT133" s="10" t="inlineStr">
        <is>
          <t>3</t>
        </is>
      </c>
      <c r="AU133" s="10" t="inlineStr">
        <is>
          <t>No</t>
        </is>
      </c>
      <c r="AV133" s="10" t="inlineStr">
        <is>
          <t>No</t>
        </is>
      </c>
      <c r="AW133" s="10" t="inlineStr">
        <is>
          <t>No</t>
        </is>
      </c>
      <c r="AX133" s="10" t="inlineStr">
        <is>
          <t>Yes</t>
        </is>
      </c>
      <c r="AY133" s="10" t="inlineStr">
        <is>
          <t>Verified directory</t>
        </is>
      </c>
      <c r="AZ133" s="10" t="inlineStr">
        <is>
          <t>Not Found</t>
        </is>
      </c>
      <c r="BA133" s="10" t="inlineStr">
        <is>
          <t>2026-09-16</t>
        </is>
      </c>
      <c r="BB133" s="10" t="inlineStr">
        <is>
          <t>Partially Verified</t>
        </is>
      </c>
      <c r="BC133" s="10" t="inlineStr">
        <is>
          <t>Medium</t>
        </is>
      </c>
      <c r="BD133" s="10" t="inlineStr"/>
      <c r="BE133" s="10" t="inlineStr">
        <is>
          <t>Business (B2B)</t>
        </is>
      </c>
      <c r="BF133" s="10" t="inlineStr">
        <is>
          <t>Legitimate interest (B2B) - assess per campaign; PECR: corporate subscribers</t>
        </is>
      </c>
      <c r="BG133" s="10" t="inlineStr"/>
      <c r="BH133" s="10" t="inlineStr">
        <is>
          <t>No</t>
        </is>
      </c>
      <c r="BI133" s="10" t="inlineStr">
        <is>
          <t>2026-09-16</t>
        </is>
      </c>
      <c r="BJ133" s="10" t="inlineStr">
        <is>
          <t>New</t>
        </is>
      </c>
      <c r="BK133" s="10" t="inlineStr">
        <is>
          <t>2026-09-16</t>
        </is>
      </c>
      <c r="BL133" s="10" t="inlineStr"/>
      <c r="BM133" s="10" t="inlineStr"/>
      <c r="BN133" s="10" t="inlineStr"/>
      <c r="BO133" s="10" t="inlineStr"/>
      <c r="BP133" s="10" t="inlineStr"/>
      <c r="BQ133" s="10" t="inlineStr"/>
    </row>
    <row r="134">
      <c r="A134" s="5" t="inlineStr">
        <is>
          <t>WY-0133</t>
        </is>
      </c>
      <c r="B134" s="5" t="inlineStr">
        <is>
          <t>WY-0133-01</t>
        </is>
      </c>
      <c r="C134" s="5" t="inlineStr"/>
      <c r="D134" s="5" t="inlineStr">
        <is>
          <t>Premier (Bingley Convenience Store)</t>
        </is>
      </c>
      <c r="E134" s="5" t="inlineStr">
        <is>
          <t>Premier Bingley Convenience Store</t>
        </is>
      </c>
      <c r="F134" s="5" t="inlineStr"/>
      <c r="G134" s="5" t="inlineStr">
        <is>
          <t>Convenience Store</t>
        </is>
      </c>
      <c r="H134" s="5" t="inlineStr">
        <is>
          <t>Symbol-group convenience store</t>
        </is>
      </c>
      <c r="I134" s="5" t="inlineStr">
        <is>
          <t>Franchise / Symbol Group</t>
        </is>
      </c>
      <c r="J134" s="5" t="inlineStr">
        <is>
          <t>1</t>
        </is>
      </c>
      <c r="K134" s="5" t="inlineStr"/>
      <c r="L134" s="5" t="inlineStr"/>
      <c r="M134" s="5" t="inlineStr"/>
      <c r="N134" s="5" t="inlineStr"/>
      <c r="O134" s="5" t="inlineStr"/>
      <c r="P134" s="5" t="inlineStr"/>
      <c r="Q134" s="5" t="inlineStr">
        <is>
          <t>Bingley</t>
        </is>
      </c>
      <c r="R134" s="5" t="inlineStr">
        <is>
          <t>West Yorkshire</t>
        </is>
      </c>
      <c r="S134" s="5" t="inlineStr"/>
      <c r="T134" s="5" t="inlineStr">
        <is>
          <t>Yorkshire &amp; Humber</t>
        </is>
      </c>
      <c r="U134" s="5" t="inlineStr">
        <is>
          <t>England</t>
        </is>
      </c>
      <c r="V134" s="5" t="inlineStr"/>
      <c r="W134" s="5" t="inlineStr"/>
      <c r="X134" s="5" t="inlineStr"/>
      <c r="Y134" s="5" t="inlineStr"/>
      <c r="Z134" s="5" t="inlineStr"/>
      <c r="AA134" s="5" t="inlineStr"/>
      <c r="AB134" s="5" t="inlineStr"/>
      <c r="AC134" s="5" t="inlineStr"/>
      <c r="AD134" s="5" t="inlineStr"/>
      <c r="AE134" s="5" t="inlineStr"/>
      <c r="AF134" s="5" t="inlineStr"/>
      <c r="AG134" s="5" t="inlineStr"/>
      <c r="AH134" s="5" t="inlineStr"/>
      <c r="AI134" s="5" t="inlineStr"/>
      <c r="AJ134" s="5" t="inlineStr"/>
      <c r="AK134" s="5" t="inlineStr">
        <is>
          <t>convenience lines; groceries; alcohol</t>
        </is>
      </c>
      <c r="AL134" s="5" t="inlineStr"/>
      <c r="AM134" s="5" t="inlineStr">
        <is>
          <t>Convenience Store</t>
        </is>
      </c>
      <c r="AN134" s="5" t="inlineStr"/>
      <c r="AO134" s="5" t="inlineStr">
        <is>
          <t>Independently owned Premier (Booker) symbol store in Bingley. Street address not captured - needs enrichment.</t>
        </is>
      </c>
      <c r="AP134" s="5" t="inlineStr">
        <is>
          <t>Low</t>
        </is>
      </c>
      <c r="AQ134" s="5" t="inlineStr">
        <is>
          <t>Independent retailer; Relevant category</t>
        </is>
      </c>
      <c r="AR134" s="5" t="inlineStr">
        <is>
          <t>https://www.yorkshire.com/bingley/shopping/corner-shops/premier-bingley-convenience-store</t>
        </is>
      </c>
      <c r="AS134" s="5" t="inlineStr"/>
      <c r="AT134" s="5" t="inlineStr">
        <is>
          <t>1</t>
        </is>
      </c>
      <c r="AU134" s="5" t="inlineStr">
        <is>
          <t>No</t>
        </is>
      </c>
      <c r="AV134" s="5" t="inlineStr">
        <is>
          <t>No</t>
        </is>
      </c>
      <c r="AW134" s="5" t="inlineStr">
        <is>
          <t>No</t>
        </is>
      </c>
      <c r="AX134" s="5" t="inlineStr">
        <is>
          <t>No</t>
        </is>
      </c>
      <c r="AY134" s="5" t="inlineStr">
        <is>
          <t>Not Found</t>
        </is>
      </c>
      <c r="AZ134" s="5" t="inlineStr">
        <is>
          <t>Not Found</t>
        </is>
      </c>
      <c r="BA134" s="5" t="inlineStr">
        <is>
          <t>2026-09-16</t>
        </is>
      </c>
      <c r="BB134" s="5" t="inlineStr">
        <is>
          <t>Requires Verification</t>
        </is>
      </c>
      <c r="BC134" s="5" t="inlineStr">
        <is>
          <t>Low</t>
        </is>
      </c>
      <c r="BD134" s="5" t="inlineStr"/>
      <c r="BE134" s="5" t="inlineStr">
        <is>
          <t>Business (B2B)</t>
        </is>
      </c>
      <c r="BF134" s="5" t="inlineStr">
        <is>
          <t>Legitimate interest (B2B) - assess per campaign; PECR: corporate subscribers</t>
        </is>
      </c>
      <c r="BG134" s="5" t="inlineStr"/>
      <c r="BH134" s="5" t="inlineStr">
        <is>
          <t>No</t>
        </is>
      </c>
      <c r="BI134" s="5" t="inlineStr">
        <is>
          <t>2026-09-16</t>
        </is>
      </c>
      <c r="BJ134" s="5" t="inlineStr">
        <is>
          <t>New</t>
        </is>
      </c>
      <c r="BK134" s="5" t="inlineStr">
        <is>
          <t>2026-09-16</t>
        </is>
      </c>
      <c r="BL134" s="5" t="inlineStr"/>
      <c r="BM134" s="5" t="inlineStr"/>
      <c r="BN134" s="5" t="inlineStr"/>
      <c r="BO134" s="5" t="inlineStr"/>
      <c r="BP134" s="5" t="inlineStr"/>
      <c r="BQ134" s="5" t="inlineStr"/>
    </row>
    <row r="135">
      <c r="A135" s="10" t="inlineStr">
        <is>
          <t>WY-0134</t>
        </is>
      </c>
      <c r="B135" s="10" t="inlineStr">
        <is>
          <t>WY-0134-01</t>
        </is>
      </c>
      <c r="C135" s="10" t="inlineStr"/>
      <c r="D135" s="10" t="inlineStr">
        <is>
          <t>Premier Hemsworth</t>
        </is>
      </c>
      <c r="E135" s="10" t="inlineStr">
        <is>
          <t>Premier</t>
        </is>
      </c>
      <c r="F135" s="10" t="inlineStr"/>
      <c r="G135" s="10" t="inlineStr">
        <is>
          <t>Convenience Store</t>
        </is>
      </c>
      <c r="H135" s="10" t="inlineStr">
        <is>
          <t>Symbol group convenience store</t>
        </is>
      </c>
      <c r="I135" s="10" t="inlineStr">
        <is>
          <t>Franchise / Symbol Group</t>
        </is>
      </c>
      <c r="J135" s="10" t="inlineStr">
        <is>
          <t>1</t>
        </is>
      </c>
      <c r="K135" s="10" t="inlineStr"/>
      <c r="L135" s="10" t="inlineStr"/>
      <c r="M135" s="10" t="inlineStr"/>
      <c r="N135" s="10" t="inlineStr"/>
      <c r="O135" s="10" t="inlineStr">
        <is>
          <t>51-55 Barnsley Road</t>
        </is>
      </c>
      <c r="P135" s="10" t="inlineStr"/>
      <c r="Q135" s="10" t="inlineStr">
        <is>
          <t>Hemsworth</t>
        </is>
      </c>
      <c r="R135" s="10" t="inlineStr">
        <is>
          <t>West Yorkshire</t>
        </is>
      </c>
      <c r="S135" s="10" t="inlineStr">
        <is>
          <t>WF9 4QZ</t>
        </is>
      </c>
      <c r="T135" s="10" t="inlineStr">
        <is>
          <t>Yorkshire &amp; Humber</t>
        </is>
      </c>
      <c r="U135" s="10" t="inlineStr">
        <is>
          <t>England</t>
        </is>
      </c>
      <c r="V135" s="10" t="inlineStr"/>
      <c r="W135" s="10" t="inlineStr"/>
      <c r="X135" s="10" t="inlineStr"/>
      <c r="Y135" s="10" t="inlineStr"/>
      <c r="Z135" s="10" t="inlineStr"/>
      <c r="AA135" s="10" t="inlineStr"/>
      <c r="AB135" s="10" t="inlineStr"/>
      <c r="AC135" s="10" t="inlineStr"/>
      <c r="AD135" s="10" t="inlineStr"/>
      <c r="AE135" s="10" t="inlineStr"/>
      <c r="AF135" s="10" t="inlineStr"/>
      <c r="AG135" s="10" t="inlineStr"/>
      <c r="AH135" s="10" t="inlineStr"/>
      <c r="AI135" s="10" t="inlineStr"/>
      <c r="AJ135" s="10" t="inlineStr"/>
      <c r="AK135" s="10" t="inlineStr">
        <is>
          <t>grocery; alcohol; tobacco; convenience</t>
        </is>
      </c>
      <c r="AL135" s="10" t="inlineStr"/>
      <c r="AM135" s="10" t="inlineStr">
        <is>
          <t>Convenience Store</t>
        </is>
      </c>
      <c r="AN135" s="10" t="inlineStr">
        <is>
          <t>Premier symbol group (Booker supply)</t>
        </is>
      </c>
      <c r="AO135" s="10" t="inlineStr">
        <is>
          <t>Independently owned Premier (Booker) symbol store.</t>
        </is>
      </c>
      <c r="AP135" s="10" t="inlineStr">
        <is>
          <t>Low</t>
        </is>
      </c>
      <c r="AQ135" s="10" t="inlineStr">
        <is>
          <t>Independent retailer; Relevant category</t>
        </is>
      </c>
      <c r="AR135" s="10" t="inlineStr">
        <is>
          <t>https://hemsworth.ukintouch.com/convenience-store/premier-hemsworth/</t>
        </is>
      </c>
      <c r="AS135" s="10" t="inlineStr"/>
      <c r="AT135" s="10" t="inlineStr">
        <is>
          <t>1</t>
        </is>
      </c>
      <c r="AU135" s="10" t="inlineStr">
        <is>
          <t>No</t>
        </is>
      </c>
      <c r="AV135" s="10" t="inlineStr">
        <is>
          <t>No</t>
        </is>
      </c>
      <c r="AW135" s="10" t="inlineStr">
        <is>
          <t>No</t>
        </is>
      </c>
      <c r="AX135" s="10" t="inlineStr">
        <is>
          <t>No</t>
        </is>
      </c>
      <c r="AY135" s="10" t="inlineStr">
        <is>
          <t>Not Found</t>
        </is>
      </c>
      <c r="AZ135" s="10" t="inlineStr">
        <is>
          <t>Not Found</t>
        </is>
      </c>
      <c r="BA135" s="10" t="inlineStr">
        <is>
          <t>2026-09-16</t>
        </is>
      </c>
      <c r="BB135" s="10" t="inlineStr">
        <is>
          <t>Requires Verification</t>
        </is>
      </c>
      <c r="BC135" s="10" t="inlineStr">
        <is>
          <t>Medium</t>
        </is>
      </c>
      <c r="BD135" s="10" t="inlineStr"/>
      <c r="BE135" s="10" t="inlineStr">
        <is>
          <t>Business (B2B)</t>
        </is>
      </c>
      <c r="BF135" s="10" t="inlineStr">
        <is>
          <t>Legitimate interest (B2B) - assess per campaign; PECR: corporate subscribers</t>
        </is>
      </c>
      <c r="BG135" s="10" t="inlineStr"/>
      <c r="BH135" s="10" t="inlineStr">
        <is>
          <t>No</t>
        </is>
      </c>
      <c r="BI135" s="10" t="inlineStr">
        <is>
          <t>2026-09-16</t>
        </is>
      </c>
      <c r="BJ135" s="10" t="inlineStr">
        <is>
          <t>New</t>
        </is>
      </c>
      <c r="BK135" s="10" t="inlineStr">
        <is>
          <t>2026-09-16</t>
        </is>
      </c>
      <c r="BL135" s="10" t="inlineStr"/>
      <c r="BM135" s="10" t="inlineStr"/>
      <c r="BN135" s="10" t="inlineStr"/>
      <c r="BO135" s="10" t="inlineStr"/>
      <c r="BP135" s="10" t="inlineStr"/>
      <c r="BQ135" s="10" t="inlineStr"/>
    </row>
    <row r="136">
      <c r="A136" s="5" t="inlineStr">
        <is>
          <t>WY-0135</t>
        </is>
      </c>
      <c r="B136" s="5" t="inlineStr">
        <is>
          <t>WY-0135-01</t>
        </is>
      </c>
      <c r="C136" s="5" t="inlineStr"/>
      <c r="D136" s="5" t="inlineStr">
        <is>
          <t>Premier Wholesale Cash &amp; Carry</t>
        </is>
      </c>
      <c r="E136" s="5" t="inlineStr">
        <is>
          <t>Premier Wholesale Cash &amp; Carry</t>
        </is>
      </c>
      <c r="F136" s="5" t="inlineStr"/>
      <c r="G136" s="5" t="inlineStr">
        <is>
          <t>Cash &amp; Carry</t>
        </is>
      </c>
      <c r="H136" s="5" t="inlineStr">
        <is>
          <t>General cash and carry wholesaler</t>
        </is>
      </c>
      <c r="I136" s="5" t="inlineStr">
        <is>
          <t>Independent</t>
        </is>
      </c>
      <c r="J136" s="5" t="inlineStr">
        <is>
          <t>1</t>
        </is>
      </c>
      <c r="K136" s="5" t="inlineStr"/>
      <c r="L136" s="5" t="inlineStr"/>
      <c r="M136" s="5" t="inlineStr"/>
      <c r="N136" s="5" t="inlineStr"/>
      <c r="O136" s="5" t="inlineStr">
        <is>
          <t>Clough Lane</t>
        </is>
      </c>
      <c r="P136" s="5" t="inlineStr">
        <is>
          <t>Paddock</t>
        </is>
      </c>
      <c r="Q136" s="5" t="inlineStr">
        <is>
          <t>Huddersfield</t>
        </is>
      </c>
      <c r="R136" s="5" t="inlineStr">
        <is>
          <t>West Yorkshire</t>
        </is>
      </c>
      <c r="S136" s="5" t="inlineStr">
        <is>
          <t>HD1 4UW</t>
        </is>
      </c>
      <c r="T136" s="5" t="inlineStr">
        <is>
          <t>Yorkshire &amp; Humber</t>
        </is>
      </c>
      <c r="U136" s="5" t="inlineStr">
        <is>
          <t>England</t>
        </is>
      </c>
      <c r="V136" s="5" t="inlineStr"/>
      <c r="W136" s="5" t="inlineStr"/>
      <c r="X136" s="5" t="inlineStr"/>
      <c r="Y136" s="5" t="inlineStr"/>
      <c r="Z136" s="5" t="inlineStr"/>
      <c r="AA136" s="5" t="inlineStr"/>
      <c r="AB136" s="5" t="inlineStr"/>
      <c r="AC136" s="5" t="inlineStr"/>
      <c r="AD136" s="5" t="inlineStr"/>
      <c r="AE136" s="5" t="inlineStr"/>
      <c r="AF136" s="5" t="inlineStr"/>
      <c r="AG136" s="5" t="inlineStr"/>
      <c r="AH136" s="5" t="inlineStr"/>
      <c r="AI136" s="5" t="inlineStr"/>
      <c r="AJ136" s="5" t="inlineStr"/>
      <c r="AK136" s="5" t="inlineStr">
        <is>
          <t>wholesale groceries; discount goods</t>
        </is>
      </c>
      <c r="AL136" s="5" t="inlineStr"/>
      <c r="AM136" s="5" t="inlineStr">
        <is>
          <t>Cash &amp; Carry</t>
        </is>
      </c>
      <c r="AN136" s="5" t="inlineStr"/>
      <c r="AO136" s="5" t="inlineStr">
        <is>
          <t>Listed on Yell under Discount Stores / cash and carry at Clough Lane, Paddock; no relation to the Premier symbol group confirmed.</t>
        </is>
      </c>
      <c r="AP136" s="5" t="inlineStr">
        <is>
          <t>Medium</t>
        </is>
      </c>
      <c r="AQ136" s="5" t="inlineStr">
        <is>
          <t>Independent retailer; Core relevant category</t>
        </is>
      </c>
      <c r="AR136" s="5" t="inlineStr">
        <is>
          <t>https://www.yell.com/biz/premier-wholesale-cash-and-carry-huddersfield-943025/</t>
        </is>
      </c>
      <c r="AS136" s="5" t="inlineStr"/>
      <c r="AT136" s="5" t="inlineStr">
        <is>
          <t>1</t>
        </is>
      </c>
      <c r="AU136" s="5" t="inlineStr">
        <is>
          <t>No</t>
        </is>
      </c>
      <c r="AV136" s="5" t="inlineStr">
        <is>
          <t>No</t>
        </is>
      </c>
      <c r="AW136" s="5" t="inlineStr">
        <is>
          <t>No</t>
        </is>
      </c>
      <c r="AX136" s="5" t="inlineStr">
        <is>
          <t>No</t>
        </is>
      </c>
      <c r="AY136" s="5" t="inlineStr">
        <is>
          <t>Not Found</t>
        </is>
      </c>
      <c r="AZ136" s="5" t="inlineStr">
        <is>
          <t>Not Found</t>
        </is>
      </c>
      <c r="BA136" s="5" t="inlineStr">
        <is>
          <t>2026-09-16</t>
        </is>
      </c>
      <c r="BB136" s="5" t="inlineStr">
        <is>
          <t>Requires Verification</t>
        </is>
      </c>
      <c r="BC136" s="5" t="inlineStr">
        <is>
          <t>Low</t>
        </is>
      </c>
      <c r="BD136" s="5" t="inlineStr"/>
      <c r="BE136" s="5" t="inlineStr">
        <is>
          <t>Business (B2B)</t>
        </is>
      </c>
      <c r="BF136" s="5" t="inlineStr">
        <is>
          <t>Legitimate interest (B2B) - assess per campaign; PECR: corporate subscribers</t>
        </is>
      </c>
      <c r="BG136" s="5" t="inlineStr"/>
      <c r="BH136" s="5" t="inlineStr">
        <is>
          <t>No</t>
        </is>
      </c>
      <c r="BI136" s="5" t="inlineStr">
        <is>
          <t>2026-09-16</t>
        </is>
      </c>
      <c r="BJ136" s="5" t="inlineStr">
        <is>
          <t>New</t>
        </is>
      </c>
      <c r="BK136" s="5" t="inlineStr">
        <is>
          <t>2026-09-16</t>
        </is>
      </c>
      <c r="BL136" s="5" t="inlineStr"/>
      <c r="BM136" s="5" t="inlineStr"/>
      <c r="BN136" s="5" t="inlineStr"/>
      <c r="BO136" s="5" t="inlineStr"/>
      <c r="BP136" s="5" t="inlineStr"/>
      <c r="BQ136" s="5" t="inlineStr"/>
    </row>
    <row r="137">
      <c r="A137" s="10" t="inlineStr">
        <is>
          <t>WY-0136</t>
        </is>
      </c>
      <c r="B137" s="10" t="inlineStr">
        <is>
          <t>WY-0136-01</t>
        </is>
      </c>
      <c r="C137" s="10" t="inlineStr"/>
      <c r="D137" s="10" t="inlineStr">
        <is>
          <t>Quix Newsagents, Off Licence &amp; Convenience Store</t>
        </is>
      </c>
      <c r="E137" s="10" t="inlineStr">
        <is>
          <t>Quix</t>
        </is>
      </c>
      <c r="F137" s="10" t="inlineStr"/>
      <c r="G137" s="10" t="inlineStr">
        <is>
          <t>Convenience Store</t>
        </is>
      </c>
      <c r="H137" s="10" t="inlineStr">
        <is>
          <t>Newsagent, off-licence &amp; convenience store</t>
        </is>
      </c>
      <c r="I137" s="10" t="inlineStr">
        <is>
          <t>Independent</t>
        </is>
      </c>
      <c r="J137" s="10" t="inlineStr">
        <is>
          <t>1</t>
        </is>
      </c>
      <c r="K137" s="10" t="inlineStr"/>
      <c r="L137" s="10" t="inlineStr"/>
      <c r="M137" s="10" t="inlineStr"/>
      <c r="N137" s="10" t="inlineStr"/>
      <c r="O137" s="10" t="inlineStr"/>
      <c r="P137" s="10" t="inlineStr"/>
      <c r="Q137" s="10" t="inlineStr">
        <is>
          <t>Shipley</t>
        </is>
      </c>
      <c r="R137" s="10" t="inlineStr">
        <is>
          <t>West Yorkshire</t>
        </is>
      </c>
      <c r="S137" s="10" t="inlineStr"/>
      <c r="T137" s="10" t="inlineStr">
        <is>
          <t>Yorkshire &amp; Humber</t>
        </is>
      </c>
      <c r="U137" s="10" t="inlineStr">
        <is>
          <t>England</t>
        </is>
      </c>
      <c r="V137" s="10" t="inlineStr"/>
      <c r="W137" s="10" t="inlineStr"/>
      <c r="X137" s="10" t="inlineStr"/>
      <c r="Y137" s="10" t="inlineStr"/>
      <c r="Z137" s="10" t="inlineStr"/>
      <c r="AA137" s="10" t="inlineStr"/>
      <c r="AB137" s="10" t="inlineStr"/>
      <c r="AC137" s="10" t="inlineStr"/>
      <c r="AD137" s="10" t="inlineStr"/>
      <c r="AE137" s="10" t="inlineStr"/>
      <c r="AF137" s="10" t="inlineStr"/>
      <c r="AG137" s="10" t="inlineStr"/>
      <c r="AH137" s="10" t="inlineStr"/>
      <c r="AI137" s="10" t="inlineStr"/>
      <c r="AJ137" s="10" t="inlineStr"/>
      <c r="AK137" s="10" t="inlineStr">
        <is>
          <t>news; alcohol; convenience lines</t>
        </is>
      </c>
      <c r="AL137" s="10" t="inlineStr"/>
      <c r="AM137" s="10" t="inlineStr">
        <is>
          <t>Convenience Store</t>
        </is>
      </c>
      <c r="AN137" s="10" t="inlineStr"/>
      <c r="AO137" s="10" t="inlineStr">
        <is>
          <t>Combined newsagent/off-licence/convenience store listed under Shipley corner shops. Street address not captured - needs enrichment.</t>
        </is>
      </c>
      <c r="AP137" s="10" t="inlineStr">
        <is>
          <t>Low</t>
        </is>
      </c>
      <c r="AQ137" s="10" t="inlineStr">
        <is>
          <t>Independent retailer; Relevant category</t>
        </is>
      </c>
      <c r="AR137" s="10" t="inlineStr">
        <is>
          <t>https://www.yorkshire.com/shipley/shopping/corner-shops/quix-newsagents-off-licence-convenience-store</t>
        </is>
      </c>
      <c r="AS137" s="10" t="inlineStr"/>
      <c r="AT137" s="10" t="inlineStr">
        <is>
          <t>1</t>
        </is>
      </c>
      <c r="AU137" s="10" t="inlineStr">
        <is>
          <t>No</t>
        </is>
      </c>
      <c r="AV137" s="10" t="inlineStr">
        <is>
          <t>No</t>
        </is>
      </c>
      <c r="AW137" s="10" t="inlineStr">
        <is>
          <t>No</t>
        </is>
      </c>
      <c r="AX137" s="10" t="inlineStr">
        <is>
          <t>No</t>
        </is>
      </c>
      <c r="AY137" s="10" t="inlineStr">
        <is>
          <t>Not Found</t>
        </is>
      </c>
      <c r="AZ137" s="10" t="inlineStr">
        <is>
          <t>Not Found</t>
        </is>
      </c>
      <c r="BA137" s="10" t="inlineStr">
        <is>
          <t>2026-09-16</t>
        </is>
      </c>
      <c r="BB137" s="10" t="inlineStr">
        <is>
          <t>Requires Verification</t>
        </is>
      </c>
      <c r="BC137" s="10" t="inlineStr">
        <is>
          <t>Low</t>
        </is>
      </c>
      <c r="BD137" s="10" t="inlineStr"/>
      <c r="BE137" s="10" t="inlineStr">
        <is>
          <t>Business (B2B)</t>
        </is>
      </c>
      <c r="BF137" s="10" t="inlineStr">
        <is>
          <t>Legitimate interest (B2B) - assess per campaign; PECR: corporate subscribers</t>
        </is>
      </c>
      <c r="BG137" s="10" t="inlineStr"/>
      <c r="BH137" s="10" t="inlineStr">
        <is>
          <t>No</t>
        </is>
      </c>
      <c r="BI137" s="10" t="inlineStr">
        <is>
          <t>2026-09-16</t>
        </is>
      </c>
      <c r="BJ137" s="10" t="inlineStr">
        <is>
          <t>New</t>
        </is>
      </c>
      <c r="BK137" s="10" t="inlineStr">
        <is>
          <t>2026-09-16</t>
        </is>
      </c>
      <c r="BL137" s="10" t="inlineStr"/>
      <c r="BM137" s="10" t="inlineStr"/>
      <c r="BN137" s="10" t="inlineStr"/>
      <c r="BO137" s="10" t="inlineStr"/>
      <c r="BP137" s="10" t="inlineStr"/>
      <c r="BQ137" s="10" t="inlineStr"/>
    </row>
    <row r="138">
      <c r="A138" s="5" t="inlineStr">
        <is>
          <t>WY-0137</t>
        </is>
      </c>
      <c r="B138" s="5" t="inlineStr">
        <is>
          <t>WY-0137-01</t>
        </is>
      </c>
      <c r="C138" s="5" t="inlineStr"/>
      <c r="D138" s="5" t="inlineStr">
        <is>
          <t>Rahien Mini Market</t>
        </is>
      </c>
      <c r="E138" s="5" t="inlineStr">
        <is>
          <t>Rahien Mini Market</t>
        </is>
      </c>
      <c r="F138" s="5" t="inlineStr"/>
      <c r="G138" s="5" t="inlineStr">
        <is>
          <t>Convenience Store</t>
        </is>
      </c>
      <c r="H138" s="5" t="inlineStr">
        <is>
          <t>Mini market</t>
        </is>
      </c>
      <c r="I138" s="5" t="inlineStr">
        <is>
          <t>Independent</t>
        </is>
      </c>
      <c r="J138" s="5" t="inlineStr">
        <is>
          <t>1</t>
        </is>
      </c>
      <c r="K138" s="5" t="inlineStr"/>
      <c r="L138" s="5" t="inlineStr"/>
      <c r="M138" s="5" t="inlineStr"/>
      <c r="N138" s="5" t="inlineStr"/>
      <c r="O138" s="5" t="inlineStr">
        <is>
          <t>Queen's Road</t>
        </is>
      </c>
      <c r="P138" s="5" t="inlineStr">
        <is>
          <t>Headingley / Hyde Park</t>
        </is>
      </c>
      <c r="Q138" s="5" t="inlineStr">
        <is>
          <t>Leeds</t>
        </is>
      </c>
      <c r="R138" s="5" t="inlineStr">
        <is>
          <t>West Yorkshire</t>
        </is>
      </c>
      <c r="S138" s="5" t="inlineStr"/>
      <c r="T138" s="5" t="inlineStr">
        <is>
          <t>Yorkshire &amp; Humber</t>
        </is>
      </c>
      <c r="U138" s="5" t="inlineStr">
        <is>
          <t>England</t>
        </is>
      </c>
      <c r="V138" s="5" t="inlineStr"/>
      <c r="W138" s="5" t="inlineStr"/>
      <c r="X138" s="5" t="inlineStr"/>
      <c r="Y138" s="5" t="inlineStr"/>
      <c r="Z138" s="5" t="inlineStr"/>
      <c r="AA138" s="5" t="inlineStr"/>
      <c r="AB138" s="5" t="inlineStr"/>
      <c r="AC138" s="5" t="inlineStr"/>
      <c r="AD138" s="5" t="inlineStr"/>
      <c r="AE138" s="5" t="inlineStr"/>
      <c r="AF138" s="5" t="inlineStr"/>
      <c r="AG138" s="5" t="inlineStr"/>
      <c r="AH138" s="5" t="inlineStr"/>
      <c r="AI138" s="5" t="inlineStr"/>
      <c r="AJ138" s="5" t="inlineStr"/>
      <c r="AK138" s="5" t="inlineStr">
        <is>
          <t>groceries; everyday essentials</t>
        </is>
      </c>
      <c r="AL138" s="5" t="inlineStr"/>
      <c r="AM138" s="5" t="inlineStr">
        <is>
          <t>Convenience Store</t>
        </is>
      </c>
      <c r="AN138" s="5" t="inlineStr"/>
      <c r="AO138" s="5" t="inlineStr">
        <is>
          <t>Highly rated local mini market serving the Headingley student area; street number not published in sources found.</t>
        </is>
      </c>
      <c r="AP138" s="5" t="inlineStr">
        <is>
          <t>Low</t>
        </is>
      </c>
      <c r="AQ138" s="5" t="inlineStr">
        <is>
          <t>Independent retailer; Relevant category</t>
        </is>
      </c>
      <c r="AR138" s="5" t="inlineStr">
        <is>
          <t>https://www.yorkshire.com/headingley/shopping/markets/rahien-mini-market</t>
        </is>
      </c>
      <c r="AS138" s="5" t="inlineStr"/>
      <c r="AT138" s="5" t="inlineStr">
        <is>
          <t>1</t>
        </is>
      </c>
      <c r="AU138" s="5" t="inlineStr">
        <is>
          <t>No</t>
        </is>
      </c>
      <c r="AV138" s="5" t="inlineStr">
        <is>
          <t>No</t>
        </is>
      </c>
      <c r="AW138" s="5" t="inlineStr">
        <is>
          <t>No</t>
        </is>
      </c>
      <c r="AX138" s="5" t="inlineStr">
        <is>
          <t>No</t>
        </is>
      </c>
      <c r="AY138" s="5" t="inlineStr">
        <is>
          <t>Not Found</t>
        </is>
      </c>
      <c r="AZ138" s="5" t="inlineStr">
        <is>
          <t>Not Found</t>
        </is>
      </c>
      <c r="BA138" s="5" t="inlineStr">
        <is>
          <t>2026-09-16</t>
        </is>
      </c>
      <c r="BB138" s="5" t="inlineStr">
        <is>
          <t>Requires Verification</t>
        </is>
      </c>
      <c r="BC138" s="5" t="inlineStr">
        <is>
          <t>Low</t>
        </is>
      </c>
      <c r="BD138" s="5" t="inlineStr"/>
      <c r="BE138" s="5" t="inlineStr">
        <is>
          <t>Business (B2B)</t>
        </is>
      </c>
      <c r="BF138" s="5" t="inlineStr">
        <is>
          <t>Legitimate interest (B2B) - assess per campaign; PECR: corporate subscribers</t>
        </is>
      </c>
      <c r="BG138" s="5" t="inlineStr"/>
      <c r="BH138" s="5" t="inlineStr">
        <is>
          <t>No</t>
        </is>
      </c>
      <c r="BI138" s="5" t="inlineStr">
        <is>
          <t>2026-09-16</t>
        </is>
      </c>
      <c r="BJ138" s="5" t="inlineStr">
        <is>
          <t>New</t>
        </is>
      </c>
      <c r="BK138" s="5" t="inlineStr">
        <is>
          <t>2026-09-16</t>
        </is>
      </c>
      <c r="BL138" s="5" t="inlineStr"/>
      <c r="BM138" s="5" t="inlineStr"/>
      <c r="BN138" s="5" t="inlineStr"/>
      <c r="BO138" s="5" t="inlineStr"/>
      <c r="BP138" s="5" t="inlineStr"/>
      <c r="BQ138" s="5" t="inlineStr"/>
    </row>
    <row r="139">
      <c r="A139" s="10" t="inlineStr">
        <is>
          <t>WY-0138</t>
        </is>
      </c>
      <c r="B139" s="10" t="inlineStr">
        <is>
          <t>WY-0138-01</t>
        </is>
      </c>
      <c r="C139" s="10" t="inlineStr"/>
      <c r="D139" s="10" t="inlineStr">
        <is>
          <t>Revo Vapes</t>
        </is>
      </c>
      <c r="E139" s="10" t="inlineStr">
        <is>
          <t>Revo Vapes</t>
        </is>
      </c>
      <c r="F139" s="10" t="inlineStr"/>
      <c r="G139" s="10" t="inlineStr">
        <is>
          <t>Vape Shop</t>
        </is>
      </c>
      <c r="H139" s="10" t="inlineStr"/>
      <c r="I139" s="10" t="inlineStr">
        <is>
          <t>Independent</t>
        </is>
      </c>
      <c r="J139" s="10" t="inlineStr">
        <is>
          <t>1</t>
        </is>
      </c>
      <c r="K139" s="10" t="inlineStr"/>
      <c r="L139" s="10" t="inlineStr"/>
      <c r="M139" s="10" t="inlineStr"/>
      <c r="N139" s="10" t="inlineStr"/>
      <c r="O139" s="10" t="inlineStr">
        <is>
          <t>Unit 1a, 91 Queen Street</t>
        </is>
      </c>
      <c r="P139" s="10" t="inlineStr"/>
      <c r="Q139" s="10" t="inlineStr">
        <is>
          <t>Morley</t>
        </is>
      </c>
      <c r="R139" s="10" t="inlineStr">
        <is>
          <t>West Yorkshire</t>
        </is>
      </c>
      <c r="S139" s="10" t="inlineStr">
        <is>
          <t>LS27 8DW</t>
        </is>
      </c>
      <c r="T139" s="10" t="inlineStr">
        <is>
          <t>Yorkshire &amp; Humber</t>
        </is>
      </c>
      <c r="U139" s="10" t="inlineStr">
        <is>
          <t>England</t>
        </is>
      </c>
      <c r="V139" s="10" t="inlineStr"/>
      <c r="W139" s="10" t="inlineStr"/>
      <c r="X139" s="10" t="inlineStr"/>
      <c r="Y139" s="10" t="inlineStr"/>
      <c r="Z139" s="10" t="inlineStr"/>
      <c r="AA139" s="10" t="inlineStr"/>
      <c r="AB139" s="10" t="inlineStr"/>
      <c r="AC139" s="10" t="inlineStr"/>
      <c r="AD139" s="10" t="inlineStr"/>
      <c r="AE139" s="10" t="inlineStr"/>
      <c r="AF139" s="10" t="inlineStr"/>
      <c r="AG139" s="10" t="inlineStr"/>
      <c r="AH139" s="10" t="inlineStr"/>
      <c r="AI139" s="10" t="inlineStr"/>
      <c r="AJ139" s="10" t="inlineStr"/>
      <c r="AK139" s="10" t="inlineStr">
        <is>
          <t>vape hardware; e-liquids</t>
        </is>
      </c>
      <c r="AL139" s="10" t="inlineStr"/>
      <c r="AM139" s="10" t="inlineStr">
        <is>
          <t>Vape Shop</t>
        </is>
      </c>
      <c r="AN139" s="10" t="inlineStr"/>
      <c r="AO139" s="10" t="inlineStr">
        <is>
          <t>Vape shop in Morley town centre (Morley South ward).</t>
        </is>
      </c>
      <c r="AP139" s="10" t="inlineStr">
        <is>
          <t>Medium</t>
        </is>
      </c>
      <c r="AQ139" s="10" t="inlineStr">
        <is>
          <t>Independent retailer; Core relevant category</t>
        </is>
      </c>
      <c r="AR139" s="10" t="inlineStr">
        <is>
          <t>https://revo-vapes.wheree.com/</t>
        </is>
      </c>
      <c r="AS139" s="10" t="inlineStr"/>
      <c r="AT139" s="10" t="inlineStr">
        <is>
          <t>1</t>
        </is>
      </c>
      <c r="AU139" s="10" t="inlineStr">
        <is>
          <t>No</t>
        </is>
      </c>
      <c r="AV139" s="10" t="inlineStr">
        <is>
          <t>No</t>
        </is>
      </c>
      <c r="AW139" s="10" t="inlineStr">
        <is>
          <t>No</t>
        </is>
      </c>
      <c r="AX139" s="10" t="inlineStr">
        <is>
          <t>No</t>
        </is>
      </c>
      <c r="AY139" s="10" t="inlineStr">
        <is>
          <t>Not Found</t>
        </is>
      </c>
      <c r="AZ139" s="10" t="inlineStr">
        <is>
          <t>Not Found</t>
        </is>
      </c>
      <c r="BA139" s="10" t="inlineStr">
        <is>
          <t>2026-09-16</t>
        </is>
      </c>
      <c r="BB139" s="10" t="inlineStr">
        <is>
          <t>Requires Verification</t>
        </is>
      </c>
      <c r="BC139" s="10" t="inlineStr">
        <is>
          <t>Low</t>
        </is>
      </c>
      <c r="BD139" s="10" t="inlineStr"/>
      <c r="BE139" s="10" t="inlineStr">
        <is>
          <t>Business (B2B)</t>
        </is>
      </c>
      <c r="BF139" s="10" t="inlineStr">
        <is>
          <t>Legitimate interest (B2B) - assess per campaign; PECR: corporate subscribers</t>
        </is>
      </c>
      <c r="BG139" s="10" t="inlineStr"/>
      <c r="BH139" s="10" t="inlineStr">
        <is>
          <t>No</t>
        </is>
      </c>
      <c r="BI139" s="10" t="inlineStr">
        <is>
          <t>2026-09-16</t>
        </is>
      </c>
      <c r="BJ139" s="10" t="inlineStr">
        <is>
          <t>New</t>
        </is>
      </c>
      <c r="BK139" s="10" t="inlineStr">
        <is>
          <t>2026-09-16</t>
        </is>
      </c>
      <c r="BL139" s="10" t="inlineStr"/>
      <c r="BM139" s="10" t="inlineStr"/>
      <c r="BN139" s="10" t="inlineStr"/>
      <c r="BO139" s="10" t="inlineStr"/>
      <c r="BP139" s="10" t="inlineStr"/>
      <c r="BQ139" s="10" t="inlineStr"/>
    </row>
    <row r="140">
      <c r="A140" s="5" t="inlineStr">
        <is>
          <t>WY-0139</t>
        </is>
      </c>
      <c r="B140" s="5" t="inlineStr">
        <is>
          <t>WY-0139-01</t>
        </is>
      </c>
      <c r="C140" s="5" t="inlineStr"/>
      <c r="D140" s="5" t="inlineStr">
        <is>
          <t>Ryans The Tobacconist</t>
        </is>
      </c>
      <c r="E140" s="5" t="inlineStr">
        <is>
          <t>Ryans</t>
        </is>
      </c>
      <c r="F140" s="5" t="inlineStr"/>
      <c r="G140" s="5" t="inlineStr">
        <is>
          <t>Tobacco Specialist</t>
        </is>
      </c>
      <c r="H140" s="5" t="inlineStr">
        <is>
          <t>Traditional tobacconist - cigars, pipes, tobacco</t>
        </is>
      </c>
      <c r="I140" s="5" t="inlineStr">
        <is>
          <t>Independent</t>
        </is>
      </c>
      <c r="J140" s="5" t="inlineStr">
        <is>
          <t>1</t>
        </is>
      </c>
      <c r="K140" s="5" t="inlineStr">
        <is>
          <t>https://www.ryanstobacconist.co.uk/</t>
        </is>
      </c>
      <c r="L140" s="5" t="inlineStr">
        <is>
          <t>https://www.facebook.com/ryans.tobacconist/</t>
        </is>
      </c>
      <c r="M140" s="5" t="inlineStr">
        <is>
          <t>https://www.instagram.com/ryansthetobacconist/</t>
        </is>
      </c>
      <c r="N140" s="5" t="inlineStr"/>
      <c r="O140" s="5" t="inlineStr">
        <is>
          <t>5 The Headrow</t>
        </is>
      </c>
      <c r="P140" s="5" t="inlineStr">
        <is>
          <t>City Centre</t>
        </is>
      </c>
      <c r="Q140" s="5" t="inlineStr">
        <is>
          <t>Leeds</t>
        </is>
      </c>
      <c r="R140" s="5" t="inlineStr">
        <is>
          <t>West Yorkshire</t>
        </is>
      </c>
      <c r="S140" s="5" t="inlineStr">
        <is>
          <t>LS1 6PU</t>
        </is>
      </c>
      <c r="T140" s="5" t="inlineStr">
        <is>
          <t>Yorkshire &amp; Humber</t>
        </is>
      </c>
      <c r="U140" s="5" t="inlineStr">
        <is>
          <t>England</t>
        </is>
      </c>
      <c r="V140" s="5" t="inlineStr">
        <is>
          <t>0113 242 2585</t>
        </is>
      </c>
      <c r="W140" s="5" t="inlineStr"/>
      <c r="X140" s="5" t="inlineStr"/>
      <c r="Y140" s="5" t="inlineStr">
        <is>
          <t>Ryans.2000@outlook.com</t>
        </is>
      </c>
      <c r="Z140" s="5" t="inlineStr"/>
      <c r="AA140" s="5" t="inlineStr"/>
      <c r="AB140" s="5" t="inlineStr"/>
      <c r="AC140" s="5" t="inlineStr"/>
      <c r="AD140" s="5" t="inlineStr"/>
      <c r="AE140" s="5" t="inlineStr"/>
      <c r="AF140" s="5" t="inlineStr"/>
      <c r="AG140" s="5" t="inlineStr"/>
      <c r="AH140" s="5" t="inlineStr"/>
      <c r="AI140" s="5" t="inlineStr"/>
      <c r="AJ140" s="5" t="inlineStr"/>
      <c r="AK140" s="5" t="inlineStr">
        <is>
          <t>cigarettes; cigars; pipe tobacco; smoking accessories</t>
        </is>
      </c>
      <c r="AL140" s="5" t="inlineStr"/>
      <c r="AM140" s="5" t="inlineStr">
        <is>
          <t>Tobacco Specialist</t>
        </is>
      </c>
      <c r="AN140" s="5" t="inlineStr"/>
      <c r="AO140" s="5" t="inlineStr">
        <is>
          <t>Described as the sole traditional and modern tobacconist in Leeds, trading for more than 40 years. Email as published on their contact page (surfaced in search results).</t>
        </is>
      </c>
      <c r="AP140" s="5" t="inlineStr">
        <is>
          <t>High</t>
        </is>
      </c>
      <c r="AQ140" s="5" t="inlineStr">
        <is>
          <t>Independent retailer; Core relevant category; Public email available; Active website; Social presence</t>
        </is>
      </c>
      <c r="AR140" s="5" t="inlineStr">
        <is>
          <t>https://www.ryanstobacconist.co.uk/contact-us</t>
        </is>
      </c>
      <c r="AS140" s="5" t="inlineStr">
        <is>
          <t>https://wegetyoufound.co.uk/listings/ryans/leeds/tobacco-shop</t>
        </is>
      </c>
      <c r="AT140" s="5" t="inlineStr">
        <is>
          <t>2</t>
        </is>
      </c>
      <c r="AU140" s="5" t="inlineStr">
        <is>
          <t>No</t>
        </is>
      </c>
      <c r="AV140" s="5" t="inlineStr">
        <is>
          <t>No</t>
        </is>
      </c>
      <c r="AW140" s="5" t="inlineStr">
        <is>
          <t>No</t>
        </is>
      </c>
      <c r="AX140" s="5" t="inlineStr">
        <is>
          <t>No</t>
        </is>
      </c>
      <c r="AY140" s="5" t="inlineStr">
        <is>
          <t>Verified directory</t>
        </is>
      </c>
      <c r="AZ140" s="5" t="inlineStr">
        <is>
          <t>Publicly Listed</t>
        </is>
      </c>
      <c r="BA140" s="5" t="inlineStr">
        <is>
          <t>2026-09-16</t>
        </is>
      </c>
      <c r="BB140" s="5" t="inlineStr">
        <is>
          <t>Requires Verification</t>
        </is>
      </c>
      <c r="BC140" s="5" t="inlineStr">
        <is>
          <t>Medium</t>
        </is>
      </c>
      <c r="BD140" s="5" t="inlineStr"/>
      <c r="BE140" s="5" t="inlineStr">
        <is>
          <t>Business (B2B)</t>
        </is>
      </c>
      <c r="BF140" s="5" t="inlineStr">
        <is>
          <t>Legitimate interest (B2B) - assess per campaign; PECR: corporate subscribers</t>
        </is>
      </c>
      <c r="BG140" s="5" t="inlineStr"/>
      <c r="BH140" s="5" t="inlineStr">
        <is>
          <t>No</t>
        </is>
      </c>
      <c r="BI140" s="5" t="inlineStr">
        <is>
          <t>2026-09-16</t>
        </is>
      </c>
      <c r="BJ140" s="5" t="inlineStr">
        <is>
          <t>New</t>
        </is>
      </c>
      <c r="BK140" s="5" t="inlineStr">
        <is>
          <t>2026-09-16</t>
        </is>
      </c>
      <c r="BL140" s="5" t="inlineStr"/>
      <c r="BM140" s="5" t="inlineStr"/>
      <c r="BN140" s="5" t="inlineStr"/>
      <c r="BO140" s="5" t="inlineStr"/>
      <c r="BP140" s="5" t="inlineStr"/>
      <c r="BQ140" s="5" t="inlineStr"/>
    </row>
    <row r="141">
      <c r="A141" s="10" t="inlineStr">
        <is>
          <t>WY-0140</t>
        </is>
      </c>
      <c r="B141" s="10" t="inlineStr">
        <is>
          <t>WY-0140-01</t>
        </is>
      </c>
      <c r="C141" s="10" t="inlineStr"/>
      <c r="D141" s="10" t="inlineStr">
        <is>
          <t>SMKD</t>
        </is>
      </c>
      <c r="E141" s="10" t="inlineStr">
        <is>
          <t>SMKD</t>
        </is>
      </c>
      <c r="F141" s="10" t="inlineStr">
        <is>
          <t>SMKD Vape Limited</t>
        </is>
      </c>
      <c r="G141" s="10" t="inlineStr">
        <is>
          <t>Vape Shop</t>
        </is>
      </c>
      <c r="H141" s="10" t="inlineStr">
        <is>
          <t>Online vape retailer with same-day West Yorkshire delivery (former multi-store chain)</t>
        </is>
      </c>
      <c r="I141" s="10" t="inlineStr">
        <is>
          <t>Independent</t>
        </is>
      </c>
      <c r="J141" s="10" t="inlineStr">
        <is>
          <t>1</t>
        </is>
      </c>
      <c r="K141" s="10" t="inlineStr">
        <is>
          <t>https://smkd.com/</t>
        </is>
      </c>
      <c r="L141" s="10" t="inlineStr">
        <is>
          <t>https://www.facebook.com/SmkdVapeShop/</t>
        </is>
      </c>
      <c r="M141" s="10" t="inlineStr"/>
      <c r="N141" s="10" t="inlineStr"/>
      <c r="O141" s="10" t="inlineStr">
        <is>
          <t>Unit 7, Bradford Chamber Business Park</t>
        </is>
      </c>
      <c r="P141" s="10" t="inlineStr">
        <is>
          <t>New Lane</t>
        </is>
      </c>
      <c r="Q141" s="10" t="inlineStr">
        <is>
          <t>Bradford</t>
        </is>
      </c>
      <c r="R141" s="10" t="inlineStr">
        <is>
          <t>West Yorkshire</t>
        </is>
      </c>
      <c r="S141" s="10" t="inlineStr">
        <is>
          <t>BD4 8BX</t>
        </is>
      </c>
      <c r="T141" s="10" t="inlineStr">
        <is>
          <t>Yorkshire &amp; Humber</t>
        </is>
      </c>
      <c r="U141" s="10" t="inlineStr">
        <is>
          <t>England</t>
        </is>
      </c>
      <c r="V141" s="10" t="inlineStr">
        <is>
          <t>01274 270303</t>
        </is>
      </c>
      <c r="W141" s="10" t="inlineStr"/>
      <c r="X141" s="10" t="inlineStr"/>
      <c r="Y141" s="10" t="inlineStr">
        <is>
          <t>info@smkd.com</t>
        </is>
      </c>
      <c r="Z141" s="10" t="inlineStr"/>
      <c r="AA141" s="10" t="inlineStr"/>
      <c r="AB141" s="10" t="inlineStr"/>
      <c r="AC141" s="10" t="inlineStr"/>
      <c r="AD141" s="10" t="inlineStr"/>
      <c r="AE141" s="10" t="inlineStr"/>
      <c r="AF141" s="10" t="inlineStr"/>
      <c r="AG141" s="10" t="inlineStr"/>
      <c r="AH141" s="10" t="inlineStr"/>
      <c r="AI141" s="10" t="inlineStr"/>
      <c r="AJ141" s="10" t="inlineStr"/>
      <c r="AK141" s="10" t="inlineStr">
        <is>
          <t>vape hardware; e-liquids; disposables</t>
        </is>
      </c>
      <c r="AL141" s="10" t="inlineStr"/>
      <c r="AM141" s="10" t="inlineStr">
        <is>
          <t>Vape Shop</t>
        </is>
      </c>
      <c r="AN141" s="10" t="inlineStr"/>
      <c r="AO141" s="10" t="inlineStr">
        <is>
          <t>IMPORTANT: the former SMKD retail chain (operated by Smokers Delight Ltd, with stores in Leeds Central Arcade, Huddersfield 7 High Street HD1 2LT, Wakefield Ridings Centre, Bradford John Street, Shipley, Keighley, Cleckheaton, Garforth, Wetherby, Hemsworth, Pontefract) has CLOSED all its physical shops. SMKD Vape Limited took over the SMKD brand/website and trades online from Bradford (BD4 8BX) with free same-day delivery over GBP 25 across most of West Yorkshire. Store-locator pages remain live on smkd.com but describe closed shops - do NOT treat them as live retail locations. Prospect value: active online vape retailer/brand owner in Bradford.</t>
        </is>
      </c>
      <c r="AP141" s="10" t="inlineStr">
        <is>
          <t>High</t>
        </is>
      </c>
      <c r="AQ141" s="10" t="inlineStr">
        <is>
          <t>Independent retailer; Core relevant category; Public email available; Active website; Social presence; Phone verified on official website</t>
        </is>
      </c>
      <c r="AR141" s="10" t="inlineStr">
        <is>
          <t>https://smkd.com/vape-shop-locator/</t>
        </is>
      </c>
      <c r="AS141" s="10" t="inlineStr">
        <is>
          <t>https://smkd.com/vape-shop-locator/huddersfield-vape-shop-high-street/</t>
        </is>
      </c>
      <c r="AT141" s="10" t="inlineStr">
        <is>
          <t>4</t>
        </is>
      </c>
      <c r="AU141" s="10" t="inlineStr">
        <is>
          <t>Yes</t>
        </is>
      </c>
      <c r="AV141" s="10" t="inlineStr">
        <is>
          <t>No</t>
        </is>
      </c>
      <c r="AW141" s="10" t="inlineStr">
        <is>
          <t>No</t>
        </is>
      </c>
      <c r="AX141" s="10" t="inlineStr">
        <is>
          <t>No</t>
        </is>
      </c>
      <c r="AY141" s="10" t="inlineStr">
        <is>
          <t>Verified on official website</t>
        </is>
      </c>
      <c r="AZ141" s="10" t="inlineStr">
        <is>
          <t>Publicly Listed</t>
        </is>
      </c>
      <c r="BA141" s="10" t="inlineStr">
        <is>
          <t>2026-09-16</t>
        </is>
      </c>
      <c r="BB141" s="10" t="inlineStr">
        <is>
          <t>Partially Verified</t>
        </is>
      </c>
      <c r="BC141" s="10" t="inlineStr">
        <is>
          <t>Medium</t>
        </is>
      </c>
      <c r="BD141" s="10" t="inlineStr"/>
      <c r="BE141" s="10" t="inlineStr">
        <is>
          <t>Business (B2B)</t>
        </is>
      </c>
      <c r="BF141" s="10" t="inlineStr">
        <is>
          <t>Legitimate interest (B2B) - assess per campaign; PECR: corporate subscribers</t>
        </is>
      </c>
      <c r="BG141" s="10" t="inlineStr"/>
      <c r="BH141" s="10" t="inlineStr">
        <is>
          <t>No</t>
        </is>
      </c>
      <c r="BI141" s="10" t="inlineStr">
        <is>
          <t>2026-09-16</t>
        </is>
      </c>
      <c r="BJ141" s="10" t="inlineStr">
        <is>
          <t>New</t>
        </is>
      </c>
      <c r="BK141" s="10" t="inlineStr">
        <is>
          <t>2026-09-16</t>
        </is>
      </c>
      <c r="BL141" s="10" t="inlineStr"/>
      <c r="BM141" s="10" t="inlineStr"/>
      <c r="BN141" s="10" t="inlineStr"/>
      <c r="BO141" s="10" t="inlineStr"/>
      <c r="BP141" s="10" t="inlineStr"/>
      <c r="BQ141" s="10" t="inlineStr"/>
    </row>
    <row r="142">
      <c r="A142" s="5" t="inlineStr">
        <is>
          <t>WY-0141</t>
        </is>
      </c>
      <c r="B142" s="5" t="inlineStr">
        <is>
          <t>WY-0141-01</t>
        </is>
      </c>
      <c r="C142" s="5" t="inlineStr"/>
      <c r="D142" s="5" t="inlineStr">
        <is>
          <t>SPAR Huddersfield Road</t>
        </is>
      </c>
      <c r="E142" s="5" t="inlineStr">
        <is>
          <t>SPAR Huddersfield Road, Elland</t>
        </is>
      </c>
      <c r="F142" s="5" t="inlineStr"/>
      <c r="G142" s="5" t="inlineStr">
        <is>
          <t>Convenience Store</t>
        </is>
      </c>
      <c r="H142" s="5" t="inlineStr">
        <is>
          <t>SPAR symbol group convenience store with off-licence</t>
        </is>
      </c>
      <c r="I142" s="5" t="inlineStr">
        <is>
          <t>Franchise / Symbol Group</t>
        </is>
      </c>
      <c r="J142" s="5" t="inlineStr">
        <is>
          <t>1</t>
        </is>
      </c>
      <c r="K142" s="5" t="inlineStr">
        <is>
          <t>https://www.spar.co.uk/store-locator/hal32443-spar-huddersfield-road</t>
        </is>
      </c>
      <c r="L142" s="5" t="inlineStr"/>
      <c r="M142" s="5" t="inlineStr"/>
      <c r="N142" s="5" t="inlineStr"/>
      <c r="O142" s="5" t="inlineStr">
        <is>
          <t>Huddersfield Road</t>
        </is>
      </c>
      <c r="P142" s="5" t="inlineStr"/>
      <c r="Q142" s="5" t="inlineStr">
        <is>
          <t>Elland</t>
        </is>
      </c>
      <c r="R142" s="5" t="inlineStr">
        <is>
          <t>West Yorkshire</t>
        </is>
      </c>
      <c r="S142" s="5" t="inlineStr">
        <is>
          <t>HX5 9AA</t>
        </is>
      </c>
      <c r="T142" s="5" t="inlineStr">
        <is>
          <t>Yorkshire &amp; Humber</t>
        </is>
      </c>
      <c r="U142" s="5" t="inlineStr">
        <is>
          <t>England</t>
        </is>
      </c>
      <c r="V142" s="5" t="inlineStr">
        <is>
          <t>01422 648232</t>
        </is>
      </c>
      <c r="W142" s="5" t="inlineStr"/>
      <c r="X142" s="5" t="inlineStr"/>
      <c r="Y142" s="5" t="inlineStr"/>
      <c r="Z142" s="5" t="inlineStr"/>
      <c r="AA142" s="5" t="inlineStr"/>
      <c r="AB142" s="5" t="inlineStr"/>
      <c r="AC142" s="5" t="inlineStr"/>
      <c r="AD142" s="5" t="inlineStr"/>
      <c r="AE142" s="5" t="inlineStr"/>
      <c r="AF142" s="5" t="inlineStr"/>
      <c r="AG142" s="5" t="inlineStr"/>
      <c r="AH142" s="5" t="inlineStr"/>
      <c r="AI142" s="5" t="inlineStr"/>
      <c r="AJ142" s="5" t="inlineStr"/>
      <c r="AK142" s="5" t="inlineStr">
        <is>
          <t>convenience; beers, wines and spirits</t>
        </is>
      </c>
      <c r="AL142" s="5" t="inlineStr"/>
      <c r="AM142" s="5" t="inlineStr">
        <is>
          <t>Convenience Store</t>
        </is>
      </c>
      <c r="AN142" s="5" t="inlineStr">
        <is>
          <t>SPAR UK (James Hall &amp; Co is the SPAR wholesaler for the North of England)</t>
        </is>
      </c>
      <c r="AO142" s="5" t="inlineStr">
        <is>
          <t>Store operator (independent retailer vs company-owned) not established; listed on the official SPAR UK store locator.</t>
        </is>
      </c>
      <c r="AP142" s="5" t="inlineStr">
        <is>
          <t>Medium</t>
        </is>
      </c>
      <c r="AQ142" s="5" t="inlineStr">
        <is>
          <t>Independent retailer; Relevant category; Active website</t>
        </is>
      </c>
      <c r="AR142" s="5" t="inlineStr">
        <is>
          <t>https://www.spar.co.uk/store-locator/hal32443-spar-huddersfield-road</t>
        </is>
      </c>
      <c r="AS142" s="5" t="inlineStr">
        <is>
          <t>https://www.openingtimesin.uk/spar-elland</t>
        </is>
      </c>
      <c r="AT142" s="5" t="inlineStr">
        <is>
          <t>3</t>
        </is>
      </c>
      <c r="AU142" s="5" t="inlineStr">
        <is>
          <t>No</t>
        </is>
      </c>
      <c r="AV142" s="5" t="inlineStr">
        <is>
          <t>No</t>
        </is>
      </c>
      <c r="AW142" s="5" t="inlineStr">
        <is>
          <t>No</t>
        </is>
      </c>
      <c r="AX142" s="5" t="inlineStr">
        <is>
          <t>No</t>
        </is>
      </c>
      <c r="AY142" s="5" t="inlineStr">
        <is>
          <t>Verified directory</t>
        </is>
      </c>
      <c r="AZ142" s="5" t="inlineStr">
        <is>
          <t>Not Found</t>
        </is>
      </c>
      <c r="BA142" s="5" t="inlineStr">
        <is>
          <t>2026-09-16</t>
        </is>
      </c>
      <c r="BB142" s="5" t="inlineStr">
        <is>
          <t>Requires Verification</t>
        </is>
      </c>
      <c r="BC142" s="5" t="inlineStr">
        <is>
          <t>Medium</t>
        </is>
      </c>
      <c r="BD142" s="5" t="inlineStr"/>
      <c r="BE142" s="5" t="inlineStr">
        <is>
          <t>Business (B2B)</t>
        </is>
      </c>
      <c r="BF142" s="5" t="inlineStr">
        <is>
          <t>Legitimate interest (B2B) - assess per campaign; PECR: corporate subscribers</t>
        </is>
      </c>
      <c r="BG142" s="5" t="inlineStr"/>
      <c r="BH142" s="5" t="inlineStr">
        <is>
          <t>No</t>
        </is>
      </c>
      <c r="BI142" s="5" t="inlineStr">
        <is>
          <t>2026-09-16</t>
        </is>
      </c>
      <c r="BJ142" s="5" t="inlineStr">
        <is>
          <t>New</t>
        </is>
      </c>
      <c r="BK142" s="5" t="inlineStr">
        <is>
          <t>2026-09-16</t>
        </is>
      </c>
      <c r="BL142" s="5" t="inlineStr"/>
      <c r="BM142" s="5" t="inlineStr"/>
      <c r="BN142" s="5" t="inlineStr"/>
      <c r="BO142" s="5" t="inlineStr"/>
      <c r="BP142" s="5" t="inlineStr"/>
      <c r="BQ142" s="5" t="inlineStr"/>
    </row>
    <row r="143">
      <c r="A143" s="10" t="inlineStr">
        <is>
          <t>WY-0142</t>
        </is>
      </c>
      <c r="B143" s="10" t="inlineStr">
        <is>
          <t>WY-0142-01</t>
        </is>
      </c>
      <c r="C143" s="10" t="inlineStr"/>
      <c r="D143" s="10" t="inlineStr">
        <is>
          <t>SPAR Outwood</t>
        </is>
      </c>
      <c r="E143" s="10" t="inlineStr">
        <is>
          <t>SPAR Outwood</t>
        </is>
      </c>
      <c r="F143" s="10" t="inlineStr"/>
      <c r="G143" s="10" t="inlineStr">
        <is>
          <t>Convenience Store</t>
        </is>
      </c>
      <c r="H143" s="10" t="inlineStr">
        <is>
          <t>Symbol group convenience store</t>
        </is>
      </c>
      <c r="I143" s="10" t="inlineStr">
        <is>
          <t>Franchise / Symbol Group</t>
        </is>
      </c>
      <c r="J143" s="10" t="inlineStr">
        <is>
          <t>1</t>
        </is>
      </c>
      <c r="K143" s="10" t="inlineStr">
        <is>
          <t>https://www.spar.co.uk/store-locator/afb49926-spar-outwood</t>
        </is>
      </c>
      <c r="L143" s="10" t="inlineStr"/>
      <c r="M143" s="10" t="inlineStr"/>
      <c r="N143" s="10" t="inlineStr"/>
      <c r="O143" s="10" t="inlineStr">
        <is>
          <t>Potovens Lane</t>
        </is>
      </c>
      <c r="P143" s="10" t="inlineStr">
        <is>
          <t>Outwood</t>
        </is>
      </c>
      <c r="Q143" s="10" t="inlineStr">
        <is>
          <t>Wakefield</t>
        </is>
      </c>
      <c r="R143" s="10" t="inlineStr">
        <is>
          <t>West Yorkshire</t>
        </is>
      </c>
      <c r="S143" s="10" t="inlineStr">
        <is>
          <t>WF1 2LE</t>
        </is>
      </c>
      <c r="T143" s="10" t="inlineStr">
        <is>
          <t>Yorkshire &amp; Humber</t>
        </is>
      </c>
      <c r="U143" s="10" t="inlineStr">
        <is>
          <t>England</t>
        </is>
      </c>
      <c r="V143" s="10" t="inlineStr">
        <is>
          <t>01924 822641</t>
        </is>
      </c>
      <c r="W143" s="10" t="inlineStr"/>
      <c r="X143" s="10" t="inlineStr"/>
      <c r="Y143" s="10" t="inlineStr"/>
      <c r="Z143" s="10" t="inlineStr"/>
      <c r="AA143" s="10" t="inlineStr"/>
      <c r="AB143" s="10" t="inlineStr"/>
      <c r="AC143" s="10" t="inlineStr"/>
      <c r="AD143" s="10" t="inlineStr"/>
      <c r="AE143" s="10" t="inlineStr"/>
      <c r="AF143" s="10" t="inlineStr"/>
      <c r="AG143" s="10" t="inlineStr"/>
      <c r="AH143" s="10" t="inlineStr"/>
      <c r="AI143" s="10" t="inlineStr"/>
      <c r="AJ143" s="10" t="inlineStr"/>
      <c r="AK143" s="10" t="inlineStr">
        <is>
          <t>grocery; alcohol; food to go</t>
        </is>
      </c>
      <c r="AL143" s="10" t="inlineStr"/>
      <c r="AM143" s="10" t="inlineStr">
        <is>
          <t>Convenience Store</t>
        </is>
      </c>
      <c r="AN143" s="10" t="inlineStr">
        <is>
          <t>SPAR symbol group (likely James Hall &amp; Co territory for North of England)</t>
        </is>
      </c>
      <c r="AO143" s="10" t="inlineStr">
        <is>
          <t>On the official SPAR UK store locator. Operator (independent retailer vs company-owned) not established; SPAR stores in this area are commonly independently owned.</t>
        </is>
      </c>
      <c r="AP143" s="10" t="inlineStr">
        <is>
          <t>Medium</t>
        </is>
      </c>
      <c r="AQ143" s="10" t="inlineStr">
        <is>
          <t>Independent retailer; Relevant category; Active website</t>
        </is>
      </c>
      <c r="AR143" s="10" t="inlineStr">
        <is>
          <t>https://www.spar.co.uk/store-locator/afb49926-spar-outwood</t>
        </is>
      </c>
      <c r="AS143" s="10" t="inlineStr">
        <is>
          <t>https://www.192.com/atoz/business/wakefield-wf1/convenience-stores/spar-outwood/9bb09a8d82ab0999cf3197b0d056b3add8363126/ugc/</t>
        </is>
      </c>
      <c r="AT143" s="10" t="inlineStr">
        <is>
          <t>3</t>
        </is>
      </c>
      <c r="AU143" s="10" t="inlineStr">
        <is>
          <t>No</t>
        </is>
      </c>
      <c r="AV143" s="10" t="inlineStr">
        <is>
          <t>No</t>
        </is>
      </c>
      <c r="AW143" s="10" t="inlineStr">
        <is>
          <t>No</t>
        </is>
      </c>
      <c r="AX143" s="10" t="inlineStr">
        <is>
          <t>No</t>
        </is>
      </c>
      <c r="AY143" s="10" t="inlineStr">
        <is>
          <t>Verified directory</t>
        </is>
      </c>
      <c r="AZ143" s="10" t="inlineStr">
        <is>
          <t>Not Found</t>
        </is>
      </c>
      <c r="BA143" s="10" t="inlineStr">
        <is>
          <t>2026-09-16</t>
        </is>
      </c>
      <c r="BB143" s="10" t="inlineStr">
        <is>
          <t>Requires Verification</t>
        </is>
      </c>
      <c r="BC143" s="10" t="inlineStr">
        <is>
          <t>Medium</t>
        </is>
      </c>
      <c r="BD143" s="10" t="inlineStr"/>
      <c r="BE143" s="10" t="inlineStr">
        <is>
          <t>Business (B2B)</t>
        </is>
      </c>
      <c r="BF143" s="10" t="inlineStr">
        <is>
          <t>Legitimate interest (B2B) - assess per campaign; PECR: corporate subscribers</t>
        </is>
      </c>
      <c r="BG143" s="10" t="inlineStr"/>
      <c r="BH143" s="10" t="inlineStr">
        <is>
          <t>No</t>
        </is>
      </c>
      <c r="BI143" s="10" t="inlineStr">
        <is>
          <t>2026-09-16</t>
        </is>
      </c>
      <c r="BJ143" s="10" t="inlineStr">
        <is>
          <t>New</t>
        </is>
      </c>
      <c r="BK143" s="10" t="inlineStr">
        <is>
          <t>2026-09-16</t>
        </is>
      </c>
      <c r="BL143" s="10" t="inlineStr"/>
      <c r="BM143" s="10" t="inlineStr"/>
      <c r="BN143" s="10" t="inlineStr"/>
      <c r="BO143" s="10" t="inlineStr"/>
      <c r="BP143" s="10" t="inlineStr"/>
      <c r="BQ143" s="10" t="inlineStr"/>
    </row>
    <row r="144">
      <c r="A144" s="5" t="inlineStr">
        <is>
          <t>WY-0143</t>
        </is>
      </c>
      <c r="B144" s="5" t="inlineStr">
        <is>
          <t>WY-0143-01</t>
        </is>
      </c>
      <c r="C144" s="5" t="inlineStr"/>
      <c r="D144" s="5" t="inlineStr">
        <is>
          <t>SaveCo Cash &amp; Carry Bradford</t>
        </is>
      </c>
      <c r="E144" s="5" t="inlineStr">
        <is>
          <t>SaveCo Cash &amp; Carry</t>
        </is>
      </c>
      <c r="F144" s="5" t="inlineStr">
        <is>
          <t>The Meat Company Bradford Ltd</t>
        </is>
      </c>
      <c r="G144" s="5" t="inlineStr">
        <is>
          <t>Cash &amp; Carry</t>
        </is>
      </c>
      <c r="H144" s="5" t="inlineStr">
        <is>
          <t>Halal supermarket &amp; food cash and carry</t>
        </is>
      </c>
      <c r="I144" s="5" t="inlineStr">
        <is>
          <t>Independent</t>
        </is>
      </c>
      <c r="J144" s="5" t="inlineStr">
        <is>
          <t>1</t>
        </is>
      </c>
      <c r="K144" s="5" t="inlineStr">
        <is>
          <t>https://savecobradford.co.uk/</t>
        </is>
      </c>
      <c r="L144" s="5" t="inlineStr">
        <is>
          <t>https://www.facebook.com/savecobradford/</t>
        </is>
      </c>
      <c r="M144" s="5" t="inlineStr"/>
      <c r="N144" s="5" t="inlineStr"/>
      <c r="O144" s="5" t="inlineStr">
        <is>
          <t>Carter Gear Works, Thornbury Road</t>
        </is>
      </c>
      <c r="P144" s="5" t="inlineStr"/>
      <c r="Q144" s="5" t="inlineStr">
        <is>
          <t>Bradford</t>
        </is>
      </c>
      <c r="R144" s="5" t="inlineStr">
        <is>
          <t>West Yorkshire</t>
        </is>
      </c>
      <c r="S144" s="5" t="inlineStr">
        <is>
          <t>BD3 8HE</t>
        </is>
      </c>
      <c r="T144" s="5" t="inlineStr">
        <is>
          <t>Yorkshire &amp; Humber</t>
        </is>
      </c>
      <c r="U144" s="5" t="inlineStr">
        <is>
          <t>England</t>
        </is>
      </c>
      <c r="V144" s="5" t="inlineStr">
        <is>
          <t>01274 665555</t>
        </is>
      </c>
      <c r="W144" s="5" t="inlineStr"/>
      <c r="X144" s="5" t="inlineStr"/>
      <c r="Y144" s="5" t="inlineStr"/>
      <c r="Z144" s="5" t="inlineStr"/>
      <c r="AA144" s="5" t="inlineStr"/>
      <c r="AB144" s="5" t="inlineStr"/>
      <c r="AC144" s="5" t="inlineStr"/>
      <c r="AD144" s="5" t="inlineStr"/>
      <c r="AE144" s="5" t="inlineStr"/>
      <c r="AF144" s="5" t="inlineStr"/>
      <c r="AG144" s="5" t="inlineStr"/>
      <c r="AH144" s="5" t="inlineStr"/>
      <c r="AI144" s="5" t="inlineStr"/>
      <c r="AJ144" s="5" t="inlineStr"/>
      <c r="AK144" s="5" t="inlineStr">
        <is>
          <t>HMC halal meat; world foods; groceries; fresh produce</t>
        </is>
      </c>
      <c r="AL144" s="5" t="inlineStr"/>
      <c r="AM144" s="5" t="inlineStr">
        <is>
          <t>Cash &amp; Carry</t>
        </is>
      </c>
      <c r="AN144" s="5" t="inlineStr"/>
      <c r="AO144" s="5" t="inlineStr">
        <is>
          <t>Award-winning halal supermarket / cash &amp; carry. HMC lists operator as 'The Meat Company Bradford Ltd t/a SaveCo Cash &amp; Carry'; a local directory also lists 'SaveCo Cash &amp; Carry Ltd' at this address, and the webshop trades as SaveCo Online Ltd - Companies House verification of the operating entity recommended.</t>
        </is>
      </c>
      <c r="AP144" s="5" t="inlineStr">
        <is>
          <t>Medium</t>
        </is>
      </c>
      <c r="AQ144" s="5" t="inlineStr">
        <is>
          <t>Independent retailer; Core relevant category; Active website; Social presence</t>
        </is>
      </c>
      <c r="AR144" s="5" t="inlineStr">
        <is>
          <t>https://savecobradford.co.uk/</t>
        </is>
      </c>
      <c r="AS144" s="5" t="inlineStr">
        <is>
          <t>https://www.yell.com/biz/saveco-cash-and-carry-bradford-9304267/</t>
        </is>
      </c>
      <c r="AT144" s="5" t="inlineStr">
        <is>
          <t>4</t>
        </is>
      </c>
      <c r="AU144" s="5" t="inlineStr">
        <is>
          <t>No</t>
        </is>
      </c>
      <c r="AV144" s="5" t="inlineStr">
        <is>
          <t>No</t>
        </is>
      </c>
      <c r="AW144" s="5" t="inlineStr">
        <is>
          <t>No</t>
        </is>
      </c>
      <c r="AX144" s="5" t="inlineStr">
        <is>
          <t>No</t>
        </is>
      </c>
      <c r="AY144" s="5" t="inlineStr">
        <is>
          <t>Verified directory</t>
        </is>
      </c>
      <c r="AZ144" s="5" t="inlineStr">
        <is>
          <t>Website Found</t>
        </is>
      </c>
      <c r="BA144" s="5" t="inlineStr">
        <is>
          <t>2026-09-16</t>
        </is>
      </c>
      <c r="BB144" s="5" t="inlineStr">
        <is>
          <t>Requires Verification</t>
        </is>
      </c>
      <c r="BC144" s="5" t="inlineStr">
        <is>
          <t>Medium</t>
        </is>
      </c>
      <c r="BD144" s="5" t="inlineStr"/>
      <c r="BE144" s="5" t="inlineStr">
        <is>
          <t>Business (B2B)</t>
        </is>
      </c>
      <c r="BF144" s="5" t="inlineStr">
        <is>
          <t>Legitimate interest (B2B) - assess per campaign; PECR: corporate subscribers</t>
        </is>
      </c>
      <c r="BG144" s="5" t="inlineStr"/>
      <c r="BH144" s="5" t="inlineStr">
        <is>
          <t>No</t>
        </is>
      </c>
      <c r="BI144" s="5" t="inlineStr">
        <is>
          <t>2026-09-16</t>
        </is>
      </c>
      <c r="BJ144" s="5" t="inlineStr">
        <is>
          <t>New</t>
        </is>
      </c>
      <c r="BK144" s="5" t="inlineStr">
        <is>
          <t>2026-09-16</t>
        </is>
      </c>
      <c r="BL144" s="5" t="inlineStr"/>
      <c r="BM144" s="5" t="inlineStr"/>
      <c r="BN144" s="5" t="inlineStr"/>
      <c r="BO144" s="5" t="inlineStr"/>
      <c r="BP144" s="5" t="inlineStr"/>
      <c r="BQ144" s="5" t="inlineStr"/>
    </row>
    <row r="145">
      <c r="A145" s="10" t="inlineStr">
        <is>
          <t>WY-0144</t>
        </is>
      </c>
      <c r="B145" s="10" t="inlineStr">
        <is>
          <t>WY-0144-01</t>
        </is>
      </c>
      <c r="C145" s="10" t="inlineStr"/>
      <c r="D145" s="10" t="inlineStr">
        <is>
          <t>Select Newsagent</t>
        </is>
      </c>
      <c r="E145" s="10" t="inlineStr">
        <is>
          <t>Select Newsagent</t>
        </is>
      </c>
      <c r="F145" s="10" t="inlineStr"/>
      <c r="G145" s="10" t="inlineStr">
        <is>
          <t>Newsagent</t>
        </is>
      </c>
      <c r="H145" s="10" t="inlineStr">
        <is>
          <t>Newsagent and convenience store</t>
        </is>
      </c>
      <c r="I145" s="10" t="inlineStr">
        <is>
          <t>Independent</t>
        </is>
      </c>
      <c r="J145" s="10" t="inlineStr">
        <is>
          <t>1</t>
        </is>
      </c>
      <c r="K145" s="10" t="inlineStr"/>
      <c r="L145" s="10" t="inlineStr"/>
      <c r="M145" s="10" t="inlineStr"/>
      <c r="N145" s="10" t="inlineStr"/>
      <c r="O145" s="10" t="inlineStr">
        <is>
          <t>18 Lee Green</t>
        </is>
      </c>
      <c r="P145" s="10" t="inlineStr"/>
      <c r="Q145" s="10" t="inlineStr">
        <is>
          <t>Mirfield</t>
        </is>
      </c>
      <c r="R145" s="10" t="inlineStr">
        <is>
          <t>West Yorkshire</t>
        </is>
      </c>
      <c r="S145" s="10" t="inlineStr">
        <is>
          <t>WF14 0AB</t>
        </is>
      </c>
      <c r="T145" s="10" t="inlineStr">
        <is>
          <t>Yorkshire &amp; Humber</t>
        </is>
      </c>
      <c r="U145" s="10" t="inlineStr">
        <is>
          <t>England</t>
        </is>
      </c>
      <c r="V145" s="10" t="inlineStr">
        <is>
          <t>01924 695779</t>
        </is>
      </c>
      <c r="W145" s="10" t="inlineStr"/>
      <c r="X145" s="10" t="inlineStr"/>
      <c r="Y145" s="10" t="inlineStr"/>
      <c r="Z145" s="10" t="inlineStr"/>
      <c r="AA145" s="10" t="inlineStr"/>
      <c r="AB145" s="10" t="inlineStr"/>
      <c r="AC145" s="10" t="inlineStr"/>
      <c r="AD145" s="10" t="inlineStr"/>
      <c r="AE145" s="10" t="inlineStr"/>
      <c r="AF145" s="10" t="inlineStr"/>
      <c r="AG145" s="10" t="inlineStr"/>
      <c r="AH145" s="10" t="inlineStr"/>
      <c r="AI145" s="10" t="inlineStr"/>
      <c r="AJ145" s="10" t="inlineStr"/>
      <c r="AK145" s="10" t="inlineStr">
        <is>
          <t>newspapers; magazines; convenience goods; confectionery</t>
        </is>
      </c>
      <c r="AL145" s="10" t="inlineStr"/>
      <c r="AM145" s="10" t="inlineStr">
        <is>
          <t>Newsagent</t>
        </is>
      </c>
      <c r="AN145" s="10" t="inlineStr"/>
      <c r="AO145" s="10" t="inlineStr"/>
      <c r="AP145" s="10" t="inlineStr">
        <is>
          <t>Low</t>
        </is>
      </c>
      <c r="AQ145" s="10" t="inlineStr">
        <is>
          <t>Independent retailer; Relevant category</t>
        </is>
      </c>
      <c r="AR145" s="10" t="inlineStr">
        <is>
          <t>https://mirfield.cylex-uk.co.uk/company/select-newsagent-28742458.html</t>
        </is>
      </c>
      <c r="AS145" s="10" t="inlineStr">
        <is>
          <t>https://mirfield.ukintouch.com/convenience-store/select-newsagent/</t>
        </is>
      </c>
      <c r="AT145" s="10" t="inlineStr">
        <is>
          <t>2</t>
        </is>
      </c>
      <c r="AU145" s="10" t="inlineStr">
        <is>
          <t>No</t>
        </is>
      </c>
      <c r="AV145" s="10" t="inlineStr">
        <is>
          <t>No</t>
        </is>
      </c>
      <c r="AW145" s="10" t="inlineStr">
        <is>
          <t>No</t>
        </is>
      </c>
      <c r="AX145" s="10" t="inlineStr">
        <is>
          <t>No</t>
        </is>
      </c>
      <c r="AY145" s="10" t="inlineStr">
        <is>
          <t>Verified directory</t>
        </is>
      </c>
      <c r="AZ145" s="10" t="inlineStr">
        <is>
          <t>Not Found</t>
        </is>
      </c>
      <c r="BA145" s="10" t="inlineStr">
        <is>
          <t>2026-09-16</t>
        </is>
      </c>
      <c r="BB145" s="10" t="inlineStr">
        <is>
          <t>Requires Verification</t>
        </is>
      </c>
      <c r="BC145" s="10" t="inlineStr">
        <is>
          <t>Medium</t>
        </is>
      </c>
      <c r="BD145" s="10" t="inlineStr"/>
      <c r="BE145" s="10" t="inlineStr">
        <is>
          <t>Business (B2B)</t>
        </is>
      </c>
      <c r="BF145" s="10" t="inlineStr">
        <is>
          <t>Legitimate interest (B2B) - assess per campaign; PECR: corporate subscribers</t>
        </is>
      </c>
      <c r="BG145" s="10" t="inlineStr"/>
      <c r="BH145" s="10" t="inlineStr">
        <is>
          <t>No</t>
        </is>
      </c>
      <c r="BI145" s="10" t="inlineStr">
        <is>
          <t>2026-09-16</t>
        </is>
      </c>
      <c r="BJ145" s="10" t="inlineStr">
        <is>
          <t>New</t>
        </is>
      </c>
      <c r="BK145" s="10" t="inlineStr">
        <is>
          <t>2026-09-16</t>
        </is>
      </c>
      <c r="BL145" s="10" t="inlineStr"/>
      <c r="BM145" s="10" t="inlineStr"/>
      <c r="BN145" s="10" t="inlineStr"/>
      <c r="BO145" s="10" t="inlineStr"/>
      <c r="BP145" s="10" t="inlineStr"/>
      <c r="BQ145" s="10" t="inlineStr"/>
    </row>
    <row r="146">
      <c r="A146" s="5" t="inlineStr">
        <is>
          <t>WY-0145</t>
        </is>
      </c>
      <c r="B146" s="5" t="inlineStr">
        <is>
          <t>WY-0145-01</t>
        </is>
      </c>
      <c r="C146" s="5" t="inlineStr"/>
      <c r="D146" s="5" t="inlineStr">
        <is>
          <t>Shans Supermarket</t>
        </is>
      </c>
      <c r="E146" s="5" t="inlineStr">
        <is>
          <t>Shans Supermarket</t>
        </is>
      </c>
      <c r="F146" s="5" t="inlineStr"/>
      <c r="G146" s="5" t="inlineStr">
        <is>
          <t>Independent Supermarket</t>
        </is>
      </c>
      <c r="H146" s="5" t="inlineStr">
        <is>
          <t>Multicultural halal supermarket</t>
        </is>
      </c>
      <c r="I146" s="5" t="inlineStr">
        <is>
          <t>Independent</t>
        </is>
      </c>
      <c r="J146" s="5" t="inlineStr">
        <is>
          <t>1</t>
        </is>
      </c>
      <c r="K146" s="5" t="inlineStr"/>
      <c r="L146" s="5" t="inlineStr">
        <is>
          <t>https://www.facebook.com/ShansSupermarket/</t>
        </is>
      </c>
      <c r="M146" s="5" t="inlineStr"/>
      <c r="N146" s="5" t="inlineStr"/>
      <c r="O146" s="5" t="inlineStr">
        <is>
          <t>Alice Street</t>
        </is>
      </c>
      <c r="P146" s="5" t="inlineStr"/>
      <c r="Q146" s="5" t="inlineStr">
        <is>
          <t>Keighley</t>
        </is>
      </c>
      <c r="R146" s="5" t="inlineStr">
        <is>
          <t>West Yorkshire</t>
        </is>
      </c>
      <c r="S146" s="5" t="inlineStr"/>
      <c r="T146" s="5" t="inlineStr">
        <is>
          <t>Yorkshire &amp; Humber</t>
        </is>
      </c>
      <c r="U146" s="5" t="inlineStr">
        <is>
          <t>England</t>
        </is>
      </c>
      <c r="V146" s="5" t="inlineStr">
        <is>
          <t>01535 667889</t>
        </is>
      </c>
      <c r="W146" s="5" t="inlineStr"/>
      <c r="X146" s="5" t="inlineStr"/>
      <c r="Y146" s="5" t="inlineStr"/>
      <c r="Z146" s="5" t="inlineStr"/>
      <c r="AA146" s="5" t="inlineStr"/>
      <c r="AB146" s="5" t="inlineStr"/>
      <c r="AC146" s="5" t="inlineStr"/>
      <c r="AD146" s="5" t="inlineStr"/>
      <c r="AE146" s="5" t="inlineStr"/>
      <c r="AF146" s="5" t="inlineStr"/>
      <c r="AG146" s="5" t="inlineStr"/>
      <c r="AH146" s="5" t="inlineStr"/>
      <c r="AI146" s="5" t="inlineStr"/>
      <c r="AJ146" s="5" t="inlineStr"/>
      <c r="AK146" s="5" t="inlineStr">
        <is>
          <t>fresh halal meat; spices; grains; pulses; world food ingredients</t>
        </is>
      </c>
      <c r="AL146" s="5" t="inlineStr"/>
      <c r="AM146" s="5" t="inlineStr">
        <is>
          <t>Independent Supermarket</t>
        </is>
      </c>
      <c r="AN146" s="5" t="inlineStr"/>
      <c r="AO146" s="5" t="inlineStr">
        <is>
          <t>Described as Keighley's first multicultural halal supermarket, town-centre location on Alice Street.</t>
        </is>
      </c>
      <c r="AP146" s="5" t="inlineStr">
        <is>
          <t>Medium</t>
        </is>
      </c>
      <c r="AQ146" s="5" t="inlineStr">
        <is>
          <t>Independent retailer; Relevant category; Social presence</t>
        </is>
      </c>
      <c r="AR146" s="5" t="inlineStr">
        <is>
          <t>https://www.facebook.com/ShansSupermarket/</t>
        </is>
      </c>
      <c r="AS146" s="5" t="inlineStr">
        <is>
          <t>https://www.yorkshire.com/keighley/shopping/supermarkets/shans-supermarket</t>
        </is>
      </c>
      <c r="AT146" s="5" t="inlineStr">
        <is>
          <t>2</t>
        </is>
      </c>
      <c r="AU146" s="5" t="inlineStr">
        <is>
          <t>No</t>
        </is>
      </c>
      <c r="AV146" s="5" t="inlineStr">
        <is>
          <t>No</t>
        </is>
      </c>
      <c r="AW146" s="5" t="inlineStr">
        <is>
          <t>No</t>
        </is>
      </c>
      <c r="AX146" s="5" t="inlineStr">
        <is>
          <t>No</t>
        </is>
      </c>
      <c r="AY146" s="5" t="inlineStr">
        <is>
          <t>Verified directory</t>
        </is>
      </c>
      <c r="AZ146" s="5" t="inlineStr">
        <is>
          <t>Not Found</t>
        </is>
      </c>
      <c r="BA146" s="5" t="inlineStr">
        <is>
          <t>2026-09-16</t>
        </is>
      </c>
      <c r="BB146" s="5" t="inlineStr">
        <is>
          <t>Requires Verification</t>
        </is>
      </c>
      <c r="BC146" s="5" t="inlineStr">
        <is>
          <t>Medium</t>
        </is>
      </c>
      <c r="BD146" s="5" t="inlineStr"/>
      <c r="BE146" s="5" t="inlineStr">
        <is>
          <t>Business (B2B)</t>
        </is>
      </c>
      <c r="BF146" s="5" t="inlineStr">
        <is>
          <t>Legitimate interest (B2B) - assess per campaign; PECR: corporate subscribers</t>
        </is>
      </c>
      <c r="BG146" s="5" t="inlineStr"/>
      <c r="BH146" s="5" t="inlineStr">
        <is>
          <t>No</t>
        </is>
      </c>
      <c r="BI146" s="5" t="inlineStr">
        <is>
          <t>2026-09-16</t>
        </is>
      </c>
      <c r="BJ146" s="5" t="inlineStr">
        <is>
          <t>New</t>
        </is>
      </c>
      <c r="BK146" s="5" t="inlineStr">
        <is>
          <t>2026-09-16</t>
        </is>
      </c>
      <c r="BL146" s="5" t="inlineStr"/>
      <c r="BM146" s="5" t="inlineStr"/>
      <c r="BN146" s="5" t="inlineStr"/>
      <c r="BO146" s="5" t="inlineStr"/>
      <c r="BP146" s="5" t="inlineStr"/>
      <c r="BQ146" s="5" t="inlineStr"/>
    </row>
    <row r="147">
      <c r="A147" s="10" t="inlineStr">
        <is>
          <t>WY-0146</t>
        </is>
      </c>
      <c r="B147" s="10" t="inlineStr">
        <is>
          <t>WY-0146-01</t>
        </is>
      </c>
      <c r="C147" s="10" t="inlineStr"/>
      <c r="D147" s="10" t="inlineStr">
        <is>
          <t>Sheepridge Off Licence</t>
        </is>
      </c>
      <c r="E147" s="10" t="inlineStr">
        <is>
          <t>Sheepridge Off Licence</t>
        </is>
      </c>
      <c r="F147" s="10" t="inlineStr">
        <is>
          <t>Sheepridge Off Licence Limited</t>
        </is>
      </c>
      <c r="G147" s="10" t="inlineStr">
        <is>
          <t>Off-Licence</t>
        </is>
      </c>
      <c r="H147" s="10" t="inlineStr">
        <is>
          <t>Off-licence and convenience store</t>
        </is>
      </c>
      <c r="I147" s="10" t="inlineStr">
        <is>
          <t>Independent</t>
        </is>
      </c>
      <c r="J147" s="10" t="inlineStr">
        <is>
          <t>1</t>
        </is>
      </c>
      <c r="K147" s="10" t="inlineStr"/>
      <c r="L147" s="10" t="inlineStr"/>
      <c r="M147" s="10" t="inlineStr"/>
      <c r="N147" s="10" t="inlineStr"/>
      <c r="O147" s="10" t="inlineStr">
        <is>
          <t>73 Lawrence Road</t>
        </is>
      </c>
      <c r="P147" s="10" t="inlineStr"/>
      <c r="Q147" s="10" t="inlineStr">
        <is>
          <t>Huddersfield</t>
        </is>
      </c>
      <c r="R147" s="10" t="inlineStr">
        <is>
          <t>West Yorkshire</t>
        </is>
      </c>
      <c r="S147" s="10" t="inlineStr">
        <is>
          <t>HD1 4LW</t>
        </is>
      </c>
      <c r="T147" s="10" t="inlineStr">
        <is>
          <t>Yorkshire &amp; Humber</t>
        </is>
      </c>
      <c r="U147" s="10" t="inlineStr">
        <is>
          <t>England</t>
        </is>
      </c>
      <c r="V147" s="10" t="inlineStr"/>
      <c r="W147" s="10" t="inlineStr"/>
      <c r="X147" s="10" t="inlineStr"/>
      <c r="Y147" s="10" t="inlineStr"/>
      <c r="Z147" s="10" t="inlineStr"/>
      <c r="AA147" s="10" t="inlineStr"/>
      <c r="AB147" s="10" t="inlineStr"/>
      <c r="AC147" s="10" t="inlineStr"/>
      <c r="AD147" s="10" t="inlineStr"/>
      <c r="AE147" s="10" t="inlineStr"/>
      <c r="AF147" s="10" t="inlineStr"/>
      <c r="AG147" s="10" t="inlineStr"/>
      <c r="AH147" s="10" t="inlineStr"/>
      <c r="AI147" s="10" t="inlineStr"/>
      <c r="AJ147" s="10" t="inlineStr"/>
      <c r="AK147" s="10" t="inlineStr">
        <is>
          <t>alcohol; convenience goods</t>
        </is>
      </c>
      <c r="AL147" s="10" t="inlineStr"/>
      <c r="AM147" s="10" t="inlineStr">
        <is>
          <t>Off-Licence</t>
        </is>
      </c>
      <c r="AN147" s="10" t="inlineStr"/>
      <c r="AO147" s="10" t="inlineStr">
        <is>
          <t>192.com lists the business as a limited company ('Sheepridge Off Licence Limited'); Companies House record not opened so number/status not recorded.</t>
        </is>
      </c>
      <c r="AP147" s="10" t="inlineStr">
        <is>
          <t>Low</t>
        </is>
      </c>
      <c r="AQ147" s="10" t="inlineStr">
        <is>
          <t>Independent retailer; Relevant category</t>
        </is>
      </c>
      <c r="AR147" s="10" t="inlineStr">
        <is>
          <t>https://www.192.com/atoz/business/huddersfield-hd1/convenience-stores/sheepridge-off-licence-limited/bfc32af555a5eed742b2bfb4d8a2acd75ab80d62/comp/</t>
        </is>
      </c>
      <c r="AS147" s="10" t="inlineStr"/>
      <c r="AT147" s="10" t="inlineStr">
        <is>
          <t>1</t>
        </is>
      </c>
      <c r="AU147" s="10" t="inlineStr">
        <is>
          <t>No</t>
        </is>
      </c>
      <c r="AV147" s="10" t="inlineStr">
        <is>
          <t>No</t>
        </is>
      </c>
      <c r="AW147" s="10" t="inlineStr">
        <is>
          <t>No</t>
        </is>
      </c>
      <c r="AX147" s="10" t="inlineStr">
        <is>
          <t>No</t>
        </is>
      </c>
      <c r="AY147" s="10" t="inlineStr">
        <is>
          <t>Not Found</t>
        </is>
      </c>
      <c r="AZ147" s="10" t="inlineStr">
        <is>
          <t>Not Found</t>
        </is>
      </c>
      <c r="BA147" s="10" t="inlineStr">
        <is>
          <t>2026-09-16</t>
        </is>
      </c>
      <c r="BB147" s="10" t="inlineStr">
        <is>
          <t>Requires Verification</t>
        </is>
      </c>
      <c r="BC147" s="10" t="inlineStr">
        <is>
          <t>Low</t>
        </is>
      </c>
      <c r="BD147" s="10" t="inlineStr"/>
      <c r="BE147" s="10" t="inlineStr">
        <is>
          <t>Business (B2B)</t>
        </is>
      </c>
      <c r="BF147" s="10" t="inlineStr">
        <is>
          <t>Legitimate interest (B2B) - assess per campaign; PECR: corporate subscribers</t>
        </is>
      </c>
      <c r="BG147" s="10" t="inlineStr"/>
      <c r="BH147" s="10" t="inlineStr">
        <is>
          <t>No</t>
        </is>
      </c>
      <c r="BI147" s="10" t="inlineStr">
        <is>
          <t>2026-09-16</t>
        </is>
      </c>
      <c r="BJ147" s="10" t="inlineStr">
        <is>
          <t>New</t>
        </is>
      </c>
      <c r="BK147" s="10" t="inlineStr">
        <is>
          <t>2026-09-16</t>
        </is>
      </c>
      <c r="BL147" s="10" t="inlineStr"/>
      <c r="BM147" s="10" t="inlineStr"/>
      <c r="BN147" s="10" t="inlineStr"/>
      <c r="BO147" s="10" t="inlineStr"/>
      <c r="BP147" s="10" t="inlineStr"/>
      <c r="BQ147" s="10" t="inlineStr"/>
    </row>
    <row r="148">
      <c r="A148" s="5" t="inlineStr">
        <is>
          <t>WY-0147</t>
        </is>
      </c>
      <c r="B148" s="5" t="inlineStr">
        <is>
          <t>WY-0147-01</t>
        </is>
      </c>
      <c r="C148" s="5" t="inlineStr"/>
      <c r="D148" s="5" t="inlineStr">
        <is>
          <t>Shoesmiths Tobacconist</t>
        </is>
      </c>
      <c r="E148" s="5" t="inlineStr">
        <is>
          <t>Totally Wicked at Shoesmiths</t>
        </is>
      </c>
      <c r="F148" s="5" t="inlineStr"/>
      <c r="G148" s="5" t="inlineStr">
        <is>
          <t>Tobacco Specialist</t>
        </is>
      </c>
      <c r="H148" s="5" t="inlineStr">
        <is>
          <t>Traditional tobacconist and cigar shop</t>
        </is>
      </c>
      <c r="I148" s="5" t="inlineStr">
        <is>
          <t>Independent</t>
        </is>
      </c>
      <c r="J148" s="5" t="inlineStr">
        <is>
          <t>1</t>
        </is>
      </c>
      <c r="K148" s="5" t="inlineStr"/>
      <c r="L148" s="5" t="inlineStr">
        <is>
          <t>https://www.facebook.com/shoesmiths/</t>
        </is>
      </c>
      <c r="M148" s="5" t="inlineStr"/>
      <c r="N148" s="5" t="inlineStr"/>
      <c r="O148" s="5" t="inlineStr">
        <is>
          <t>65 Commercial Street</t>
        </is>
      </c>
      <c r="P148" s="5" t="inlineStr"/>
      <c r="Q148" s="5" t="inlineStr">
        <is>
          <t>Halifax</t>
        </is>
      </c>
      <c r="R148" s="5" t="inlineStr">
        <is>
          <t>West Yorkshire</t>
        </is>
      </c>
      <c r="S148" s="5" t="inlineStr">
        <is>
          <t>HX1 1BE</t>
        </is>
      </c>
      <c r="T148" s="5" t="inlineStr">
        <is>
          <t>Yorkshire &amp; Humber</t>
        </is>
      </c>
      <c r="U148" s="5" t="inlineStr">
        <is>
          <t>England</t>
        </is>
      </c>
      <c r="V148" s="5" t="inlineStr"/>
      <c r="W148" s="5" t="inlineStr"/>
      <c r="X148" s="5" t="inlineStr"/>
      <c r="Y148" s="5" t="inlineStr"/>
      <c r="Z148" s="5" t="inlineStr"/>
      <c r="AA148" s="5" t="inlineStr"/>
      <c r="AB148" s="5" t="inlineStr"/>
      <c r="AC148" s="5" t="inlineStr"/>
      <c r="AD148" s="5" t="inlineStr"/>
      <c r="AE148" s="5" t="inlineStr"/>
      <c r="AF148" s="5" t="inlineStr"/>
      <c r="AG148" s="5" t="inlineStr"/>
      <c r="AH148" s="5" t="inlineStr"/>
      <c r="AI148" s="5" t="inlineStr"/>
      <c r="AJ148" s="5" t="inlineStr">
        <is>
          <t>Totally Wicked</t>
        </is>
      </c>
      <c r="AK148" s="5" t="inlineStr">
        <is>
          <t>tobacco; cigars; vape hardware; e-liquids</t>
        </is>
      </c>
      <c r="AL148" s="5" t="inlineStr"/>
      <c r="AM148" s="5" t="inlineStr">
        <is>
          <t>Tobacco Specialist</t>
        </is>
      </c>
      <c r="AN148" s="5" t="inlineStr">
        <is>
          <t>Authorised Totally Wicked stockist</t>
        </is>
      </c>
      <c r="AO148" s="5" t="inlineStr">
        <is>
          <t>Long-established traditional tobacconist next to the Victoria Theatre; Facebook page branded 'Totally Wicked at Shoesmiths'. eCig Directory lists 'Smokers D'Lite' vape business at the same address (65 Commercial Street), likely a counter within or a former name.</t>
        </is>
      </c>
      <c r="AP148" s="5" t="inlineStr">
        <is>
          <t>Medium</t>
        </is>
      </c>
      <c r="AQ148" s="5" t="inlineStr">
        <is>
          <t>Independent retailer; Core relevant category; Social presence</t>
        </is>
      </c>
      <c r="AR148" s="5" t="inlineStr">
        <is>
          <t>https://www.facebook.com/shoesmiths/</t>
        </is>
      </c>
      <c r="AS148" s="5" t="inlineStr">
        <is>
          <t>https://www.bigreddirectory.com/shoesmiths-tobacconist-halifax</t>
        </is>
      </c>
      <c r="AT148" s="5" t="inlineStr">
        <is>
          <t>3</t>
        </is>
      </c>
      <c r="AU148" s="5" t="inlineStr">
        <is>
          <t>No</t>
        </is>
      </c>
      <c r="AV148" s="5" t="inlineStr">
        <is>
          <t>No</t>
        </is>
      </c>
      <c r="AW148" s="5" t="inlineStr">
        <is>
          <t>No</t>
        </is>
      </c>
      <c r="AX148" s="5" t="inlineStr">
        <is>
          <t>No</t>
        </is>
      </c>
      <c r="AY148" s="5" t="inlineStr">
        <is>
          <t>Not Found</t>
        </is>
      </c>
      <c r="AZ148" s="5" t="inlineStr">
        <is>
          <t>Not Found</t>
        </is>
      </c>
      <c r="BA148" s="5" t="inlineStr">
        <is>
          <t>2026-09-16</t>
        </is>
      </c>
      <c r="BB148" s="5" t="inlineStr">
        <is>
          <t>Requires Verification</t>
        </is>
      </c>
      <c r="BC148" s="5" t="inlineStr">
        <is>
          <t>Medium</t>
        </is>
      </c>
      <c r="BD148" s="5" t="inlineStr"/>
      <c r="BE148" s="5" t="inlineStr">
        <is>
          <t>Business (B2B)</t>
        </is>
      </c>
      <c r="BF148" s="5" t="inlineStr">
        <is>
          <t>Legitimate interest (B2B) - assess per campaign; PECR: corporate subscribers</t>
        </is>
      </c>
      <c r="BG148" s="5" t="inlineStr"/>
      <c r="BH148" s="5" t="inlineStr">
        <is>
          <t>No</t>
        </is>
      </c>
      <c r="BI148" s="5" t="inlineStr">
        <is>
          <t>2026-09-16</t>
        </is>
      </c>
      <c r="BJ148" s="5" t="inlineStr">
        <is>
          <t>New</t>
        </is>
      </c>
      <c r="BK148" s="5" t="inlineStr">
        <is>
          <t>2026-09-16</t>
        </is>
      </c>
      <c r="BL148" s="5" t="inlineStr"/>
      <c r="BM148" s="5" t="inlineStr"/>
      <c r="BN148" s="5" t="inlineStr"/>
      <c r="BO148" s="5" t="inlineStr"/>
      <c r="BP148" s="5" t="inlineStr"/>
      <c r="BQ148" s="5" t="inlineStr"/>
    </row>
    <row r="149">
      <c r="A149" s="10" t="inlineStr">
        <is>
          <t>WY-0148</t>
        </is>
      </c>
      <c r="B149" s="10" t="inlineStr">
        <is>
          <t>WY-0148-01</t>
        </is>
      </c>
      <c r="C149" s="10" t="inlineStr"/>
      <c r="D149" s="10" t="inlineStr">
        <is>
          <t>Smoke-King Tobacconist</t>
        </is>
      </c>
      <c r="E149" s="10" t="inlineStr">
        <is>
          <t>Smoke-King</t>
        </is>
      </c>
      <c r="F149" s="10" t="inlineStr"/>
      <c r="G149" s="10" t="inlineStr">
        <is>
          <t>Tobacco Specialist</t>
        </is>
      </c>
      <c r="H149" s="10" t="inlineStr">
        <is>
          <t>Tobacconist - cigars, pipes, tobacco, online store</t>
        </is>
      </c>
      <c r="I149" s="10" t="inlineStr">
        <is>
          <t>Independent</t>
        </is>
      </c>
      <c r="J149" s="10" t="inlineStr">
        <is>
          <t>1</t>
        </is>
      </c>
      <c r="K149" s="10" t="inlineStr">
        <is>
          <t>https://www.smoke-king.co.uk/</t>
        </is>
      </c>
      <c r="L149" s="10" t="inlineStr">
        <is>
          <t>https://www.facebook.com/smokekinguk/</t>
        </is>
      </c>
      <c r="M149" s="10" t="inlineStr"/>
      <c r="N149" s="10" t="inlineStr"/>
      <c r="O149" s="10" t="inlineStr">
        <is>
          <t>Unit E2, Otley Mills</t>
        </is>
      </c>
      <c r="P149" s="10" t="inlineStr">
        <is>
          <t>Ilkley Road</t>
        </is>
      </c>
      <c r="Q149" s="10" t="inlineStr">
        <is>
          <t>Otley</t>
        </is>
      </c>
      <c r="R149" s="10" t="inlineStr">
        <is>
          <t>West Yorkshire</t>
        </is>
      </c>
      <c r="S149" s="10" t="inlineStr">
        <is>
          <t>LS21 3EE</t>
        </is>
      </c>
      <c r="T149" s="10" t="inlineStr">
        <is>
          <t>Yorkshire &amp; Humber</t>
        </is>
      </c>
      <c r="U149" s="10" t="inlineStr">
        <is>
          <t>England</t>
        </is>
      </c>
      <c r="V149" s="10" t="inlineStr">
        <is>
          <t>0113 217 7723</t>
        </is>
      </c>
      <c r="W149" s="10" t="inlineStr"/>
      <c r="X149" s="10" t="inlineStr"/>
      <c r="Y149" s="10" t="inlineStr">
        <is>
          <t>enquiries@smoke-king.co.uk</t>
        </is>
      </c>
      <c r="Z149" s="10" t="inlineStr"/>
      <c r="AA149" s="10" t="inlineStr"/>
      <c r="AB149" s="10" t="inlineStr"/>
      <c r="AC149" s="10" t="inlineStr"/>
      <c r="AD149" s="10" t="inlineStr"/>
      <c r="AE149" s="10" t="inlineStr"/>
      <c r="AF149" s="10" t="inlineStr"/>
      <c r="AG149" s="10" t="inlineStr"/>
      <c r="AH149" s="10" t="inlineStr"/>
      <c r="AI149" s="10" t="inlineStr"/>
      <c r="AJ149" s="10" t="inlineStr"/>
      <c r="AK149" s="10" t="inlineStr">
        <is>
          <t>cigars; cigarettes; pipe tobacco; smoking accessories</t>
        </is>
      </c>
      <c r="AL149" s="10" t="inlineStr"/>
      <c r="AM149" s="10" t="inlineStr">
        <is>
          <t>Tobacco Specialist</t>
        </is>
      </c>
      <c r="AN149" s="10" t="inlineStr"/>
      <c r="AO149" s="10" t="inlineStr">
        <is>
          <t>Founded 1989 as Greens of Leeds on The Headrow; now trades from a showroom at Otley Mills (inside Barber &amp; Bennett) plus a large online store. Showroom open Tue-Sat 11:00-15:00.</t>
        </is>
      </c>
      <c r="AP149" s="10" t="inlineStr">
        <is>
          <t>High</t>
        </is>
      </c>
      <c r="AQ149" s="10" t="inlineStr">
        <is>
          <t>Independent retailer; Core relevant category; Public email available; Active website; Social presence</t>
        </is>
      </c>
      <c r="AR149" s="10" t="inlineStr">
        <is>
          <t>https://www.smoke-king.co.uk/pages/tobacconist-in-otley</t>
        </is>
      </c>
      <c r="AS149" s="10" t="inlineStr">
        <is>
          <t>https://www.smoke-king.co.uk/pages/contact</t>
        </is>
      </c>
      <c r="AT149" s="10" t="inlineStr">
        <is>
          <t>4</t>
        </is>
      </c>
      <c r="AU149" s="10" t="inlineStr">
        <is>
          <t>No</t>
        </is>
      </c>
      <c r="AV149" s="10" t="inlineStr">
        <is>
          <t>No</t>
        </is>
      </c>
      <c r="AW149" s="10" t="inlineStr">
        <is>
          <t>Yes</t>
        </is>
      </c>
      <c r="AX149" s="10" t="inlineStr">
        <is>
          <t>No</t>
        </is>
      </c>
      <c r="AY149" s="10" t="inlineStr">
        <is>
          <t>Verified directory</t>
        </is>
      </c>
      <c r="AZ149" s="10" t="inlineStr">
        <is>
          <t>Website Found</t>
        </is>
      </c>
      <c r="BA149" s="10" t="inlineStr">
        <is>
          <t>2026-09-16</t>
        </is>
      </c>
      <c r="BB149" s="10" t="inlineStr">
        <is>
          <t>Partially Verified</t>
        </is>
      </c>
      <c r="BC149" s="10" t="inlineStr">
        <is>
          <t>Medium</t>
        </is>
      </c>
      <c r="BD149" s="10" t="inlineStr"/>
      <c r="BE149" s="10" t="inlineStr">
        <is>
          <t>Business (B2B)</t>
        </is>
      </c>
      <c r="BF149" s="10" t="inlineStr">
        <is>
          <t>Legitimate interest (B2B) - assess per campaign; PECR: corporate subscribers</t>
        </is>
      </c>
      <c r="BG149" s="10" t="inlineStr"/>
      <c r="BH149" s="10" t="inlineStr">
        <is>
          <t>No</t>
        </is>
      </c>
      <c r="BI149" s="10" t="inlineStr">
        <is>
          <t>2026-09-16</t>
        </is>
      </c>
      <c r="BJ149" s="10" t="inlineStr">
        <is>
          <t>New</t>
        </is>
      </c>
      <c r="BK149" s="10" t="inlineStr">
        <is>
          <t>2026-09-16</t>
        </is>
      </c>
      <c r="BL149" s="10" t="inlineStr"/>
      <c r="BM149" s="10" t="inlineStr"/>
      <c r="BN149" s="10" t="inlineStr"/>
      <c r="BO149" s="10" t="inlineStr"/>
      <c r="BP149" s="10" t="inlineStr"/>
      <c r="BQ149" s="10" t="inlineStr"/>
    </row>
    <row r="150">
      <c r="A150" s="5" t="inlineStr">
        <is>
          <t>WY-0149</t>
        </is>
      </c>
      <c r="B150" s="5" t="inlineStr">
        <is>
          <t>WY-0149-01</t>
        </is>
      </c>
      <c r="C150" s="5" t="inlineStr"/>
      <c r="D150" s="5" t="inlineStr">
        <is>
          <t>Smokers D'Lite</t>
        </is>
      </c>
      <c r="E150" s="5" t="inlineStr">
        <is>
          <t>Smokers D'Lite</t>
        </is>
      </c>
      <c r="F150" s="5" t="inlineStr"/>
      <c r="G150" s="5" t="inlineStr">
        <is>
          <t>Vape Shop</t>
        </is>
      </c>
      <c r="H150" s="5" t="inlineStr">
        <is>
          <t>Vape and smoking accessories</t>
        </is>
      </c>
      <c r="I150" s="5" t="inlineStr">
        <is>
          <t>Independent</t>
        </is>
      </c>
      <c r="J150" s="5" t="inlineStr">
        <is>
          <t>1</t>
        </is>
      </c>
      <c r="K150" s="5" t="inlineStr"/>
      <c r="L150" s="5" t="inlineStr"/>
      <c r="M150" s="5" t="inlineStr"/>
      <c r="N150" s="5" t="inlineStr"/>
      <c r="O150" s="5" t="inlineStr">
        <is>
          <t>20 Thorntons Arcade</t>
        </is>
      </c>
      <c r="P150" s="5" t="inlineStr">
        <is>
          <t>City Centre</t>
        </is>
      </c>
      <c r="Q150" s="5" t="inlineStr">
        <is>
          <t>Leeds</t>
        </is>
      </c>
      <c r="R150" s="5" t="inlineStr">
        <is>
          <t>West Yorkshire</t>
        </is>
      </c>
      <c r="S150" s="5" t="inlineStr">
        <is>
          <t>LS1 6LQ</t>
        </is>
      </c>
      <c r="T150" s="5" t="inlineStr">
        <is>
          <t>Yorkshire &amp; Humber</t>
        </is>
      </c>
      <c r="U150" s="5" t="inlineStr">
        <is>
          <t>England</t>
        </is>
      </c>
      <c r="V150" s="5" t="inlineStr"/>
      <c r="W150" s="5" t="inlineStr"/>
      <c r="X150" s="5" t="inlineStr"/>
      <c r="Y150" s="5" t="inlineStr"/>
      <c r="Z150" s="5" t="inlineStr"/>
      <c r="AA150" s="5" t="inlineStr"/>
      <c r="AB150" s="5" t="inlineStr"/>
      <c r="AC150" s="5" t="inlineStr"/>
      <c r="AD150" s="5" t="inlineStr"/>
      <c r="AE150" s="5" t="inlineStr"/>
      <c r="AF150" s="5" t="inlineStr"/>
      <c r="AG150" s="5" t="inlineStr"/>
      <c r="AH150" s="5" t="inlineStr"/>
      <c r="AI150" s="5" t="inlineStr"/>
      <c r="AJ150" s="5" t="inlineStr"/>
      <c r="AK150" s="5" t="inlineStr">
        <is>
          <t>vape hardware; e-liquids; smoking accessories</t>
        </is>
      </c>
      <c r="AL150" s="5" t="inlineStr"/>
      <c r="AM150" s="5" t="inlineStr">
        <is>
          <t>Vape Shop</t>
        </is>
      </c>
      <c r="AN150" s="5" t="inlineStr"/>
      <c r="AO150" s="5" t="inlineStr">
        <is>
          <t>Long-standing city-centre vape/smoking accessories shop in Thorntons Arcade; listed as a verified shop on eCig Directory UK's Leeds network page.</t>
        </is>
      </c>
      <c r="AP150" s="5" t="inlineStr">
        <is>
          <t>Medium</t>
        </is>
      </c>
      <c r="AQ150" s="5" t="inlineStr">
        <is>
          <t>Independent retailer; Core relevant category</t>
        </is>
      </c>
      <c r="AR150" s="5" t="inlineStr">
        <is>
          <t>https://ecigdirectory.co.uk/vape-shop-leeds/</t>
        </is>
      </c>
      <c r="AS150" s="5" t="inlineStr">
        <is>
          <t>https://www.vaporl.com/vape-store-in-leeds-find-an-electronic-cigarette-near-by</t>
        </is>
      </c>
      <c r="AT150" s="5" t="inlineStr">
        <is>
          <t>2</t>
        </is>
      </c>
      <c r="AU150" s="5" t="inlineStr">
        <is>
          <t>No</t>
        </is>
      </c>
      <c r="AV150" s="5" t="inlineStr">
        <is>
          <t>No</t>
        </is>
      </c>
      <c r="AW150" s="5" t="inlineStr">
        <is>
          <t>No</t>
        </is>
      </c>
      <c r="AX150" s="5" t="inlineStr">
        <is>
          <t>No</t>
        </is>
      </c>
      <c r="AY150" s="5" t="inlineStr">
        <is>
          <t>Not Found</t>
        </is>
      </c>
      <c r="AZ150" s="5" t="inlineStr">
        <is>
          <t>Not Found</t>
        </is>
      </c>
      <c r="BA150" s="5" t="inlineStr">
        <is>
          <t>2026-09-16</t>
        </is>
      </c>
      <c r="BB150" s="5" t="inlineStr">
        <is>
          <t>Requires Verification</t>
        </is>
      </c>
      <c r="BC150" s="5" t="inlineStr">
        <is>
          <t>Low</t>
        </is>
      </c>
      <c r="BD150" s="5" t="inlineStr"/>
      <c r="BE150" s="5" t="inlineStr">
        <is>
          <t>Business (B2B)</t>
        </is>
      </c>
      <c r="BF150" s="5" t="inlineStr">
        <is>
          <t>Legitimate interest (B2B) - assess per campaign; PECR: corporate subscribers</t>
        </is>
      </c>
      <c r="BG150" s="5" t="inlineStr"/>
      <c r="BH150" s="5" t="inlineStr">
        <is>
          <t>No</t>
        </is>
      </c>
      <c r="BI150" s="5" t="inlineStr">
        <is>
          <t>2026-09-16</t>
        </is>
      </c>
      <c r="BJ150" s="5" t="inlineStr">
        <is>
          <t>New</t>
        </is>
      </c>
      <c r="BK150" s="5" t="inlineStr">
        <is>
          <t>2026-09-16</t>
        </is>
      </c>
      <c r="BL150" s="5" t="inlineStr"/>
      <c r="BM150" s="5" t="inlineStr"/>
      <c r="BN150" s="5" t="inlineStr"/>
      <c r="BO150" s="5" t="inlineStr"/>
      <c r="BP150" s="5" t="inlineStr"/>
      <c r="BQ150" s="5" t="inlineStr"/>
    </row>
    <row r="151">
      <c r="A151" s="10" t="inlineStr">
        <is>
          <t>WY-0150</t>
        </is>
      </c>
      <c r="B151" s="10" t="inlineStr">
        <is>
          <t>WY-0150-01</t>
        </is>
      </c>
      <c r="C151" s="10" t="inlineStr"/>
      <c r="D151" s="10" t="inlineStr">
        <is>
          <t>Somers of Keighley</t>
        </is>
      </c>
      <c r="E151" s="10" t="inlineStr">
        <is>
          <t>Somers Tobacconists</t>
        </is>
      </c>
      <c r="F151" s="10" t="inlineStr"/>
      <c r="G151" s="10" t="inlineStr">
        <is>
          <t>Tobacco Specialist</t>
        </is>
      </c>
      <c r="H151" s="10" t="inlineStr">
        <is>
          <t>Traditional tobacconist</t>
        </is>
      </c>
      <c r="I151" s="10" t="inlineStr">
        <is>
          <t>Independent</t>
        </is>
      </c>
      <c r="J151" s="10" t="inlineStr">
        <is>
          <t>1</t>
        </is>
      </c>
      <c r="K151" s="10" t="inlineStr"/>
      <c r="L151" s="10" t="inlineStr"/>
      <c r="M151" s="10" t="inlineStr"/>
      <c r="N151" s="10" t="inlineStr"/>
      <c r="O151" s="10" t="inlineStr">
        <is>
          <t>1 Bow Street</t>
        </is>
      </c>
      <c r="P151" s="10" t="inlineStr"/>
      <c r="Q151" s="10" t="inlineStr">
        <is>
          <t>Keighley</t>
        </is>
      </c>
      <c r="R151" s="10" t="inlineStr">
        <is>
          <t>West Yorkshire</t>
        </is>
      </c>
      <c r="S151" s="10" t="inlineStr">
        <is>
          <t>BD21 3PB</t>
        </is>
      </c>
      <c r="T151" s="10" t="inlineStr">
        <is>
          <t>Yorkshire &amp; Humber</t>
        </is>
      </c>
      <c r="U151" s="10" t="inlineStr">
        <is>
          <t>England</t>
        </is>
      </c>
      <c r="V151" s="10" t="inlineStr">
        <is>
          <t>01535 604678</t>
        </is>
      </c>
      <c r="W151" s="10" t="inlineStr"/>
      <c r="X151" s="10" t="inlineStr"/>
      <c r="Y151" s="10" t="inlineStr"/>
      <c r="Z151" s="10" t="inlineStr"/>
      <c r="AA151" s="10" t="inlineStr"/>
      <c r="AB151" s="10" t="inlineStr"/>
      <c r="AC151" s="10" t="inlineStr"/>
      <c r="AD151" s="10" t="inlineStr"/>
      <c r="AE151" s="10" t="inlineStr"/>
      <c r="AF151" s="10" t="inlineStr"/>
      <c r="AG151" s="10" t="inlineStr"/>
      <c r="AH151" s="10" t="inlineStr"/>
      <c r="AI151" s="10" t="inlineStr"/>
      <c r="AJ151" s="10" t="inlineStr"/>
      <c r="AK151" s="10" t="inlineStr">
        <is>
          <t>tobacco; cigars; smoking accessories</t>
        </is>
      </c>
      <c r="AL151" s="10" t="inlineStr"/>
      <c r="AM151" s="10" t="inlineStr">
        <is>
          <t>Tobacco Specialist</t>
        </is>
      </c>
      <c r="AN151" s="10" t="inlineStr"/>
      <c r="AO151" s="10" t="inlineStr">
        <is>
          <t>Long-standing specialist tobacconist in Keighley town centre; address and phone consistent across Yelp, Cylex and Citikey listings.</t>
        </is>
      </c>
      <c r="AP151" s="10" t="inlineStr">
        <is>
          <t>Medium</t>
        </is>
      </c>
      <c r="AQ151" s="10" t="inlineStr">
        <is>
          <t>Independent retailer; Core relevant category</t>
        </is>
      </c>
      <c r="AR151" s="10" t="inlineStr">
        <is>
          <t>https://www.yelp.com/biz/somers-of-keighley-keighley</t>
        </is>
      </c>
      <c r="AS151" s="10" t="inlineStr">
        <is>
          <t>https://keighley.cylex-uk.co.uk/company/somers-of-keighley-13656771.html</t>
        </is>
      </c>
      <c r="AT151" s="10" t="inlineStr">
        <is>
          <t>3</t>
        </is>
      </c>
      <c r="AU151" s="10" t="inlineStr">
        <is>
          <t>No</t>
        </is>
      </c>
      <c r="AV151" s="10" t="inlineStr">
        <is>
          <t>No</t>
        </is>
      </c>
      <c r="AW151" s="10" t="inlineStr">
        <is>
          <t>No</t>
        </is>
      </c>
      <c r="AX151" s="10" t="inlineStr">
        <is>
          <t>No</t>
        </is>
      </c>
      <c r="AY151" s="10" t="inlineStr">
        <is>
          <t>Verified directory</t>
        </is>
      </c>
      <c r="AZ151" s="10" t="inlineStr">
        <is>
          <t>Not Found</t>
        </is>
      </c>
      <c r="BA151" s="10" t="inlineStr">
        <is>
          <t>2026-09-16</t>
        </is>
      </c>
      <c r="BB151" s="10" t="inlineStr">
        <is>
          <t>Requires Verification</t>
        </is>
      </c>
      <c r="BC151" s="10" t="inlineStr">
        <is>
          <t>Medium</t>
        </is>
      </c>
      <c r="BD151" s="10" t="inlineStr"/>
      <c r="BE151" s="10" t="inlineStr">
        <is>
          <t>Business (B2B)</t>
        </is>
      </c>
      <c r="BF151" s="10" t="inlineStr">
        <is>
          <t>Legitimate interest (B2B) - assess per campaign; PECR: corporate subscribers</t>
        </is>
      </c>
      <c r="BG151" s="10" t="inlineStr"/>
      <c r="BH151" s="10" t="inlineStr">
        <is>
          <t>No</t>
        </is>
      </c>
      <c r="BI151" s="10" t="inlineStr">
        <is>
          <t>2026-09-16</t>
        </is>
      </c>
      <c r="BJ151" s="10" t="inlineStr">
        <is>
          <t>New</t>
        </is>
      </c>
      <c r="BK151" s="10" t="inlineStr">
        <is>
          <t>2026-09-16</t>
        </is>
      </c>
      <c r="BL151" s="10" t="inlineStr"/>
      <c r="BM151" s="10" t="inlineStr"/>
      <c r="BN151" s="10" t="inlineStr"/>
      <c r="BO151" s="10" t="inlineStr"/>
      <c r="BP151" s="10" t="inlineStr"/>
      <c r="BQ151" s="10" t="inlineStr"/>
    </row>
    <row r="152">
      <c r="A152" s="5" t="inlineStr">
        <is>
          <t>WY-0151</t>
        </is>
      </c>
      <c r="B152" s="5" t="inlineStr">
        <is>
          <t>WY-0151-01</t>
        </is>
      </c>
      <c r="C152" s="5" t="inlineStr"/>
      <c r="D152" s="5" t="inlineStr">
        <is>
          <t>Soothill Convenience Store &amp; Off Licence</t>
        </is>
      </c>
      <c r="E152" s="5" t="inlineStr">
        <is>
          <t>Soothill Convenience Store &amp; Off Licence</t>
        </is>
      </c>
      <c r="F152" s="5" t="inlineStr">
        <is>
          <t>Soothill Convenience Store &amp; Off Licence Limited</t>
        </is>
      </c>
      <c r="G152" s="5" t="inlineStr">
        <is>
          <t>Convenience Store</t>
        </is>
      </c>
      <c r="H152" s="5" t="inlineStr">
        <is>
          <t>Convenience store and off-licence</t>
        </is>
      </c>
      <c r="I152" s="5" t="inlineStr">
        <is>
          <t>Independent</t>
        </is>
      </c>
      <c r="J152" s="5" t="inlineStr">
        <is>
          <t>1</t>
        </is>
      </c>
      <c r="K152" s="5" t="inlineStr"/>
      <c r="L152" s="5" t="inlineStr"/>
      <c r="M152" s="5" t="inlineStr"/>
      <c r="N152" s="5" t="inlineStr"/>
      <c r="O152" s="5" t="inlineStr"/>
      <c r="P152" s="5" t="inlineStr">
        <is>
          <t>Soothill</t>
        </is>
      </c>
      <c r="Q152" s="5" t="inlineStr">
        <is>
          <t>Batley</t>
        </is>
      </c>
      <c r="R152" s="5" t="inlineStr">
        <is>
          <t>West Yorkshire</t>
        </is>
      </c>
      <c r="S152" s="5" t="inlineStr"/>
      <c r="T152" s="5" t="inlineStr">
        <is>
          <t>Yorkshire &amp; Humber</t>
        </is>
      </c>
      <c r="U152" s="5" t="inlineStr">
        <is>
          <t>England</t>
        </is>
      </c>
      <c r="V152" s="5" t="inlineStr"/>
      <c r="W152" s="5" t="inlineStr"/>
      <c r="X152" s="5" t="inlineStr"/>
      <c r="Y152" s="5" t="inlineStr"/>
      <c r="Z152" s="5" t="inlineStr"/>
      <c r="AA152" s="5" t="inlineStr"/>
      <c r="AB152" s="5" t="inlineStr"/>
      <c r="AC152" s="5" t="inlineStr"/>
      <c r="AD152" s="5" t="inlineStr"/>
      <c r="AE152" s="5" t="inlineStr">
        <is>
          <t>11966163</t>
        </is>
      </c>
      <c r="AF152" s="5" t="inlineStr"/>
      <c r="AG152" s="5" t="inlineStr">
        <is>
          <t>SOOTHILL CONVENIENCE STORE &amp; OFF LICENCE LIMITED</t>
        </is>
      </c>
      <c r="AH152" s="5" t="inlineStr"/>
      <c r="AI152" s="5" t="inlineStr"/>
      <c r="AJ152" s="5" t="inlineStr"/>
      <c r="AK152" s="5" t="inlineStr">
        <is>
          <t>convenience goods; alcohol</t>
        </is>
      </c>
      <c r="AL152" s="5" t="inlineStr"/>
      <c r="AM152" s="5" t="inlineStr">
        <is>
          <t>Convenience Store</t>
        </is>
      </c>
      <c r="AN152" s="5" t="inlineStr"/>
      <c r="AO152" s="5" t="inlineStr">
        <is>
          <t>Registered company found via Companies House search results; a store at 25a Grace Leather Lane, Soothill WF17 6PP appears in directories but was not confirmed as this company's trading address, so left blank.</t>
        </is>
      </c>
      <c r="AP152" s="5" t="inlineStr">
        <is>
          <t>Low</t>
        </is>
      </c>
      <c r="AQ152" s="5" t="inlineStr">
        <is>
          <t>Independent retailer; Relevant category</t>
        </is>
      </c>
      <c r="AR152" s="5" t="inlineStr">
        <is>
          <t>https://find-and-update.company-information.service.gov.uk/company/11966163/persons-with-significant-control</t>
        </is>
      </c>
      <c r="AS152" s="5" t="inlineStr">
        <is>
          <t>https://open.endole.co.uk/insight/company/11966163-soothill-convenience-store-off-licence-limited</t>
        </is>
      </c>
      <c r="AT152" s="5" t="inlineStr">
        <is>
          <t>2</t>
        </is>
      </c>
      <c r="AU152" s="5" t="inlineStr">
        <is>
          <t>No</t>
        </is>
      </c>
      <c r="AV152" s="5" t="inlineStr">
        <is>
          <t>No</t>
        </is>
      </c>
      <c r="AW152" s="5" t="inlineStr">
        <is>
          <t>No</t>
        </is>
      </c>
      <c r="AX152" s="5" t="inlineStr">
        <is>
          <t>No</t>
        </is>
      </c>
      <c r="AY152" s="5" t="inlineStr">
        <is>
          <t>Not Found</t>
        </is>
      </c>
      <c r="AZ152" s="5" t="inlineStr">
        <is>
          <t>Not Found</t>
        </is>
      </c>
      <c r="BA152" s="5" t="inlineStr">
        <is>
          <t>2026-09-16</t>
        </is>
      </c>
      <c r="BB152" s="5" t="inlineStr">
        <is>
          <t>Requires Verification</t>
        </is>
      </c>
      <c r="BC152" s="5" t="inlineStr">
        <is>
          <t>Low</t>
        </is>
      </c>
      <c r="BD152" s="5" t="inlineStr"/>
      <c r="BE152" s="5" t="inlineStr">
        <is>
          <t>Business (B2B)</t>
        </is>
      </c>
      <c r="BF152" s="5" t="inlineStr">
        <is>
          <t>Legitimate interest (B2B) - assess per campaign; PECR: corporate subscribers</t>
        </is>
      </c>
      <c r="BG152" s="5" t="inlineStr"/>
      <c r="BH152" s="5" t="inlineStr">
        <is>
          <t>No</t>
        </is>
      </c>
      <c r="BI152" s="5" t="inlineStr">
        <is>
          <t>2026-09-16</t>
        </is>
      </c>
      <c r="BJ152" s="5" t="inlineStr">
        <is>
          <t>New</t>
        </is>
      </c>
      <c r="BK152" s="5" t="inlineStr">
        <is>
          <t>2026-09-16</t>
        </is>
      </c>
      <c r="BL152" s="5" t="inlineStr"/>
      <c r="BM152" s="5" t="inlineStr"/>
      <c r="BN152" s="5" t="inlineStr"/>
      <c r="BO152" s="5" t="inlineStr"/>
      <c r="BP152" s="5" t="inlineStr"/>
      <c r="BQ152" s="5" t="inlineStr"/>
    </row>
    <row r="153">
      <c r="A153" s="10" t="inlineStr">
        <is>
          <t>WY-0152</t>
        </is>
      </c>
      <c r="B153" s="10" t="inlineStr">
        <is>
          <t>WY-0152-01</t>
        </is>
      </c>
      <c r="C153" s="10" t="inlineStr"/>
      <c r="D153" s="10" t="inlineStr">
        <is>
          <t>Springfield Garage (Keighley)</t>
        </is>
      </c>
      <c r="E153" s="10" t="inlineStr">
        <is>
          <t>Springfield Garage (Gulf)</t>
        </is>
      </c>
      <c r="F153" s="10" t="inlineStr">
        <is>
          <t>Springfield Garage (Keighley) Limited</t>
        </is>
      </c>
      <c r="G153" s="10" t="inlineStr">
        <is>
          <t>Petrol Station / Forecourt</t>
        </is>
      </c>
      <c r="H153" s="10" t="inlineStr">
        <is>
          <t>Independent Gulf-branded forecourt with shop</t>
        </is>
      </c>
      <c r="I153" s="10" t="inlineStr">
        <is>
          <t>Independent</t>
        </is>
      </c>
      <c r="J153" s="10" t="inlineStr">
        <is>
          <t>1</t>
        </is>
      </c>
      <c r="K153" s="10" t="inlineStr"/>
      <c r="L153" s="10" t="inlineStr"/>
      <c r="M153" s="10" t="inlineStr"/>
      <c r="N153" s="10" t="inlineStr"/>
      <c r="O153" s="10" t="inlineStr">
        <is>
          <t>Oakworth Road</t>
        </is>
      </c>
      <c r="P153" s="10" t="inlineStr"/>
      <c r="Q153" s="10" t="inlineStr">
        <is>
          <t>Keighley</t>
        </is>
      </c>
      <c r="R153" s="10" t="inlineStr">
        <is>
          <t>West Yorkshire</t>
        </is>
      </c>
      <c r="S153" s="10" t="inlineStr">
        <is>
          <t>BD21 1QQ</t>
        </is>
      </c>
      <c r="T153" s="10" t="inlineStr">
        <is>
          <t>Yorkshire &amp; Humber</t>
        </is>
      </c>
      <c r="U153" s="10" t="inlineStr">
        <is>
          <t>England</t>
        </is>
      </c>
      <c r="V153" s="10" t="inlineStr">
        <is>
          <t>01535 604629</t>
        </is>
      </c>
      <c r="W153" s="10" t="inlineStr"/>
      <c r="X153" s="10" t="inlineStr"/>
      <c r="Y153" s="10" t="inlineStr"/>
      <c r="Z153" s="10" t="inlineStr"/>
      <c r="AA153" s="10" t="inlineStr"/>
      <c r="AB153" s="10" t="inlineStr"/>
      <c r="AC153" s="10" t="inlineStr"/>
      <c r="AD153" s="10" t="inlineStr"/>
      <c r="AE153" s="10" t="inlineStr">
        <is>
          <t>00871540</t>
        </is>
      </c>
      <c r="AF153" s="10" t="inlineStr"/>
      <c r="AG153" s="10" t="inlineStr">
        <is>
          <t>SPRINGFIELD GARAGE (KEIGHLEY) LIMITED</t>
        </is>
      </c>
      <c r="AH153" s="10" t="inlineStr"/>
      <c r="AI153" s="10" t="inlineStr"/>
      <c r="AJ153" s="10" t="inlineStr"/>
      <c r="AK153" s="10" t="inlineStr">
        <is>
          <t>fuel; convenience shop lines</t>
        </is>
      </c>
      <c r="AL153" s="10" t="inlineStr"/>
      <c r="AM153" s="10" t="inlineStr">
        <is>
          <t>Petrol Station / Forecourt</t>
        </is>
      </c>
      <c r="AN153" s="10" t="inlineStr"/>
      <c r="AO153" s="10" t="inlineStr">
        <is>
          <t>Long-established family limited company (very old CH number 00871540, 1960s incorporation) running a Gulf-branded forecourt on Oakworth Road. Open 6am-10pm daily per directory listing.</t>
        </is>
      </c>
      <c r="AP153" s="10" t="inlineStr">
        <is>
          <t>Low</t>
        </is>
      </c>
      <c r="AQ153" s="10" t="inlineStr">
        <is>
          <t>Independent retailer; Relevant category</t>
        </is>
      </c>
      <c r="AR153" s="10" t="inlineStr">
        <is>
          <t>https://find-and-update.company-information.service.gov.uk/company/00871540</t>
        </is>
      </c>
      <c r="AS153" s="10" t="inlineStr">
        <is>
          <t>https://www.mylocalservices.co.uk/Springfield+Garage-Keighley-2646735.html</t>
        </is>
      </c>
      <c r="AT153" s="10" t="inlineStr">
        <is>
          <t>3</t>
        </is>
      </c>
      <c r="AU153" s="10" t="inlineStr">
        <is>
          <t>No</t>
        </is>
      </c>
      <c r="AV153" s="10" t="inlineStr">
        <is>
          <t>No</t>
        </is>
      </c>
      <c r="AW153" s="10" t="inlineStr">
        <is>
          <t>No</t>
        </is>
      </c>
      <c r="AX153" s="10" t="inlineStr">
        <is>
          <t>Yes</t>
        </is>
      </c>
      <c r="AY153" s="10" t="inlineStr">
        <is>
          <t>Verified directory</t>
        </is>
      </c>
      <c r="AZ153" s="10" t="inlineStr">
        <is>
          <t>Not Found</t>
        </is>
      </c>
      <c r="BA153" s="10" t="inlineStr">
        <is>
          <t>2026-09-16</t>
        </is>
      </c>
      <c r="BB153" s="10" t="inlineStr">
        <is>
          <t>Partially Verified</t>
        </is>
      </c>
      <c r="BC153" s="10" t="inlineStr">
        <is>
          <t>Medium</t>
        </is>
      </c>
      <c r="BD153" s="10" t="inlineStr"/>
      <c r="BE153" s="10" t="inlineStr">
        <is>
          <t>Business (B2B)</t>
        </is>
      </c>
      <c r="BF153" s="10" t="inlineStr">
        <is>
          <t>Legitimate interest (B2B) - assess per campaign; PECR: corporate subscribers</t>
        </is>
      </c>
      <c r="BG153" s="10" t="inlineStr"/>
      <c r="BH153" s="10" t="inlineStr">
        <is>
          <t>No</t>
        </is>
      </c>
      <c r="BI153" s="10" t="inlineStr">
        <is>
          <t>2026-09-16</t>
        </is>
      </c>
      <c r="BJ153" s="10" t="inlineStr">
        <is>
          <t>New</t>
        </is>
      </c>
      <c r="BK153" s="10" t="inlineStr">
        <is>
          <t>2026-09-16</t>
        </is>
      </c>
      <c r="BL153" s="10" t="inlineStr"/>
      <c r="BM153" s="10" t="inlineStr"/>
      <c r="BN153" s="10" t="inlineStr"/>
      <c r="BO153" s="10" t="inlineStr"/>
      <c r="BP153" s="10" t="inlineStr"/>
      <c r="BQ153" s="10" t="inlineStr"/>
    </row>
    <row r="154">
      <c r="A154" s="5" t="inlineStr">
        <is>
          <t>WY-0153</t>
        </is>
      </c>
      <c r="B154" s="5" t="inlineStr">
        <is>
          <t>WY-0153-01</t>
        </is>
      </c>
      <c r="C154" s="5" t="inlineStr"/>
      <c r="D154" s="5" t="inlineStr">
        <is>
          <t>Stainbeck Off Licence (Best-one)</t>
        </is>
      </c>
      <c r="E154" s="5" t="inlineStr">
        <is>
          <t>Stainbeck Off Licence</t>
        </is>
      </c>
      <c r="F154" s="5" t="inlineStr"/>
      <c r="G154" s="5" t="inlineStr">
        <is>
          <t>Off-Licence</t>
        </is>
      </c>
      <c r="H154" s="5" t="inlineStr">
        <is>
          <t>Off-licence and convenience store under Best-one symbol</t>
        </is>
      </c>
      <c r="I154" s="5" t="inlineStr">
        <is>
          <t>Franchise / Symbol Group</t>
        </is>
      </c>
      <c r="J154" s="5" t="inlineStr">
        <is>
          <t>1</t>
        </is>
      </c>
      <c r="K154" s="5" t="inlineStr"/>
      <c r="L154" s="5" t="inlineStr"/>
      <c r="M154" s="5" t="inlineStr"/>
      <c r="N154" s="5" t="inlineStr"/>
      <c r="O154" s="5" t="inlineStr"/>
      <c r="P154" s="5" t="inlineStr">
        <is>
          <t>Chapel Allerton / Meanwood</t>
        </is>
      </c>
      <c r="Q154" s="5" t="inlineStr">
        <is>
          <t>Leeds</t>
        </is>
      </c>
      <c r="R154" s="5" t="inlineStr">
        <is>
          <t>West Yorkshire</t>
        </is>
      </c>
      <c r="S154" s="5" t="inlineStr"/>
      <c r="T154" s="5" t="inlineStr">
        <is>
          <t>Yorkshire &amp; Humber</t>
        </is>
      </c>
      <c r="U154" s="5" t="inlineStr">
        <is>
          <t>England</t>
        </is>
      </c>
      <c r="V154" s="5" t="inlineStr"/>
      <c r="W154" s="5" t="inlineStr"/>
      <c r="X154" s="5" t="inlineStr"/>
      <c r="Y154" s="5" t="inlineStr"/>
      <c r="Z154" s="5" t="inlineStr"/>
      <c r="AA154" s="5" t="inlineStr"/>
      <c r="AB154" s="5" t="inlineStr"/>
      <c r="AC154" s="5" t="inlineStr"/>
      <c r="AD154" s="5" t="inlineStr"/>
      <c r="AE154" s="5" t="inlineStr"/>
      <c r="AF154" s="5" t="inlineStr"/>
      <c r="AG154" s="5" t="inlineStr"/>
      <c r="AH154" s="5" t="inlineStr"/>
      <c r="AI154" s="5" t="inlineStr"/>
      <c r="AJ154" s="5" t="inlineStr"/>
      <c r="AK154" s="5" t="inlineStr">
        <is>
          <t>alcohol; groceries; snacks</t>
        </is>
      </c>
      <c r="AL154" s="5" t="inlineStr"/>
      <c r="AM154" s="5" t="inlineStr">
        <is>
          <t>Off-Licence</t>
        </is>
      </c>
      <c r="AN154" s="5" t="inlineStr">
        <is>
          <t>Best-one (Bestway) symbol group</t>
        </is>
      </c>
      <c r="AO154" s="5" t="inlineStr">
        <is>
          <t>Independent retailer trading under the Best-one symbol group in the Chapel Allerton area; street address not captured - follow up.</t>
        </is>
      </c>
      <c r="AP154" s="5" t="inlineStr">
        <is>
          <t>Low</t>
        </is>
      </c>
      <c r="AQ154" s="5" t="inlineStr">
        <is>
          <t>Independent retailer; Relevant category</t>
        </is>
      </c>
      <c r="AR154" s="5" t="inlineStr">
        <is>
          <t>https://www.yorkshire.com/chapel-allerton/shopping/off-license</t>
        </is>
      </c>
      <c r="AS154" s="5" t="inlineStr"/>
      <c r="AT154" s="5" t="inlineStr">
        <is>
          <t>1</t>
        </is>
      </c>
      <c r="AU154" s="5" t="inlineStr">
        <is>
          <t>No</t>
        </is>
      </c>
      <c r="AV154" s="5" t="inlineStr">
        <is>
          <t>No</t>
        </is>
      </c>
      <c r="AW154" s="5" t="inlineStr">
        <is>
          <t>No</t>
        </is>
      </c>
      <c r="AX154" s="5" t="inlineStr">
        <is>
          <t>No</t>
        </is>
      </c>
      <c r="AY154" s="5" t="inlineStr">
        <is>
          <t>Not Found</t>
        </is>
      </c>
      <c r="AZ154" s="5" t="inlineStr">
        <is>
          <t>Not Found</t>
        </is>
      </c>
      <c r="BA154" s="5" t="inlineStr">
        <is>
          <t>2026-09-16</t>
        </is>
      </c>
      <c r="BB154" s="5" t="inlineStr">
        <is>
          <t>Requires Verification</t>
        </is>
      </c>
      <c r="BC154" s="5" t="inlineStr">
        <is>
          <t>Low</t>
        </is>
      </c>
      <c r="BD154" s="5" t="inlineStr"/>
      <c r="BE154" s="5" t="inlineStr">
        <is>
          <t>Business (B2B)</t>
        </is>
      </c>
      <c r="BF154" s="5" t="inlineStr">
        <is>
          <t>Legitimate interest (B2B) - assess per campaign; PECR: corporate subscribers</t>
        </is>
      </c>
      <c r="BG154" s="5" t="inlineStr"/>
      <c r="BH154" s="5" t="inlineStr">
        <is>
          <t>No</t>
        </is>
      </c>
      <c r="BI154" s="5" t="inlineStr">
        <is>
          <t>2026-09-16</t>
        </is>
      </c>
      <c r="BJ154" s="5" t="inlineStr">
        <is>
          <t>New</t>
        </is>
      </c>
      <c r="BK154" s="5" t="inlineStr">
        <is>
          <t>2026-09-16</t>
        </is>
      </c>
      <c r="BL154" s="5" t="inlineStr"/>
      <c r="BM154" s="5" t="inlineStr"/>
      <c r="BN154" s="5" t="inlineStr"/>
      <c r="BO154" s="5" t="inlineStr"/>
      <c r="BP154" s="5" t="inlineStr"/>
      <c r="BQ154" s="5" t="inlineStr"/>
    </row>
    <row r="155">
      <c r="A155" s="10" t="inlineStr">
        <is>
          <t>WY-0154</t>
        </is>
      </c>
      <c r="B155" s="10" t="inlineStr">
        <is>
          <t>WY-0154-01</t>
        </is>
      </c>
      <c r="C155" s="10" t="inlineStr"/>
      <c r="D155" s="10" t="inlineStr">
        <is>
          <t>Star Express Off-Licence &amp; Convenience Store</t>
        </is>
      </c>
      <c r="E155" s="10" t="inlineStr">
        <is>
          <t>Star Express</t>
        </is>
      </c>
      <c r="F155" s="10" t="inlineStr"/>
      <c r="G155" s="10" t="inlineStr">
        <is>
          <t>Off-Licence</t>
        </is>
      </c>
      <c r="H155" s="10" t="inlineStr">
        <is>
          <t>Off-licence and convenience store</t>
        </is>
      </c>
      <c r="I155" s="10" t="inlineStr">
        <is>
          <t>Independent</t>
        </is>
      </c>
      <c r="J155" s="10" t="inlineStr">
        <is>
          <t>1</t>
        </is>
      </c>
      <c r="K155" s="10" t="inlineStr"/>
      <c r="L155" s="10" t="inlineStr"/>
      <c r="M155" s="10" t="inlineStr"/>
      <c r="N155" s="10" t="inlineStr"/>
      <c r="O155" s="10" t="inlineStr">
        <is>
          <t>Norfolk Avenue</t>
        </is>
      </c>
      <c r="P155" s="10" t="inlineStr"/>
      <c r="Q155" s="10" t="inlineStr">
        <is>
          <t>Huddersfield</t>
        </is>
      </c>
      <c r="R155" s="10" t="inlineStr">
        <is>
          <t>West Yorkshire</t>
        </is>
      </c>
      <c r="S155" s="10" t="inlineStr"/>
      <c r="T155" s="10" t="inlineStr">
        <is>
          <t>Yorkshire &amp; Humber</t>
        </is>
      </c>
      <c r="U155" s="10" t="inlineStr">
        <is>
          <t>England</t>
        </is>
      </c>
      <c r="V155" s="10" t="inlineStr"/>
      <c r="W155" s="10" t="inlineStr"/>
      <c r="X155" s="10" t="inlineStr"/>
      <c r="Y155" s="10" t="inlineStr"/>
      <c r="Z155" s="10" t="inlineStr"/>
      <c r="AA155" s="10" t="inlineStr"/>
      <c r="AB155" s="10" t="inlineStr"/>
      <c r="AC155" s="10" t="inlineStr"/>
      <c r="AD155" s="10" t="inlineStr"/>
      <c r="AE155" s="10" t="inlineStr"/>
      <c r="AF155" s="10" t="inlineStr"/>
      <c r="AG155" s="10" t="inlineStr"/>
      <c r="AH155" s="10" t="inlineStr"/>
      <c r="AI155" s="10" t="inlineStr"/>
      <c r="AJ155" s="10" t="inlineStr"/>
      <c r="AK155" s="10" t="inlineStr">
        <is>
          <t>alcohol; convenience goods; tobacco</t>
        </is>
      </c>
      <c r="AL155" s="10" t="inlineStr"/>
      <c r="AM155" s="10" t="inlineStr">
        <is>
          <t>Off-Licence</t>
        </is>
      </c>
      <c r="AN155" s="10" t="inlineStr"/>
      <c r="AO155" s="10" t="inlineStr">
        <is>
          <t>Open 10:00-22:00 seven days, 4.7 Google rating per Yorkshire.com listing; street number and phone not published in accessible sources.</t>
        </is>
      </c>
      <c r="AP155" s="10" t="inlineStr">
        <is>
          <t>Low</t>
        </is>
      </c>
      <c r="AQ155" s="10" t="inlineStr">
        <is>
          <t>Independent retailer; Relevant category</t>
        </is>
      </c>
      <c r="AR155" s="10" t="inlineStr">
        <is>
          <t>https://www.yorkshire.com/huddersfield/shopping/off-license/star-express-off-licence-convenience-store</t>
        </is>
      </c>
      <c r="AS155" s="10" t="inlineStr"/>
      <c r="AT155" s="10" t="inlineStr">
        <is>
          <t>1</t>
        </is>
      </c>
      <c r="AU155" s="10" t="inlineStr">
        <is>
          <t>No</t>
        </is>
      </c>
      <c r="AV155" s="10" t="inlineStr">
        <is>
          <t>No</t>
        </is>
      </c>
      <c r="AW155" s="10" t="inlineStr">
        <is>
          <t>No</t>
        </is>
      </c>
      <c r="AX155" s="10" t="inlineStr">
        <is>
          <t>No</t>
        </is>
      </c>
      <c r="AY155" s="10" t="inlineStr">
        <is>
          <t>Not Found</t>
        </is>
      </c>
      <c r="AZ155" s="10" t="inlineStr">
        <is>
          <t>Not Found</t>
        </is>
      </c>
      <c r="BA155" s="10" t="inlineStr">
        <is>
          <t>2026-09-16</t>
        </is>
      </c>
      <c r="BB155" s="10" t="inlineStr">
        <is>
          <t>Requires Verification</t>
        </is>
      </c>
      <c r="BC155" s="10" t="inlineStr">
        <is>
          <t>Low</t>
        </is>
      </c>
      <c r="BD155" s="10" t="inlineStr"/>
      <c r="BE155" s="10" t="inlineStr">
        <is>
          <t>Business (B2B)</t>
        </is>
      </c>
      <c r="BF155" s="10" t="inlineStr">
        <is>
          <t>Legitimate interest (B2B) - assess per campaign; PECR: corporate subscribers</t>
        </is>
      </c>
      <c r="BG155" s="10" t="inlineStr"/>
      <c r="BH155" s="10" t="inlineStr">
        <is>
          <t>No</t>
        </is>
      </c>
      <c r="BI155" s="10" t="inlineStr">
        <is>
          <t>2026-09-16</t>
        </is>
      </c>
      <c r="BJ155" s="10" t="inlineStr">
        <is>
          <t>New</t>
        </is>
      </c>
      <c r="BK155" s="10" t="inlineStr">
        <is>
          <t>2026-09-16</t>
        </is>
      </c>
      <c r="BL155" s="10" t="inlineStr"/>
      <c r="BM155" s="10" t="inlineStr"/>
      <c r="BN155" s="10" t="inlineStr"/>
      <c r="BO155" s="10" t="inlineStr"/>
      <c r="BP155" s="10" t="inlineStr"/>
      <c r="BQ155" s="10" t="inlineStr"/>
    </row>
    <row r="156">
      <c r="A156" s="5" t="inlineStr">
        <is>
          <t>WY-0155</t>
        </is>
      </c>
      <c r="B156" s="5" t="inlineStr">
        <is>
          <t>WY-0155-01</t>
        </is>
      </c>
      <c r="C156" s="5" t="inlineStr"/>
      <c r="D156" s="5" t="inlineStr">
        <is>
          <t>Stringers Service Station</t>
        </is>
      </c>
      <c r="E156" s="5" t="inlineStr">
        <is>
          <t>Stringers Service Station</t>
        </is>
      </c>
      <c r="F156" s="5" t="inlineStr"/>
      <c r="G156" s="5" t="inlineStr">
        <is>
          <t>Petrol Station / Forecourt</t>
        </is>
      </c>
      <c r="H156" s="5" t="inlineStr">
        <is>
          <t>Independent forecourt (Murco fuel) with shop</t>
        </is>
      </c>
      <c r="I156" s="5" t="inlineStr">
        <is>
          <t>Independent</t>
        </is>
      </c>
      <c r="J156" s="5" t="inlineStr">
        <is>
          <t>1</t>
        </is>
      </c>
      <c r="K156" s="5" t="inlineStr"/>
      <c r="L156" s="5" t="inlineStr"/>
      <c r="M156" s="5" t="inlineStr"/>
      <c r="N156" s="5" t="inlineStr"/>
      <c r="O156" s="5" t="inlineStr">
        <is>
          <t>102 Southgate</t>
        </is>
      </c>
      <c r="P156" s="5" t="inlineStr"/>
      <c r="Q156" s="5" t="inlineStr">
        <is>
          <t>Pontefract</t>
        </is>
      </c>
      <c r="R156" s="5" t="inlineStr">
        <is>
          <t>West Yorkshire</t>
        </is>
      </c>
      <c r="S156" s="5" t="inlineStr">
        <is>
          <t>WF8 1PN</t>
        </is>
      </c>
      <c r="T156" s="5" t="inlineStr">
        <is>
          <t>Yorkshire &amp; Humber</t>
        </is>
      </c>
      <c r="U156" s="5" t="inlineStr">
        <is>
          <t>England</t>
        </is>
      </c>
      <c r="V156" s="5" t="inlineStr"/>
      <c r="W156" s="5" t="inlineStr"/>
      <c r="X156" s="5" t="inlineStr"/>
      <c r="Y156" s="5" t="inlineStr"/>
      <c r="Z156" s="5" t="inlineStr"/>
      <c r="AA156" s="5" t="inlineStr"/>
      <c r="AB156" s="5" t="inlineStr"/>
      <c r="AC156" s="5" t="inlineStr"/>
      <c r="AD156" s="5" t="inlineStr"/>
      <c r="AE156" s="5" t="inlineStr"/>
      <c r="AF156" s="5" t="inlineStr"/>
      <c r="AG156" s="5" t="inlineStr"/>
      <c r="AH156" s="5" t="inlineStr"/>
      <c r="AI156" s="5" t="inlineStr"/>
      <c r="AJ156" s="5" t="inlineStr"/>
      <c r="AK156" s="5" t="inlineStr">
        <is>
          <t>fuel; convenience shop; car cleaning</t>
        </is>
      </c>
      <c r="AL156" s="5" t="inlineStr"/>
      <c r="AM156" s="5" t="inlineStr">
        <is>
          <t>Petrol Station / Forecourt</t>
        </is>
      </c>
      <c r="AN156" s="5" t="inlineStr">
        <is>
          <t>Murco-branded fuel (dealer site)</t>
        </is>
      </c>
      <c r="AO156" s="5" t="inlineStr">
        <is>
          <t>Also listed as 'Stringers Friarwood Lane Service Station' (Grove Road, WF8 1PN) on PetrolPrices - same site, alternative address details.</t>
        </is>
      </c>
      <c r="AP156" s="5" t="inlineStr">
        <is>
          <t>Low</t>
        </is>
      </c>
      <c r="AQ156" s="5" t="inlineStr">
        <is>
          <t>Independent retailer; Relevant category</t>
        </is>
      </c>
      <c r="AR156" s="5" t="inlineStr">
        <is>
          <t>https://www.petrolprices.com/locations/pontefract/grove-road/6837</t>
        </is>
      </c>
      <c r="AS156" s="5" t="inlineStr">
        <is>
          <t>https://ratings.food.gov.uk/business/313271/stringers-service-station-pontefract</t>
        </is>
      </c>
      <c r="AT156" s="5" t="inlineStr">
        <is>
          <t>2</t>
        </is>
      </c>
      <c r="AU156" s="5" t="inlineStr">
        <is>
          <t>No</t>
        </is>
      </c>
      <c r="AV156" s="5" t="inlineStr">
        <is>
          <t>No</t>
        </is>
      </c>
      <c r="AW156" s="5" t="inlineStr">
        <is>
          <t>No</t>
        </is>
      </c>
      <c r="AX156" s="5" t="inlineStr">
        <is>
          <t>No</t>
        </is>
      </c>
      <c r="AY156" s="5" t="inlineStr">
        <is>
          <t>Not Found</t>
        </is>
      </c>
      <c r="AZ156" s="5" t="inlineStr">
        <is>
          <t>Not Found</t>
        </is>
      </c>
      <c r="BA156" s="5" t="inlineStr">
        <is>
          <t>2026-09-16</t>
        </is>
      </c>
      <c r="BB156" s="5" t="inlineStr">
        <is>
          <t>Requires Verification</t>
        </is>
      </c>
      <c r="BC156" s="5" t="inlineStr">
        <is>
          <t>Medium</t>
        </is>
      </c>
      <c r="BD156" s="5" t="inlineStr"/>
      <c r="BE156" s="5" t="inlineStr">
        <is>
          <t>Business (B2B)</t>
        </is>
      </c>
      <c r="BF156" s="5" t="inlineStr">
        <is>
          <t>Legitimate interest (B2B) - assess per campaign; PECR: corporate subscribers</t>
        </is>
      </c>
      <c r="BG156" s="5" t="inlineStr"/>
      <c r="BH156" s="5" t="inlineStr">
        <is>
          <t>No</t>
        </is>
      </c>
      <c r="BI156" s="5" t="inlineStr">
        <is>
          <t>2026-09-16</t>
        </is>
      </c>
      <c r="BJ156" s="5" t="inlineStr">
        <is>
          <t>New</t>
        </is>
      </c>
      <c r="BK156" s="5" t="inlineStr">
        <is>
          <t>2026-09-16</t>
        </is>
      </c>
      <c r="BL156" s="5" t="inlineStr"/>
      <c r="BM156" s="5" t="inlineStr"/>
      <c r="BN156" s="5" t="inlineStr"/>
      <c r="BO156" s="5" t="inlineStr"/>
      <c r="BP156" s="5" t="inlineStr"/>
      <c r="BQ156" s="5" t="inlineStr"/>
    </row>
    <row r="157">
      <c r="A157" s="10" t="inlineStr">
        <is>
          <t>WY-0156</t>
        </is>
      </c>
      <c r="B157" s="10" t="inlineStr">
        <is>
          <t>WY-0156-01</t>
        </is>
      </c>
      <c r="C157" s="10" t="inlineStr"/>
      <c r="D157" s="10" t="inlineStr">
        <is>
          <t>Suki's Cash &amp; Carry</t>
        </is>
      </c>
      <c r="E157" s="10" t="inlineStr">
        <is>
          <t>Suki's Cash &amp; Carry Wholesalers</t>
        </is>
      </c>
      <c r="F157" s="10" t="inlineStr"/>
      <c r="G157" s="10" t="inlineStr">
        <is>
          <t>Cash &amp; Carry</t>
        </is>
      </c>
      <c r="H157" s="10" t="inlineStr">
        <is>
          <t>Household goods, partyware, toys &amp; disposables wholesaler</t>
        </is>
      </c>
      <c r="I157" s="10" t="inlineStr">
        <is>
          <t>Independent</t>
        </is>
      </c>
      <c r="J157" s="10" t="inlineStr">
        <is>
          <t>1</t>
        </is>
      </c>
      <c r="K157" s="10" t="inlineStr">
        <is>
          <t>https://sukiscashandcarry.co.uk/</t>
        </is>
      </c>
      <c r="L157" s="10" t="inlineStr">
        <is>
          <t>https://www.facebook.com/sukiscashandcarry/</t>
        </is>
      </c>
      <c r="M157" s="10" t="inlineStr">
        <is>
          <t>https://www.instagram.com/sukiscashandcarrybradford/</t>
        </is>
      </c>
      <c r="N157" s="10" t="inlineStr">
        <is>
          <t>https://nextdoor.co.uk/pages/sukis-cash-carry-wholesalers/</t>
        </is>
      </c>
      <c r="O157" s="10" t="inlineStr">
        <is>
          <t>Garnett Street</t>
        </is>
      </c>
      <c r="P157" s="10" t="inlineStr">
        <is>
          <t>Off Leeds Road</t>
        </is>
      </c>
      <c r="Q157" s="10" t="inlineStr">
        <is>
          <t>Bradford</t>
        </is>
      </c>
      <c r="R157" s="10" t="inlineStr">
        <is>
          <t>West Yorkshire</t>
        </is>
      </c>
      <c r="S157" s="10" t="inlineStr">
        <is>
          <t>BD3 9HN</t>
        </is>
      </c>
      <c r="T157" s="10" t="inlineStr">
        <is>
          <t>Yorkshire &amp; Humber</t>
        </is>
      </c>
      <c r="U157" s="10" t="inlineStr">
        <is>
          <t>England</t>
        </is>
      </c>
      <c r="V157" s="10" t="inlineStr">
        <is>
          <t>01274 736093</t>
        </is>
      </c>
      <c r="W157" s="10" t="inlineStr"/>
      <c r="X157" s="10" t="inlineStr"/>
      <c r="Y157" s="10" t="inlineStr"/>
      <c r="Z157" s="10" t="inlineStr"/>
      <c r="AA157" s="10" t="inlineStr"/>
      <c r="AB157" s="10" t="inlineStr"/>
      <c r="AC157" s="10" t="inlineStr"/>
      <c r="AD157" s="10" t="inlineStr"/>
      <c r="AE157" s="10" t="inlineStr"/>
      <c r="AF157" s="10" t="inlineStr"/>
      <c r="AG157" s="10" t="inlineStr"/>
      <c r="AH157" s="10" t="inlineStr"/>
      <c r="AI157" s="10" t="inlineStr"/>
      <c r="AJ157" s="10" t="inlineStr"/>
      <c r="AK157" s="10" t="inlineStr">
        <is>
          <t>partyware; giftware; disposables; toiletries; cleaning; toys; stationery; DIY</t>
        </is>
      </c>
      <c r="AL157" s="10" t="inlineStr"/>
      <c r="AM157" s="10" t="inlineStr">
        <is>
          <t>Cash &amp; Carry</t>
        </is>
      </c>
      <c r="AN157" s="10" t="inlineStr">
        <is>
          <t>Importers, exporters and distributors of haberdashery products and accessories</t>
        </is>
      </c>
      <c r="AO157" s="10" t="inlineStr">
        <is>
          <t>Self-described 'Bradford's No.1 household goods cash &amp; carry'. Sister site sukisfireworks.co.uk. Postcode BD3 9HN from official-site snippet; one directory shows BD3 9HB.</t>
        </is>
      </c>
      <c r="AP157" s="10" t="inlineStr">
        <is>
          <t>Medium</t>
        </is>
      </c>
      <c r="AQ157" s="10" t="inlineStr">
        <is>
          <t>Independent retailer; Core relevant category; Active website; Social presence</t>
        </is>
      </c>
      <c r="AR157" s="10" t="inlineStr">
        <is>
          <t>https://sukiscashandcarry.co.uk/</t>
        </is>
      </c>
      <c r="AS157" s="10" t="inlineStr">
        <is>
          <t>https://sukiscashandcarry.co.uk/pages/contact-us</t>
        </is>
      </c>
      <c r="AT157" s="10" t="inlineStr">
        <is>
          <t>6</t>
        </is>
      </c>
      <c r="AU157" s="10" t="inlineStr">
        <is>
          <t>Yes</t>
        </is>
      </c>
      <c r="AV157" s="10" t="inlineStr">
        <is>
          <t>No</t>
        </is>
      </c>
      <c r="AW157" s="10" t="inlineStr">
        <is>
          <t>No</t>
        </is>
      </c>
      <c r="AX157" s="10" t="inlineStr">
        <is>
          <t>No</t>
        </is>
      </c>
      <c r="AY157" s="10" t="inlineStr">
        <is>
          <t>Verified directory</t>
        </is>
      </c>
      <c r="AZ157" s="10" t="inlineStr">
        <is>
          <t>Website Found</t>
        </is>
      </c>
      <c r="BA157" s="10" t="inlineStr">
        <is>
          <t>2026-09-16</t>
        </is>
      </c>
      <c r="BB157" s="10" t="inlineStr">
        <is>
          <t>Partially Verified</t>
        </is>
      </c>
      <c r="BC157" s="10" t="inlineStr">
        <is>
          <t>Medium</t>
        </is>
      </c>
      <c r="BD157" s="10" t="inlineStr"/>
      <c r="BE157" s="10" t="inlineStr">
        <is>
          <t>Business (B2B)</t>
        </is>
      </c>
      <c r="BF157" s="10" t="inlineStr">
        <is>
          <t>Legitimate interest (B2B) - assess per campaign; PECR: corporate subscribers</t>
        </is>
      </c>
      <c r="BG157" s="10" t="inlineStr"/>
      <c r="BH157" s="10" t="inlineStr">
        <is>
          <t>No</t>
        </is>
      </c>
      <c r="BI157" s="10" t="inlineStr">
        <is>
          <t>2026-09-16</t>
        </is>
      </c>
      <c r="BJ157" s="10" t="inlineStr">
        <is>
          <t>New</t>
        </is>
      </c>
      <c r="BK157" s="10" t="inlineStr">
        <is>
          <t>2026-09-16</t>
        </is>
      </c>
      <c r="BL157" s="10" t="inlineStr"/>
      <c r="BM157" s="10" t="inlineStr"/>
      <c r="BN157" s="10" t="inlineStr"/>
      <c r="BO157" s="10" t="inlineStr"/>
      <c r="BP157" s="10" t="inlineStr"/>
      <c r="BQ157" s="10" t="inlineStr"/>
    </row>
    <row r="158">
      <c r="A158" s="5" t="inlineStr">
        <is>
          <t>WY-0157</t>
        </is>
      </c>
      <c r="B158" s="5" t="inlineStr">
        <is>
          <t>WY-0157-01</t>
        </is>
      </c>
      <c r="C158" s="5" t="inlineStr"/>
      <c r="D158" s="5" t="inlineStr">
        <is>
          <t>Sup Mirfield</t>
        </is>
      </c>
      <c r="E158" s="5" t="inlineStr">
        <is>
          <t>Sup Mirfield</t>
        </is>
      </c>
      <c r="F158" s="5" t="inlineStr"/>
      <c r="G158" s="5" t="inlineStr">
        <is>
          <t>Convenience Store</t>
        </is>
      </c>
      <c r="H158" s="5" t="inlineStr">
        <is>
          <t>Convenience store</t>
        </is>
      </c>
      <c r="I158" s="5" t="inlineStr">
        <is>
          <t>Independent</t>
        </is>
      </c>
      <c r="J158" s="5" t="inlineStr">
        <is>
          <t>1</t>
        </is>
      </c>
      <c r="K158" s="5" t="inlineStr"/>
      <c r="L158" s="5" t="inlineStr">
        <is>
          <t>https://www.facebook.com/supmirfield/</t>
        </is>
      </c>
      <c r="M158" s="5" t="inlineStr"/>
      <c r="N158" s="5" t="inlineStr"/>
      <c r="O158" s="5" t="inlineStr">
        <is>
          <t>2 Nettleton Road</t>
        </is>
      </c>
      <c r="P158" s="5" t="inlineStr"/>
      <c r="Q158" s="5" t="inlineStr">
        <is>
          <t>Mirfield</t>
        </is>
      </c>
      <c r="R158" s="5" t="inlineStr">
        <is>
          <t>West Yorkshire</t>
        </is>
      </c>
      <c r="S158" s="5" t="inlineStr"/>
      <c r="T158" s="5" t="inlineStr">
        <is>
          <t>Yorkshire &amp; Humber</t>
        </is>
      </c>
      <c r="U158" s="5" t="inlineStr">
        <is>
          <t>England</t>
        </is>
      </c>
      <c r="V158" s="5" t="inlineStr">
        <is>
          <t>07387 294049</t>
        </is>
      </c>
      <c r="W158" s="5" t="inlineStr"/>
      <c r="X158" s="5" t="inlineStr"/>
      <c r="Y158" s="5" t="inlineStr"/>
      <c r="Z158" s="5" t="inlineStr"/>
      <c r="AA158" s="5" t="inlineStr"/>
      <c r="AB158" s="5" t="inlineStr"/>
      <c r="AC158" s="5" t="inlineStr"/>
      <c r="AD158" s="5" t="inlineStr"/>
      <c r="AE158" s="5" t="inlineStr"/>
      <c r="AF158" s="5" t="inlineStr"/>
      <c r="AG158" s="5" t="inlineStr"/>
      <c r="AH158" s="5" t="inlineStr"/>
      <c r="AI158" s="5" t="inlineStr"/>
      <c r="AJ158" s="5" t="inlineStr"/>
      <c r="AK158" s="5" t="inlineStr">
        <is>
          <t>convenience goods; drinks; snacks</t>
        </is>
      </c>
      <c r="AL158" s="5" t="inlineStr"/>
      <c r="AM158" s="5" t="inlineStr">
        <is>
          <t>Convenience Store</t>
        </is>
      </c>
      <c r="AN158" s="5" t="inlineStr"/>
      <c r="AO158" s="5" t="inlineStr">
        <is>
          <t>Address and mobile number taken from the store's own Facebook page details shown in search results; postcode not published.</t>
        </is>
      </c>
      <c r="AP158" s="5" t="inlineStr">
        <is>
          <t>Medium</t>
        </is>
      </c>
      <c r="AQ158" s="5" t="inlineStr">
        <is>
          <t>Independent retailer; Relevant category; Social presence</t>
        </is>
      </c>
      <c r="AR158" s="5" t="inlineStr">
        <is>
          <t>https://www.facebook.com/supmirfield/</t>
        </is>
      </c>
      <c r="AS158" s="5" t="inlineStr"/>
      <c r="AT158" s="5" t="inlineStr">
        <is>
          <t>1</t>
        </is>
      </c>
      <c r="AU158" s="5" t="inlineStr">
        <is>
          <t>No</t>
        </is>
      </c>
      <c r="AV158" s="5" t="inlineStr">
        <is>
          <t>No</t>
        </is>
      </c>
      <c r="AW158" s="5" t="inlineStr">
        <is>
          <t>No</t>
        </is>
      </c>
      <c r="AX158" s="5" t="inlineStr">
        <is>
          <t>No</t>
        </is>
      </c>
      <c r="AY158" s="5" t="inlineStr">
        <is>
          <t>Verified directory</t>
        </is>
      </c>
      <c r="AZ158" s="5" t="inlineStr">
        <is>
          <t>Not Found</t>
        </is>
      </c>
      <c r="BA158" s="5" t="inlineStr">
        <is>
          <t>2026-09-16</t>
        </is>
      </c>
      <c r="BB158" s="5" t="inlineStr">
        <is>
          <t>Requires Verification</t>
        </is>
      </c>
      <c r="BC158" s="5" t="inlineStr">
        <is>
          <t>Low</t>
        </is>
      </c>
      <c r="BD158" s="5" t="inlineStr"/>
      <c r="BE158" s="5" t="inlineStr">
        <is>
          <t>Business (B2B)</t>
        </is>
      </c>
      <c r="BF158" s="5" t="inlineStr">
        <is>
          <t>Legitimate interest (B2B) - assess per campaign; PECR: corporate subscribers</t>
        </is>
      </c>
      <c r="BG158" s="5" t="inlineStr"/>
      <c r="BH158" s="5" t="inlineStr">
        <is>
          <t>No</t>
        </is>
      </c>
      <c r="BI158" s="5" t="inlineStr">
        <is>
          <t>2026-09-16</t>
        </is>
      </c>
      <c r="BJ158" s="5" t="inlineStr">
        <is>
          <t>New</t>
        </is>
      </c>
      <c r="BK158" s="5" t="inlineStr">
        <is>
          <t>2026-09-16</t>
        </is>
      </c>
      <c r="BL158" s="5" t="inlineStr"/>
      <c r="BM158" s="5" t="inlineStr"/>
      <c r="BN158" s="5" t="inlineStr"/>
      <c r="BO158" s="5" t="inlineStr"/>
      <c r="BP158" s="5" t="inlineStr"/>
      <c r="BQ158" s="5" t="inlineStr"/>
    </row>
    <row r="159">
      <c r="A159" s="10" t="inlineStr">
        <is>
          <t>WY-0158</t>
        </is>
      </c>
      <c r="B159" s="10" t="inlineStr">
        <is>
          <t>WY-0158-01</t>
        </is>
      </c>
      <c r="C159" s="10" t="inlineStr"/>
      <c r="D159" s="10" t="inlineStr">
        <is>
          <t>Thali Outlet</t>
        </is>
      </c>
      <c r="E159" s="10" t="inlineStr">
        <is>
          <t>Thali Outlet</t>
        </is>
      </c>
      <c r="F159" s="10" t="inlineStr">
        <is>
          <t>Thali Outlet Ltd</t>
        </is>
      </c>
      <c r="G159" s="10" t="inlineStr">
        <is>
          <t>Cash &amp; Carry</t>
        </is>
      </c>
      <c r="H159" s="10" t="inlineStr">
        <is>
          <t>Trade cash &amp; carry - food packaging, disposables and cleaning products</t>
        </is>
      </c>
      <c r="I159" s="10" t="inlineStr">
        <is>
          <t>Independent</t>
        </is>
      </c>
      <c r="J159" s="10" t="inlineStr">
        <is>
          <t>1</t>
        </is>
      </c>
      <c r="K159" s="10" t="inlineStr">
        <is>
          <t>https://www.thalioutlet.com/</t>
        </is>
      </c>
      <c r="L159" s="10" t="inlineStr">
        <is>
          <t>https://www.facebook.com/thalioutlet/</t>
        </is>
      </c>
      <c r="M159" s="10" t="inlineStr"/>
      <c r="N159" s="10" t="inlineStr"/>
      <c r="O159" s="10" t="inlineStr">
        <is>
          <t>Meanwood Buildings, 277a Meanwood Road</t>
        </is>
      </c>
      <c r="P159" s="10" t="inlineStr">
        <is>
          <t>Meanwood</t>
        </is>
      </c>
      <c r="Q159" s="10" t="inlineStr">
        <is>
          <t>Leeds</t>
        </is>
      </c>
      <c r="R159" s="10" t="inlineStr">
        <is>
          <t>West Yorkshire</t>
        </is>
      </c>
      <c r="S159" s="10" t="inlineStr">
        <is>
          <t>LS7 2JD</t>
        </is>
      </c>
      <c r="T159" s="10" t="inlineStr">
        <is>
          <t>Yorkshire &amp; Humber</t>
        </is>
      </c>
      <c r="U159" s="10" t="inlineStr">
        <is>
          <t>England</t>
        </is>
      </c>
      <c r="V159" s="10" t="inlineStr">
        <is>
          <t>0113 394 8000</t>
        </is>
      </c>
      <c r="W159" s="10" t="inlineStr"/>
      <c r="X159" s="10" t="inlineStr"/>
      <c r="Y159" s="10" t="inlineStr">
        <is>
          <t>sales@thalioutlet.com</t>
        </is>
      </c>
      <c r="Z159" s="10" t="inlineStr">
        <is>
          <t>sales@thalioutlet.com</t>
        </is>
      </c>
      <c r="AA159" s="10" t="inlineStr"/>
      <c r="AB159" s="10" t="inlineStr"/>
      <c r="AC159" s="10" t="inlineStr"/>
      <c r="AD159" s="10" t="inlineStr"/>
      <c r="AE159" s="10" t="inlineStr">
        <is>
          <t>08555459</t>
        </is>
      </c>
      <c r="AF159" s="10" t="inlineStr"/>
      <c r="AG159" s="10" t="inlineStr">
        <is>
          <t>THALI OUTLET LTD</t>
        </is>
      </c>
      <c r="AH159" s="10" t="inlineStr"/>
      <c r="AI159" s="10" t="inlineStr"/>
      <c r="AJ159" s="10" t="inlineStr"/>
      <c r="AK159" s="10" t="inlineStr">
        <is>
          <t>food packaging; compostable tableware; carrier bags; cleaning products; catering supplies</t>
        </is>
      </c>
      <c r="AL159" s="10" t="inlineStr"/>
      <c r="AM159" s="10" t="inlineStr">
        <is>
          <t>Cash &amp; Carry</t>
        </is>
      </c>
      <c r="AN159" s="10" t="inlineStr"/>
      <c r="AO159" s="10" t="inlineStr">
        <is>
          <t>Trade counter with showroom and free parking. Company number from Kompass listing (GB08555459) - not verified directly at Companies House (site blocked by proxy).</t>
        </is>
      </c>
      <c r="AP159" s="10" t="inlineStr">
        <is>
          <t>High</t>
        </is>
      </c>
      <c r="AQ159" s="10" t="inlineStr">
        <is>
          <t>Independent retailer; Core relevant category; Public trade/sales contact; Active website; Social presence</t>
        </is>
      </c>
      <c r="AR159" s="10" t="inlineStr">
        <is>
          <t>https://www.thalioutlet.com/pages/contact</t>
        </is>
      </c>
      <c r="AS159" s="10" t="inlineStr">
        <is>
          <t>https://www.thomsonlocal.com/search/party-goods-novelties/leeds/thali-outlet/1678928/01133948000</t>
        </is>
      </c>
      <c r="AT159" s="10" t="inlineStr">
        <is>
          <t>3</t>
        </is>
      </c>
      <c r="AU159" s="10" t="inlineStr">
        <is>
          <t>No</t>
        </is>
      </c>
      <c r="AV159" s="10" t="inlineStr">
        <is>
          <t>No</t>
        </is>
      </c>
      <c r="AW159" s="10" t="inlineStr">
        <is>
          <t>No</t>
        </is>
      </c>
      <c r="AX159" s="10" t="inlineStr">
        <is>
          <t>No</t>
        </is>
      </c>
      <c r="AY159" s="10" t="inlineStr">
        <is>
          <t>Verified directory</t>
        </is>
      </c>
      <c r="AZ159" s="10" t="inlineStr">
        <is>
          <t>Publicly Listed</t>
        </is>
      </c>
      <c r="BA159" s="10" t="inlineStr">
        <is>
          <t>2026-09-16</t>
        </is>
      </c>
      <c r="BB159" s="10" t="inlineStr">
        <is>
          <t>Requires Verification</t>
        </is>
      </c>
      <c r="BC159" s="10" t="inlineStr">
        <is>
          <t>Medium</t>
        </is>
      </c>
      <c r="BD159" s="10" t="inlineStr"/>
      <c r="BE159" s="10" t="inlineStr">
        <is>
          <t>Business (B2B)</t>
        </is>
      </c>
      <c r="BF159" s="10" t="inlineStr">
        <is>
          <t>Legitimate interest (B2B) - assess per campaign; PECR: corporate subscribers</t>
        </is>
      </c>
      <c r="BG159" s="10" t="inlineStr"/>
      <c r="BH159" s="10" t="inlineStr">
        <is>
          <t>No</t>
        </is>
      </c>
      <c r="BI159" s="10" t="inlineStr">
        <is>
          <t>2026-09-16</t>
        </is>
      </c>
      <c r="BJ159" s="10" t="inlineStr">
        <is>
          <t>New</t>
        </is>
      </c>
      <c r="BK159" s="10" t="inlineStr">
        <is>
          <t>2026-09-16</t>
        </is>
      </c>
      <c r="BL159" s="10" t="inlineStr"/>
      <c r="BM159" s="10" t="inlineStr"/>
      <c r="BN159" s="10" t="inlineStr"/>
      <c r="BO159" s="10" t="inlineStr"/>
      <c r="BP159" s="10" t="inlineStr"/>
      <c r="BQ159" s="10" t="inlineStr"/>
    </row>
    <row r="160">
      <c r="A160" s="5" t="inlineStr">
        <is>
          <t>WY-0159</t>
        </is>
      </c>
      <c r="B160" s="5" t="inlineStr">
        <is>
          <t>WY-0159-01</t>
        </is>
      </c>
      <c r="C160" s="5" t="inlineStr"/>
      <c r="D160" s="5" t="inlineStr">
        <is>
          <t>The Local: Elland</t>
        </is>
      </c>
      <c r="E160" s="5" t="inlineStr">
        <is>
          <t>The Local: Elland</t>
        </is>
      </c>
      <c r="F160" s="5" t="inlineStr"/>
      <c r="G160" s="5" t="inlineStr">
        <is>
          <t>Off-Licence</t>
        </is>
      </c>
      <c r="H160" s="5" t="inlineStr">
        <is>
          <t>Off-licence and everyday essentials</t>
        </is>
      </c>
      <c r="I160" s="5" t="inlineStr">
        <is>
          <t>Unknown</t>
        </is>
      </c>
      <c r="J160" s="5" t="inlineStr">
        <is>
          <t>1</t>
        </is>
      </c>
      <c r="K160" s="5" t="inlineStr"/>
      <c r="L160" s="5" t="inlineStr"/>
      <c r="M160" s="5" t="inlineStr"/>
      <c r="N160" s="5" t="inlineStr"/>
      <c r="O160" s="5" t="inlineStr">
        <is>
          <t>160 Westgate</t>
        </is>
      </c>
      <c r="P160" s="5" t="inlineStr"/>
      <c r="Q160" s="5" t="inlineStr">
        <is>
          <t>Elland</t>
        </is>
      </c>
      <c r="R160" s="5" t="inlineStr">
        <is>
          <t>West Yorkshire</t>
        </is>
      </c>
      <c r="S160" s="5" t="inlineStr">
        <is>
          <t>HX5 0BB</t>
        </is>
      </c>
      <c r="T160" s="5" t="inlineStr">
        <is>
          <t>Yorkshire &amp; Humber</t>
        </is>
      </c>
      <c r="U160" s="5" t="inlineStr">
        <is>
          <t>England</t>
        </is>
      </c>
      <c r="V160" s="5" t="inlineStr"/>
      <c r="W160" s="5" t="inlineStr"/>
      <c r="X160" s="5" t="inlineStr"/>
      <c r="Y160" s="5" t="inlineStr"/>
      <c r="Z160" s="5" t="inlineStr"/>
      <c r="AA160" s="5" t="inlineStr"/>
      <c r="AB160" s="5" t="inlineStr"/>
      <c r="AC160" s="5" t="inlineStr"/>
      <c r="AD160" s="5" t="inlineStr"/>
      <c r="AE160" s="5" t="inlineStr"/>
      <c r="AF160" s="5" t="inlineStr"/>
      <c r="AG160" s="5" t="inlineStr"/>
      <c r="AH160" s="5" t="inlineStr"/>
      <c r="AI160" s="5" t="inlineStr"/>
      <c r="AJ160" s="5" t="inlineStr"/>
      <c r="AK160" s="5" t="inlineStr">
        <is>
          <t>beers, wines and spirits; convenience</t>
        </is>
      </c>
      <c r="AL160" s="5" t="inlineStr"/>
      <c r="AM160" s="5" t="inlineStr">
        <is>
          <t>Off-Licence</t>
        </is>
      </c>
      <c r="AN160" s="5" t="inlineStr"/>
      <c r="AO160" s="5" t="inlineStr">
        <is>
          <t>'The Local' fascia is used by some symbol-group conversions; ownership not established.</t>
        </is>
      </c>
      <c r="AP160" s="5" t="inlineStr">
        <is>
          <t>Low</t>
        </is>
      </c>
      <c r="AQ160" s="5" t="inlineStr">
        <is>
          <t>Relevant category</t>
        </is>
      </c>
      <c r="AR160" s="5" t="inlineStr">
        <is>
          <t>https://www.yorkshire.com/elland/shopping/off-license</t>
        </is>
      </c>
      <c r="AS160" s="5" t="inlineStr"/>
      <c r="AT160" s="5" t="inlineStr">
        <is>
          <t>1</t>
        </is>
      </c>
      <c r="AU160" s="5" t="inlineStr">
        <is>
          <t>No</t>
        </is>
      </c>
      <c r="AV160" s="5" t="inlineStr">
        <is>
          <t>No</t>
        </is>
      </c>
      <c r="AW160" s="5" t="inlineStr">
        <is>
          <t>No</t>
        </is>
      </c>
      <c r="AX160" s="5" t="inlineStr">
        <is>
          <t>No</t>
        </is>
      </c>
      <c r="AY160" s="5" t="inlineStr">
        <is>
          <t>Not Found</t>
        </is>
      </c>
      <c r="AZ160" s="5" t="inlineStr">
        <is>
          <t>Not Found</t>
        </is>
      </c>
      <c r="BA160" s="5" t="inlineStr">
        <is>
          <t>2026-09-16</t>
        </is>
      </c>
      <c r="BB160" s="5" t="inlineStr">
        <is>
          <t>Requires Verification</t>
        </is>
      </c>
      <c r="BC160" s="5" t="inlineStr">
        <is>
          <t>Medium</t>
        </is>
      </c>
      <c r="BD160" s="5" t="inlineStr"/>
      <c r="BE160" s="5" t="inlineStr">
        <is>
          <t>Business (B2B)</t>
        </is>
      </c>
      <c r="BF160" s="5" t="inlineStr">
        <is>
          <t>Legitimate interest (B2B) - assess per campaign; PECR: corporate subscribers</t>
        </is>
      </c>
      <c r="BG160" s="5" t="inlineStr"/>
      <c r="BH160" s="5" t="inlineStr">
        <is>
          <t>No</t>
        </is>
      </c>
      <c r="BI160" s="5" t="inlineStr">
        <is>
          <t>2026-09-16</t>
        </is>
      </c>
      <c r="BJ160" s="5" t="inlineStr">
        <is>
          <t>New</t>
        </is>
      </c>
      <c r="BK160" s="5" t="inlineStr">
        <is>
          <t>2026-09-16</t>
        </is>
      </c>
      <c r="BL160" s="5" t="inlineStr"/>
      <c r="BM160" s="5" t="inlineStr"/>
      <c r="BN160" s="5" t="inlineStr"/>
      <c r="BO160" s="5" t="inlineStr"/>
      <c r="BP160" s="5" t="inlineStr"/>
      <c r="BQ160" s="5" t="inlineStr"/>
    </row>
    <row r="161">
      <c r="A161" s="10" t="inlineStr">
        <is>
          <t>WY-0160</t>
        </is>
      </c>
      <c r="B161" s="10" t="inlineStr">
        <is>
          <t>WY-0160-01</t>
        </is>
      </c>
      <c r="C161" s="10" t="inlineStr"/>
      <c r="D161" s="10" t="inlineStr">
        <is>
          <t>The Shisha Shop Bradford</t>
        </is>
      </c>
      <c r="E161" s="10" t="inlineStr">
        <is>
          <t>The Shisha Shop Bradford</t>
        </is>
      </c>
      <c r="F161" s="10" t="inlineStr"/>
      <c r="G161" s="10" t="inlineStr">
        <is>
          <t>Smoke / Shisha Shop</t>
        </is>
      </c>
      <c r="H161" s="10" t="inlineStr">
        <is>
          <t>Shisha retail &amp; wholesale (pipes, flavour, charcoal)</t>
        </is>
      </c>
      <c r="I161" s="10" t="inlineStr">
        <is>
          <t>Independent</t>
        </is>
      </c>
      <c r="J161" s="10" t="inlineStr">
        <is>
          <t>1</t>
        </is>
      </c>
      <c r="K161" s="10" t="inlineStr"/>
      <c r="L161" s="10" t="inlineStr"/>
      <c r="M161" s="10" t="inlineStr">
        <is>
          <t>https://www.instagram.com/theshishashopbradford/</t>
        </is>
      </c>
      <c r="N161" s="10" t="inlineStr"/>
      <c r="O161" s="10" t="inlineStr">
        <is>
          <t>61 Leeds Road</t>
        </is>
      </c>
      <c r="P161" s="10" t="inlineStr"/>
      <c r="Q161" s="10" t="inlineStr">
        <is>
          <t>Bradford</t>
        </is>
      </c>
      <c r="R161" s="10" t="inlineStr">
        <is>
          <t>West Yorkshire</t>
        </is>
      </c>
      <c r="S161" s="10" t="inlineStr">
        <is>
          <t>BD1 5DY</t>
        </is>
      </c>
      <c r="T161" s="10" t="inlineStr">
        <is>
          <t>Yorkshire &amp; Humber</t>
        </is>
      </c>
      <c r="U161" s="10" t="inlineStr">
        <is>
          <t>England</t>
        </is>
      </c>
      <c r="V161" s="10" t="inlineStr">
        <is>
          <t>07466 392838</t>
        </is>
      </c>
      <c r="W161" s="10" t="inlineStr"/>
      <c r="X161" s="10" t="inlineStr"/>
      <c r="Y161" s="10" t="inlineStr"/>
      <c r="Z161" s="10" t="inlineStr"/>
      <c r="AA161" s="10" t="inlineStr"/>
      <c r="AB161" s="10" t="inlineStr"/>
      <c r="AC161" s="10" t="inlineStr"/>
      <c r="AD161" s="10" t="inlineStr"/>
      <c r="AE161" s="10" t="inlineStr"/>
      <c r="AF161" s="10" t="inlineStr"/>
      <c r="AG161" s="10" t="inlineStr"/>
      <c r="AH161" s="10" t="inlineStr"/>
      <c r="AI161" s="10" t="inlineStr"/>
      <c r="AJ161" s="10" t="inlineStr"/>
      <c r="AK161" s="10" t="inlineStr">
        <is>
          <t>shisha pipes; shisha flavour; charcoal; accessories</t>
        </is>
      </c>
      <c r="AL161" s="10" t="inlineStr"/>
      <c r="AM161" s="10" t="inlineStr">
        <is>
          <t>Smoke / Shisha Shop</t>
        </is>
      </c>
      <c r="AN161" s="10" t="inlineStr"/>
      <c r="AO161" s="10" t="inlineStr">
        <is>
          <t>Retails AND wholesales shisha products - potential trade buyer. Phone is a WhatsApp number taken from its Instagram profile as summarised in search results.</t>
        </is>
      </c>
      <c r="AP161" s="10" t="inlineStr">
        <is>
          <t>Medium</t>
        </is>
      </c>
      <c r="AQ161" s="10" t="inlineStr">
        <is>
          <t>Independent retailer; Core relevant category; Social presence</t>
        </is>
      </c>
      <c r="AR161" s="10" t="inlineStr">
        <is>
          <t>https://www.instagram.com/theshishashopbradford/</t>
        </is>
      </c>
      <c r="AS161" s="10" t="inlineStr"/>
      <c r="AT161" s="10" t="inlineStr">
        <is>
          <t>1</t>
        </is>
      </c>
      <c r="AU161" s="10" t="inlineStr">
        <is>
          <t>No</t>
        </is>
      </c>
      <c r="AV161" s="10" t="inlineStr">
        <is>
          <t>No</t>
        </is>
      </c>
      <c r="AW161" s="10" t="inlineStr">
        <is>
          <t>No</t>
        </is>
      </c>
      <c r="AX161" s="10" t="inlineStr">
        <is>
          <t>No</t>
        </is>
      </c>
      <c r="AY161" s="10" t="inlineStr">
        <is>
          <t>Unverified</t>
        </is>
      </c>
      <c r="AZ161" s="10" t="inlineStr">
        <is>
          <t>Not Found</t>
        </is>
      </c>
      <c r="BA161" s="10" t="inlineStr">
        <is>
          <t>2026-09-16</t>
        </is>
      </c>
      <c r="BB161" s="10" t="inlineStr">
        <is>
          <t>Requires Verification</t>
        </is>
      </c>
      <c r="BC161" s="10" t="inlineStr">
        <is>
          <t>Medium</t>
        </is>
      </c>
      <c r="BD161" s="10" t="inlineStr"/>
      <c r="BE161" s="10" t="inlineStr">
        <is>
          <t>Business (B2B)</t>
        </is>
      </c>
      <c r="BF161" s="10" t="inlineStr">
        <is>
          <t>Legitimate interest (B2B) - assess per campaign; PECR: corporate subscribers</t>
        </is>
      </c>
      <c r="BG161" s="10" t="inlineStr"/>
      <c r="BH161" s="10" t="inlineStr">
        <is>
          <t>No</t>
        </is>
      </c>
      <c r="BI161" s="10" t="inlineStr">
        <is>
          <t>2026-09-16</t>
        </is>
      </c>
      <c r="BJ161" s="10" t="inlineStr">
        <is>
          <t>New</t>
        </is>
      </c>
      <c r="BK161" s="10" t="inlineStr">
        <is>
          <t>2026-09-16</t>
        </is>
      </c>
      <c r="BL161" s="10" t="inlineStr"/>
      <c r="BM161" s="10" t="inlineStr"/>
      <c r="BN161" s="10" t="inlineStr"/>
      <c r="BO161" s="10" t="inlineStr"/>
      <c r="BP161" s="10" t="inlineStr"/>
      <c r="BQ161" s="10" t="inlineStr"/>
    </row>
    <row r="162">
      <c r="A162" s="5" t="inlineStr">
        <is>
          <t>WY-0161</t>
        </is>
      </c>
      <c r="B162" s="5" t="inlineStr">
        <is>
          <t>WY-0161-01</t>
        </is>
      </c>
      <c r="C162" s="5" t="inlineStr"/>
      <c r="D162" s="5" t="inlineStr">
        <is>
          <t>The Vape Hub</t>
        </is>
      </c>
      <c r="E162" s="5" t="inlineStr">
        <is>
          <t>The Vape Hub Bradford</t>
        </is>
      </c>
      <c r="F162" s="5" t="inlineStr"/>
      <c r="G162" s="5" t="inlineStr">
        <is>
          <t>Vape Shop</t>
        </is>
      </c>
      <c r="H162" s="5" t="inlineStr">
        <is>
          <t>Local vape shop</t>
        </is>
      </c>
      <c r="I162" s="5" t="inlineStr">
        <is>
          <t>Independent</t>
        </is>
      </c>
      <c r="J162" s="5" t="inlineStr">
        <is>
          <t>1</t>
        </is>
      </c>
      <c r="K162" s="5" t="inlineStr"/>
      <c r="L162" s="5" t="inlineStr">
        <is>
          <t>https://www.facebook.com/tvhbradford/</t>
        </is>
      </c>
      <c r="M162" s="5" t="inlineStr"/>
      <c r="N162" s="5" t="inlineStr"/>
      <c r="O162" s="5" t="inlineStr">
        <is>
          <t>105b Cooper Lane</t>
        </is>
      </c>
      <c r="P162" s="5" t="inlineStr"/>
      <c r="Q162" s="5" t="inlineStr">
        <is>
          <t>Bradford</t>
        </is>
      </c>
      <c r="R162" s="5" t="inlineStr">
        <is>
          <t>West Yorkshire</t>
        </is>
      </c>
      <c r="S162" s="5" t="inlineStr">
        <is>
          <t>BD6 3PB</t>
        </is>
      </c>
      <c r="T162" s="5" t="inlineStr">
        <is>
          <t>Yorkshire &amp; Humber</t>
        </is>
      </c>
      <c r="U162" s="5" t="inlineStr">
        <is>
          <t>England</t>
        </is>
      </c>
      <c r="V162" s="5" t="inlineStr">
        <is>
          <t>01274 785496</t>
        </is>
      </c>
      <c r="W162" s="5" t="inlineStr"/>
      <c r="X162" s="5" t="inlineStr"/>
      <c r="Y162" s="5" t="inlineStr"/>
      <c r="Z162" s="5" t="inlineStr"/>
      <c r="AA162" s="5" t="inlineStr"/>
      <c r="AB162" s="5" t="inlineStr"/>
      <c r="AC162" s="5" t="inlineStr"/>
      <c r="AD162" s="5" t="inlineStr"/>
      <c r="AE162" s="5" t="inlineStr"/>
      <c r="AF162" s="5" t="inlineStr"/>
      <c r="AG162" s="5" t="inlineStr"/>
      <c r="AH162" s="5" t="inlineStr"/>
      <c r="AI162" s="5" t="inlineStr"/>
      <c r="AJ162" s="5" t="inlineStr"/>
      <c r="AK162" s="5" t="inlineStr">
        <is>
          <t>vape hardware; e-liquids</t>
        </is>
      </c>
      <c r="AL162" s="5" t="inlineStr"/>
      <c r="AM162" s="5" t="inlineStr">
        <is>
          <t>Vape Shop</t>
        </is>
      </c>
      <c r="AN162" s="5" t="inlineStr"/>
      <c r="AO162" s="5" t="inlineStr">
        <is>
          <t>South Bradford (Buttershaw/Queensbury side). Address and phone consistent across Cylex and Yell listings.</t>
        </is>
      </c>
      <c r="AP162" s="5" t="inlineStr">
        <is>
          <t>Medium</t>
        </is>
      </c>
      <c r="AQ162" s="5" t="inlineStr">
        <is>
          <t>Independent retailer; Core relevant category; Social presence</t>
        </is>
      </c>
      <c r="AR162" s="5" t="inlineStr">
        <is>
          <t>https://www.yell.com/biz/the-vape-hub-bradford-10128282/</t>
        </is>
      </c>
      <c r="AS162" s="5" t="inlineStr">
        <is>
          <t>https://www.facebook.com/tvhbradford/</t>
        </is>
      </c>
      <c r="AT162" s="5" t="inlineStr">
        <is>
          <t>3</t>
        </is>
      </c>
      <c r="AU162" s="5" t="inlineStr">
        <is>
          <t>No</t>
        </is>
      </c>
      <c r="AV162" s="5" t="inlineStr">
        <is>
          <t>No</t>
        </is>
      </c>
      <c r="AW162" s="5" t="inlineStr">
        <is>
          <t>No</t>
        </is>
      </c>
      <c r="AX162" s="5" t="inlineStr">
        <is>
          <t>No</t>
        </is>
      </c>
      <c r="AY162" s="5" t="inlineStr">
        <is>
          <t>Verified directory</t>
        </is>
      </c>
      <c r="AZ162" s="5" t="inlineStr">
        <is>
          <t>Not Found</t>
        </is>
      </c>
      <c r="BA162" s="5" t="inlineStr">
        <is>
          <t>2026-09-16</t>
        </is>
      </c>
      <c r="BB162" s="5" t="inlineStr">
        <is>
          <t>Requires Verification</t>
        </is>
      </c>
      <c r="BC162" s="5" t="inlineStr">
        <is>
          <t>Medium</t>
        </is>
      </c>
      <c r="BD162" s="5" t="inlineStr"/>
      <c r="BE162" s="5" t="inlineStr">
        <is>
          <t>Business (B2B)</t>
        </is>
      </c>
      <c r="BF162" s="5" t="inlineStr">
        <is>
          <t>Legitimate interest (B2B) - assess per campaign; PECR: corporate subscribers</t>
        </is>
      </c>
      <c r="BG162" s="5" t="inlineStr"/>
      <c r="BH162" s="5" t="inlineStr">
        <is>
          <t>No</t>
        </is>
      </c>
      <c r="BI162" s="5" t="inlineStr">
        <is>
          <t>2026-09-16</t>
        </is>
      </c>
      <c r="BJ162" s="5" t="inlineStr">
        <is>
          <t>New</t>
        </is>
      </c>
      <c r="BK162" s="5" t="inlineStr">
        <is>
          <t>2026-09-16</t>
        </is>
      </c>
      <c r="BL162" s="5" t="inlineStr"/>
      <c r="BM162" s="5" t="inlineStr"/>
      <c r="BN162" s="5" t="inlineStr"/>
      <c r="BO162" s="5" t="inlineStr"/>
      <c r="BP162" s="5" t="inlineStr"/>
      <c r="BQ162" s="5" t="inlineStr"/>
    </row>
    <row r="163">
      <c r="A163" s="10" t="inlineStr">
        <is>
          <t>WY-0162</t>
        </is>
      </c>
      <c r="B163" s="10" t="inlineStr">
        <is>
          <t>WY-0162-01</t>
        </is>
      </c>
      <c r="C163" s="10" t="inlineStr"/>
      <c r="D163" s="10" t="inlineStr">
        <is>
          <t>The Vape Shop Wakefield</t>
        </is>
      </c>
      <c r="E163" s="10" t="inlineStr">
        <is>
          <t>The Vape Shop</t>
        </is>
      </c>
      <c r="F163" s="10" t="inlineStr"/>
      <c r="G163" s="10" t="inlineStr">
        <is>
          <t>Vape Shop</t>
        </is>
      </c>
      <c r="H163" s="10" t="inlineStr">
        <is>
          <t>E-cigarettes and e-liquids (American and British ranges)</t>
        </is>
      </c>
      <c r="I163" s="10" t="inlineStr">
        <is>
          <t>Independent</t>
        </is>
      </c>
      <c r="J163" s="10" t="inlineStr">
        <is>
          <t>1</t>
        </is>
      </c>
      <c r="K163" s="10" t="inlineStr"/>
      <c r="L163" s="10" t="inlineStr">
        <is>
          <t>https://www.facebook.com/vapeshopwakefield.uk/</t>
        </is>
      </c>
      <c r="M163" s="10" t="inlineStr"/>
      <c r="N163" s="10" t="inlineStr"/>
      <c r="O163" s="10" t="inlineStr">
        <is>
          <t>Horbury Road</t>
        </is>
      </c>
      <c r="P163" s="10" t="inlineStr"/>
      <c r="Q163" s="10" t="inlineStr">
        <is>
          <t>Wakefield</t>
        </is>
      </c>
      <c r="R163" s="10" t="inlineStr">
        <is>
          <t>West Yorkshire</t>
        </is>
      </c>
      <c r="S163" s="10" t="inlineStr"/>
      <c r="T163" s="10" t="inlineStr">
        <is>
          <t>Yorkshire &amp; Humber</t>
        </is>
      </c>
      <c r="U163" s="10" t="inlineStr">
        <is>
          <t>England</t>
        </is>
      </c>
      <c r="V163" s="10" t="inlineStr"/>
      <c r="W163" s="10" t="inlineStr"/>
      <c r="X163" s="10" t="inlineStr"/>
      <c r="Y163" s="10" t="inlineStr"/>
      <c r="Z163" s="10" t="inlineStr"/>
      <c r="AA163" s="10" t="inlineStr"/>
      <c r="AB163" s="10" t="inlineStr"/>
      <c r="AC163" s="10" t="inlineStr"/>
      <c r="AD163" s="10" t="inlineStr"/>
      <c r="AE163" s="10" t="inlineStr"/>
      <c r="AF163" s="10" t="inlineStr"/>
      <c r="AG163" s="10" t="inlineStr"/>
      <c r="AH163" s="10" t="inlineStr"/>
      <c r="AI163" s="10" t="inlineStr"/>
      <c r="AJ163" s="10" t="inlineStr"/>
      <c r="AK163" s="10" t="inlineStr">
        <is>
          <t>e-cigarettes; e-liquids</t>
        </is>
      </c>
      <c r="AL163" s="10" t="inlineStr"/>
      <c r="AM163" s="10" t="inlineStr">
        <is>
          <t>Vape Shop</t>
        </is>
      </c>
      <c r="AN163" s="10" t="inlineStr"/>
      <c r="AO163" s="10" t="inlineStr">
        <is>
          <t>Facebook page describes a popular, well-established e-cig shop on the outskirts of Wakefield city centre; Cylex lists it on Horbury Road. Street number not captured.</t>
        </is>
      </c>
      <c r="AP163" s="10" t="inlineStr">
        <is>
          <t>Medium</t>
        </is>
      </c>
      <c r="AQ163" s="10" t="inlineStr">
        <is>
          <t>Independent retailer; Core relevant category; Social presence</t>
        </is>
      </c>
      <c r="AR163" s="10" t="inlineStr">
        <is>
          <t>https://www.facebook.com/vapeshopwakefield.uk/</t>
        </is>
      </c>
      <c r="AS163" s="10" t="inlineStr">
        <is>
          <t>https://wakefield.cylex-uk.co.uk/company/the-vape-shop-26780276.html</t>
        </is>
      </c>
      <c r="AT163" s="10" t="inlineStr">
        <is>
          <t>2</t>
        </is>
      </c>
      <c r="AU163" s="10" t="inlineStr">
        <is>
          <t>No</t>
        </is>
      </c>
      <c r="AV163" s="10" t="inlineStr">
        <is>
          <t>No</t>
        </is>
      </c>
      <c r="AW163" s="10" t="inlineStr">
        <is>
          <t>No</t>
        </is>
      </c>
      <c r="AX163" s="10" t="inlineStr">
        <is>
          <t>No</t>
        </is>
      </c>
      <c r="AY163" s="10" t="inlineStr">
        <is>
          <t>Not Found</t>
        </is>
      </c>
      <c r="AZ163" s="10" t="inlineStr">
        <is>
          <t>Not Found</t>
        </is>
      </c>
      <c r="BA163" s="10" t="inlineStr">
        <is>
          <t>2026-09-16</t>
        </is>
      </c>
      <c r="BB163" s="10" t="inlineStr">
        <is>
          <t>Requires Verification</t>
        </is>
      </c>
      <c r="BC163" s="10" t="inlineStr">
        <is>
          <t>Low</t>
        </is>
      </c>
      <c r="BD163" s="10" t="inlineStr"/>
      <c r="BE163" s="10" t="inlineStr">
        <is>
          <t>Business (B2B)</t>
        </is>
      </c>
      <c r="BF163" s="10" t="inlineStr">
        <is>
          <t>Legitimate interest (B2B) - assess per campaign; PECR: corporate subscribers</t>
        </is>
      </c>
      <c r="BG163" s="10" t="inlineStr"/>
      <c r="BH163" s="10" t="inlineStr">
        <is>
          <t>No</t>
        </is>
      </c>
      <c r="BI163" s="10" t="inlineStr">
        <is>
          <t>2026-09-16</t>
        </is>
      </c>
      <c r="BJ163" s="10" t="inlineStr">
        <is>
          <t>New</t>
        </is>
      </c>
      <c r="BK163" s="10" t="inlineStr">
        <is>
          <t>2026-09-16</t>
        </is>
      </c>
      <c r="BL163" s="10" t="inlineStr"/>
      <c r="BM163" s="10" t="inlineStr"/>
      <c r="BN163" s="10" t="inlineStr"/>
      <c r="BO163" s="10" t="inlineStr"/>
      <c r="BP163" s="10" t="inlineStr"/>
      <c r="BQ163" s="10" t="inlineStr"/>
    </row>
    <row r="164">
      <c r="A164" s="5" t="inlineStr">
        <is>
          <t>WY-0163</t>
        </is>
      </c>
      <c r="B164" s="5" t="inlineStr">
        <is>
          <t>WY-0163-01</t>
        </is>
      </c>
      <c r="C164" s="5" t="inlineStr"/>
      <c r="D164" s="5" t="inlineStr">
        <is>
          <t>The Vintage Vapour Co</t>
        </is>
      </c>
      <c r="E164" s="5" t="inlineStr">
        <is>
          <t>The Vintage Vapour Co</t>
        </is>
      </c>
      <c r="F164" s="5" t="inlineStr">
        <is>
          <t>The Vintage Vapour Co Ltd</t>
        </is>
      </c>
      <c r="G164" s="5" t="inlineStr">
        <is>
          <t>Vape Shop</t>
        </is>
      </c>
      <c r="H164" s="5" t="inlineStr">
        <is>
          <t>Vape retailer</t>
        </is>
      </c>
      <c r="I164" s="5" t="inlineStr">
        <is>
          <t>Independent</t>
        </is>
      </c>
      <c r="J164" s="5" t="inlineStr">
        <is>
          <t>1</t>
        </is>
      </c>
      <c r="K164" s="5" t="inlineStr"/>
      <c r="L164" s="5" t="inlineStr"/>
      <c r="M164" s="5" t="inlineStr"/>
      <c r="N164" s="5" t="inlineStr"/>
      <c r="O164" s="5" t="inlineStr">
        <is>
          <t>12 Town End</t>
        </is>
      </c>
      <c r="P164" s="5" t="inlineStr"/>
      <c r="Q164" s="5" t="inlineStr">
        <is>
          <t>Ossett</t>
        </is>
      </c>
      <c r="R164" s="5" t="inlineStr">
        <is>
          <t>West Yorkshire</t>
        </is>
      </c>
      <c r="S164" s="5" t="inlineStr">
        <is>
          <t>WF5 8BJ</t>
        </is>
      </c>
      <c r="T164" s="5" t="inlineStr">
        <is>
          <t>Yorkshire &amp; Humber</t>
        </is>
      </c>
      <c r="U164" s="5" t="inlineStr">
        <is>
          <t>England</t>
        </is>
      </c>
      <c r="V164" s="5" t="inlineStr"/>
      <c r="W164" s="5" t="inlineStr"/>
      <c r="X164" s="5" t="inlineStr"/>
      <c r="Y164" s="5" t="inlineStr"/>
      <c r="Z164" s="5" t="inlineStr"/>
      <c r="AA164" s="5" t="inlineStr"/>
      <c r="AB164" s="5" t="inlineStr"/>
      <c r="AC164" s="5" t="inlineStr"/>
      <c r="AD164" s="5" t="inlineStr"/>
      <c r="AE164" s="5" t="inlineStr"/>
      <c r="AF164" s="5" t="inlineStr"/>
      <c r="AG164" s="5" t="inlineStr"/>
      <c r="AH164" s="5" t="inlineStr"/>
      <c r="AI164" s="5" t="inlineStr"/>
      <c r="AJ164" s="5" t="inlineStr"/>
      <c r="AK164" s="5" t="inlineStr">
        <is>
          <t>vape hardware; e-liquids</t>
        </is>
      </c>
      <c r="AL164" s="5" t="inlineStr"/>
      <c r="AM164" s="5" t="inlineStr">
        <is>
          <t>Vape Shop</t>
        </is>
      </c>
      <c r="AN164" s="5" t="inlineStr"/>
      <c r="AO164" s="5" t="inlineStr">
        <is>
          <t>Listed in Vape Geezer West Yorkshire directory as 'The Vintage Vapour Co Ltd' - limited company suffix from the directory listing; Companies House record not yet verified.</t>
        </is>
      </c>
      <c r="AP164" s="5" t="inlineStr">
        <is>
          <t>Medium</t>
        </is>
      </c>
      <c r="AQ164" s="5" t="inlineStr">
        <is>
          <t>Independent retailer; Core relevant category</t>
        </is>
      </c>
      <c r="AR164" s="5" t="inlineStr">
        <is>
          <t>https://vapegeezer.co.uk/vape-shop-directory/locations/west-yorkshire/</t>
        </is>
      </c>
      <c r="AS164" s="5" t="inlineStr"/>
      <c r="AT164" s="5" t="inlineStr">
        <is>
          <t>1</t>
        </is>
      </c>
      <c r="AU164" s="5" t="inlineStr">
        <is>
          <t>No</t>
        </is>
      </c>
      <c r="AV164" s="5" t="inlineStr">
        <is>
          <t>No</t>
        </is>
      </c>
      <c r="AW164" s="5" t="inlineStr">
        <is>
          <t>No</t>
        </is>
      </c>
      <c r="AX164" s="5" t="inlineStr">
        <is>
          <t>No</t>
        </is>
      </c>
      <c r="AY164" s="5" t="inlineStr">
        <is>
          <t>Not Found</t>
        </is>
      </c>
      <c r="AZ164" s="5" t="inlineStr">
        <is>
          <t>Not Found</t>
        </is>
      </c>
      <c r="BA164" s="5" t="inlineStr">
        <is>
          <t>2026-09-16</t>
        </is>
      </c>
      <c r="BB164" s="5" t="inlineStr">
        <is>
          <t>Requires Verification</t>
        </is>
      </c>
      <c r="BC164" s="5" t="inlineStr">
        <is>
          <t>Low</t>
        </is>
      </c>
      <c r="BD164" s="5" t="inlineStr"/>
      <c r="BE164" s="5" t="inlineStr">
        <is>
          <t>Business (B2B)</t>
        </is>
      </c>
      <c r="BF164" s="5" t="inlineStr">
        <is>
          <t>Legitimate interest (B2B) - assess per campaign; PECR: corporate subscribers</t>
        </is>
      </c>
      <c r="BG164" s="5" t="inlineStr"/>
      <c r="BH164" s="5" t="inlineStr">
        <is>
          <t>No</t>
        </is>
      </c>
      <c r="BI164" s="5" t="inlineStr">
        <is>
          <t>2026-09-16</t>
        </is>
      </c>
      <c r="BJ164" s="5" t="inlineStr">
        <is>
          <t>New</t>
        </is>
      </c>
      <c r="BK164" s="5" t="inlineStr">
        <is>
          <t>2026-09-16</t>
        </is>
      </c>
      <c r="BL164" s="5" t="inlineStr"/>
      <c r="BM164" s="5" t="inlineStr"/>
      <c r="BN164" s="5" t="inlineStr"/>
      <c r="BO164" s="5" t="inlineStr"/>
      <c r="BP164" s="5" t="inlineStr"/>
      <c r="BQ164" s="5" t="inlineStr"/>
    </row>
    <row r="165">
      <c r="A165" s="10" t="inlineStr">
        <is>
          <t>WY-0164</t>
        </is>
      </c>
      <c r="B165" s="10" t="inlineStr">
        <is>
          <t>WY-0164-01</t>
        </is>
      </c>
      <c r="C165" s="10" t="inlineStr"/>
      <c r="D165" s="10" t="inlineStr">
        <is>
          <t>Thornhill Convenience Store</t>
        </is>
      </c>
      <c r="E165" s="10" t="inlineStr">
        <is>
          <t>Thornhill Convenience Store</t>
        </is>
      </c>
      <c r="F165" s="10" t="inlineStr"/>
      <c r="G165" s="10" t="inlineStr">
        <is>
          <t>Convenience Store</t>
        </is>
      </c>
      <c r="H165" s="10" t="inlineStr">
        <is>
          <t>Convenience store</t>
        </is>
      </c>
      <c r="I165" s="10" t="inlineStr">
        <is>
          <t>Independent</t>
        </is>
      </c>
      <c r="J165" s="10" t="inlineStr">
        <is>
          <t>1</t>
        </is>
      </c>
      <c r="K165" s="10" t="inlineStr"/>
      <c r="L165" s="10" t="inlineStr"/>
      <c r="M165" s="10" t="inlineStr"/>
      <c r="N165" s="10" t="inlineStr"/>
      <c r="O165" s="10" t="inlineStr">
        <is>
          <t>1b Brewery Lane</t>
        </is>
      </c>
      <c r="P165" s="10" t="inlineStr">
        <is>
          <t>Thornhill</t>
        </is>
      </c>
      <c r="Q165" s="10" t="inlineStr">
        <is>
          <t>Dewsbury</t>
        </is>
      </c>
      <c r="R165" s="10" t="inlineStr">
        <is>
          <t>West Yorkshire</t>
        </is>
      </c>
      <c r="S165" s="10" t="inlineStr">
        <is>
          <t>WF12 9DZ</t>
        </is>
      </c>
      <c r="T165" s="10" t="inlineStr">
        <is>
          <t>Yorkshire &amp; Humber</t>
        </is>
      </c>
      <c r="U165" s="10" t="inlineStr">
        <is>
          <t>England</t>
        </is>
      </c>
      <c r="V165" s="10" t="inlineStr">
        <is>
          <t>01924 462478</t>
        </is>
      </c>
      <c r="W165" s="10" t="inlineStr"/>
      <c r="X165" s="10" t="inlineStr"/>
      <c r="Y165" s="10" t="inlineStr"/>
      <c r="Z165" s="10" t="inlineStr"/>
      <c r="AA165" s="10" t="inlineStr"/>
      <c r="AB165" s="10" t="inlineStr"/>
      <c r="AC165" s="10" t="inlineStr"/>
      <c r="AD165" s="10" t="inlineStr"/>
      <c r="AE165" s="10" t="inlineStr"/>
      <c r="AF165" s="10" t="inlineStr"/>
      <c r="AG165" s="10" t="inlineStr"/>
      <c r="AH165" s="10" t="inlineStr"/>
      <c r="AI165" s="10" t="inlineStr"/>
      <c r="AJ165" s="10" t="inlineStr"/>
      <c r="AK165" s="10" t="inlineStr">
        <is>
          <t>convenience goods; groceries; tobacco</t>
        </is>
      </c>
      <c r="AL165" s="10" t="inlineStr"/>
      <c r="AM165" s="10" t="inlineStr">
        <is>
          <t>Convenience Store</t>
        </is>
      </c>
      <c r="AN165" s="10" t="inlineStr"/>
      <c r="AO165" s="10" t="inlineStr"/>
      <c r="AP165" s="10" t="inlineStr">
        <is>
          <t>Low</t>
        </is>
      </c>
      <c r="AQ165" s="10" t="inlineStr">
        <is>
          <t>Independent retailer; Relevant category</t>
        </is>
      </c>
      <c r="AR165" s="10" t="inlineStr">
        <is>
          <t>https://dewsbury.cylex-uk.co.uk/company/thornhill-convenience-store-28660320.html</t>
        </is>
      </c>
      <c r="AS165" s="10" t="inlineStr"/>
      <c r="AT165" s="10" t="inlineStr">
        <is>
          <t>1</t>
        </is>
      </c>
      <c r="AU165" s="10" t="inlineStr">
        <is>
          <t>No</t>
        </is>
      </c>
      <c r="AV165" s="10" t="inlineStr">
        <is>
          <t>No</t>
        </is>
      </c>
      <c r="AW165" s="10" t="inlineStr">
        <is>
          <t>No</t>
        </is>
      </c>
      <c r="AX165" s="10" t="inlineStr">
        <is>
          <t>No</t>
        </is>
      </c>
      <c r="AY165" s="10" t="inlineStr">
        <is>
          <t>Verified directory</t>
        </is>
      </c>
      <c r="AZ165" s="10" t="inlineStr">
        <is>
          <t>Not Found</t>
        </is>
      </c>
      <c r="BA165" s="10" t="inlineStr">
        <is>
          <t>2026-09-16</t>
        </is>
      </c>
      <c r="BB165" s="10" t="inlineStr">
        <is>
          <t>Requires Verification</t>
        </is>
      </c>
      <c r="BC165" s="10" t="inlineStr">
        <is>
          <t>Medium</t>
        </is>
      </c>
      <c r="BD165" s="10" t="inlineStr"/>
      <c r="BE165" s="10" t="inlineStr">
        <is>
          <t>Business (B2B)</t>
        </is>
      </c>
      <c r="BF165" s="10" t="inlineStr">
        <is>
          <t>Legitimate interest (B2B) - assess per campaign; PECR: corporate subscribers</t>
        </is>
      </c>
      <c r="BG165" s="10" t="inlineStr"/>
      <c r="BH165" s="10" t="inlineStr">
        <is>
          <t>No</t>
        </is>
      </c>
      <c r="BI165" s="10" t="inlineStr">
        <is>
          <t>2026-09-16</t>
        </is>
      </c>
      <c r="BJ165" s="10" t="inlineStr">
        <is>
          <t>New</t>
        </is>
      </c>
      <c r="BK165" s="10" t="inlineStr">
        <is>
          <t>2026-09-16</t>
        </is>
      </c>
      <c r="BL165" s="10" t="inlineStr"/>
      <c r="BM165" s="10" t="inlineStr"/>
      <c r="BN165" s="10" t="inlineStr"/>
      <c r="BO165" s="10" t="inlineStr"/>
      <c r="BP165" s="10" t="inlineStr"/>
      <c r="BQ165" s="10" t="inlineStr"/>
    </row>
    <row r="166">
      <c r="A166" s="5" t="inlineStr">
        <is>
          <t>WY-0165</t>
        </is>
      </c>
      <c r="B166" s="5" t="inlineStr">
        <is>
          <t>WY-0165-01</t>
        </is>
      </c>
      <c r="C166" s="5" t="inlineStr"/>
      <c r="D166" s="5" t="inlineStr">
        <is>
          <t>Todmorden Newscentre</t>
        </is>
      </c>
      <c r="E166" s="5" t="inlineStr">
        <is>
          <t>Todmorden Newscentre (formerly Cryers News)</t>
        </is>
      </c>
      <c r="F166" s="5" t="inlineStr">
        <is>
          <t>TODMORDEN NEWS CENTRE LIMITED</t>
        </is>
      </c>
      <c r="G166" s="5" t="inlineStr">
        <is>
          <t>Newsagent</t>
        </is>
      </c>
      <c r="H166" s="5" t="inlineStr">
        <is>
          <t>Newsagent with Amazon Counter parcel service</t>
        </is>
      </c>
      <c r="I166" s="5" t="inlineStr">
        <is>
          <t>Independent</t>
        </is>
      </c>
      <c r="J166" s="5" t="inlineStr">
        <is>
          <t>1</t>
        </is>
      </c>
      <c r="K166" s="5" t="inlineStr"/>
      <c r="L166" s="5" t="inlineStr"/>
      <c r="M166" s="5" t="inlineStr"/>
      <c r="N166" s="5" t="inlineStr"/>
      <c r="O166" s="5" t="inlineStr">
        <is>
          <t>15 Bridge Street</t>
        </is>
      </c>
      <c r="P166" s="5" t="inlineStr"/>
      <c r="Q166" s="5" t="inlineStr">
        <is>
          <t>Todmorden</t>
        </is>
      </c>
      <c r="R166" s="5" t="inlineStr">
        <is>
          <t>West Yorkshire</t>
        </is>
      </c>
      <c r="S166" s="5" t="inlineStr">
        <is>
          <t>OL14 5AQ</t>
        </is>
      </c>
      <c r="T166" s="5" t="inlineStr">
        <is>
          <t>Yorkshire &amp; Humber</t>
        </is>
      </c>
      <c r="U166" s="5" t="inlineStr">
        <is>
          <t>England</t>
        </is>
      </c>
      <c r="V166" s="5" t="inlineStr">
        <is>
          <t>01706 819889</t>
        </is>
      </c>
      <c r="W166" s="5" t="inlineStr"/>
      <c r="X166" s="5" t="inlineStr"/>
      <c r="Y166" s="5" t="inlineStr"/>
      <c r="Z166" s="5" t="inlineStr"/>
      <c r="AA166" s="5" t="inlineStr"/>
      <c r="AB166" s="5" t="inlineStr"/>
      <c r="AC166" s="5" t="inlineStr"/>
      <c r="AD166" s="5" t="inlineStr"/>
      <c r="AE166" s="5" t="inlineStr">
        <is>
          <t>07292504</t>
        </is>
      </c>
      <c r="AF166" s="5" t="inlineStr">
        <is>
          <t>Active</t>
        </is>
      </c>
      <c r="AG166" s="5" t="inlineStr">
        <is>
          <t>TODMORDEN NEWS CENTRE LIMITED</t>
        </is>
      </c>
      <c r="AH166" s="5" t="inlineStr">
        <is>
          <t>15 Bridge Street, Todmorden, Lancashire, OL14 5AQ</t>
        </is>
      </c>
      <c r="AI166" s="5" t="inlineStr">
        <is>
          <t>2010-06-22</t>
        </is>
      </c>
      <c r="AJ166" s="5" t="inlineStr"/>
      <c r="AK166" s="5" t="inlineStr">
        <is>
          <t>news; tobacco; confectionery; convenience</t>
        </is>
      </c>
      <c r="AL166" s="5" t="inlineStr"/>
      <c r="AM166" s="5" t="inlineStr">
        <is>
          <t>Newsagent</t>
        </is>
      </c>
      <c r="AN166" s="5" t="inlineStr"/>
      <c r="AO166" s="5" t="inlineStr">
        <is>
          <t>SIC: retail sale in non-specialised stores with food, beverages or tobacco predominating. Micro company. Registered office address uses the historic 'Lancashire' postal county; the town is in Calderdale, West Yorkshire.</t>
        </is>
      </c>
      <c r="AP166" s="5" t="inlineStr">
        <is>
          <t>Low</t>
        </is>
      </c>
      <c r="AQ166" s="5" t="inlineStr">
        <is>
          <t>Independent retailer; Relevant category</t>
        </is>
      </c>
      <c r="AR166" s="5" t="inlineStr">
        <is>
          <t>https://find-and-update.company-information.service.gov.uk/company/07292504</t>
        </is>
      </c>
      <c r="AS166" s="5" t="inlineStr">
        <is>
          <t>https://www.yell.com/biz/todmorden-newscentre-ltd-formerly-cryers-news-todmorden-1105850/</t>
        </is>
      </c>
      <c r="AT166" s="5" t="inlineStr">
        <is>
          <t>3</t>
        </is>
      </c>
      <c r="AU166" s="5" t="inlineStr">
        <is>
          <t>No</t>
        </is>
      </c>
      <c r="AV166" s="5" t="inlineStr">
        <is>
          <t>No</t>
        </is>
      </c>
      <c r="AW166" s="5" t="inlineStr">
        <is>
          <t>No</t>
        </is>
      </c>
      <c r="AX166" s="5" t="inlineStr">
        <is>
          <t>Yes</t>
        </is>
      </c>
      <c r="AY166" s="5" t="inlineStr">
        <is>
          <t>Verified directory</t>
        </is>
      </c>
      <c r="AZ166" s="5" t="inlineStr">
        <is>
          <t>Not Found</t>
        </is>
      </c>
      <c r="BA166" s="5" t="inlineStr">
        <is>
          <t>2026-09-16</t>
        </is>
      </c>
      <c r="BB166" s="5" t="inlineStr">
        <is>
          <t>Partially Verified</t>
        </is>
      </c>
      <c r="BC166" s="5" t="inlineStr">
        <is>
          <t>Medium</t>
        </is>
      </c>
      <c r="BD166" s="5" t="inlineStr"/>
      <c r="BE166" s="5" t="inlineStr">
        <is>
          <t>Business (B2B)</t>
        </is>
      </c>
      <c r="BF166" s="5" t="inlineStr">
        <is>
          <t>Legitimate interest (B2B) - assess per campaign; PECR: corporate subscribers</t>
        </is>
      </c>
      <c r="BG166" s="5" t="inlineStr"/>
      <c r="BH166" s="5" t="inlineStr">
        <is>
          <t>No</t>
        </is>
      </c>
      <c r="BI166" s="5" t="inlineStr">
        <is>
          <t>2026-09-16</t>
        </is>
      </c>
      <c r="BJ166" s="5" t="inlineStr">
        <is>
          <t>New</t>
        </is>
      </c>
      <c r="BK166" s="5" t="inlineStr">
        <is>
          <t>2026-09-16</t>
        </is>
      </c>
      <c r="BL166" s="5" t="inlineStr"/>
      <c r="BM166" s="5" t="inlineStr"/>
      <c r="BN166" s="5" t="inlineStr"/>
      <c r="BO166" s="5" t="inlineStr"/>
      <c r="BP166" s="5" t="inlineStr"/>
      <c r="BQ166" s="5" t="inlineStr"/>
    </row>
    <row r="167">
      <c r="A167" s="10" t="inlineStr">
        <is>
          <t>WY-0166</t>
        </is>
      </c>
      <c r="B167" s="10" t="inlineStr">
        <is>
          <t>WY-0166-01</t>
        </is>
      </c>
      <c r="C167" s="10" t="inlineStr"/>
      <c r="D167" s="10" t="inlineStr">
        <is>
          <t>Told Vape Co</t>
        </is>
      </c>
      <c r="E167" s="10" t="inlineStr">
        <is>
          <t>Told Vape Co</t>
        </is>
      </c>
      <c r="F167" s="10" t="inlineStr"/>
      <c r="G167" s="10" t="inlineStr">
        <is>
          <t>Vape Shop</t>
        </is>
      </c>
      <c r="H167" s="10" t="inlineStr">
        <is>
          <t>Vape retailer</t>
        </is>
      </c>
      <c r="I167" s="10" t="inlineStr">
        <is>
          <t>Independent</t>
        </is>
      </c>
      <c r="J167" s="10" t="inlineStr">
        <is>
          <t>1</t>
        </is>
      </c>
      <c r="K167" s="10" t="inlineStr"/>
      <c r="L167" s="10" t="inlineStr"/>
      <c r="M167" s="10" t="inlineStr"/>
      <c r="N167" s="10" t="inlineStr"/>
      <c r="O167" s="10" t="inlineStr">
        <is>
          <t>29 Queen Street</t>
        </is>
      </c>
      <c r="P167" s="10" t="inlineStr"/>
      <c r="Q167" s="10" t="inlineStr">
        <is>
          <t>Horbury</t>
        </is>
      </c>
      <c r="R167" s="10" t="inlineStr">
        <is>
          <t>West Yorkshire</t>
        </is>
      </c>
      <c r="S167" s="10" t="inlineStr">
        <is>
          <t>WF4 6LP</t>
        </is>
      </c>
      <c r="T167" s="10" t="inlineStr">
        <is>
          <t>Yorkshire &amp; Humber</t>
        </is>
      </c>
      <c r="U167" s="10" t="inlineStr">
        <is>
          <t>England</t>
        </is>
      </c>
      <c r="V167" s="10" t="inlineStr"/>
      <c r="W167" s="10" t="inlineStr"/>
      <c r="X167" s="10" t="inlineStr"/>
      <c r="Y167" s="10" t="inlineStr"/>
      <c r="Z167" s="10" t="inlineStr"/>
      <c r="AA167" s="10" t="inlineStr"/>
      <c r="AB167" s="10" t="inlineStr"/>
      <c r="AC167" s="10" t="inlineStr"/>
      <c r="AD167" s="10" t="inlineStr"/>
      <c r="AE167" s="10" t="inlineStr"/>
      <c r="AF167" s="10" t="inlineStr"/>
      <c r="AG167" s="10" t="inlineStr"/>
      <c r="AH167" s="10" t="inlineStr"/>
      <c r="AI167" s="10" t="inlineStr"/>
      <c r="AJ167" s="10" t="inlineStr"/>
      <c r="AK167" s="10" t="inlineStr">
        <is>
          <t>vape hardware; e-liquids</t>
        </is>
      </c>
      <c r="AL167" s="10" t="inlineStr"/>
      <c r="AM167" s="10" t="inlineStr">
        <is>
          <t>Vape Shop</t>
        </is>
      </c>
      <c r="AN167" s="10" t="inlineStr"/>
      <c r="AO167" s="10" t="inlineStr">
        <is>
          <t>Independent vape shop on Horbury high street (Queen Street).</t>
        </is>
      </c>
      <c r="AP167" s="10" t="inlineStr">
        <is>
          <t>Medium</t>
        </is>
      </c>
      <c r="AQ167" s="10" t="inlineStr">
        <is>
          <t>Independent retailer; Core relevant category</t>
        </is>
      </c>
      <c r="AR167" s="10" t="inlineStr">
        <is>
          <t>https://ecigdirectory.co.uk/vape-shop/listing/told-vape-co</t>
        </is>
      </c>
      <c r="AS167" s="10" t="inlineStr"/>
      <c r="AT167" s="10" t="inlineStr">
        <is>
          <t>1</t>
        </is>
      </c>
      <c r="AU167" s="10" t="inlineStr">
        <is>
          <t>No</t>
        </is>
      </c>
      <c r="AV167" s="10" t="inlineStr">
        <is>
          <t>No</t>
        </is>
      </c>
      <c r="AW167" s="10" t="inlineStr">
        <is>
          <t>No</t>
        </is>
      </c>
      <c r="AX167" s="10" t="inlineStr">
        <is>
          <t>No</t>
        </is>
      </c>
      <c r="AY167" s="10" t="inlineStr">
        <is>
          <t>Not Found</t>
        </is>
      </c>
      <c r="AZ167" s="10" t="inlineStr">
        <is>
          <t>Not Found</t>
        </is>
      </c>
      <c r="BA167" s="10" t="inlineStr">
        <is>
          <t>2026-09-16</t>
        </is>
      </c>
      <c r="BB167" s="10" t="inlineStr">
        <is>
          <t>Requires Verification</t>
        </is>
      </c>
      <c r="BC167" s="10" t="inlineStr">
        <is>
          <t>Medium</t>
        </is>
      </c>
      <c r="BD167" s="10" t="inlineStr"/>
      <c r="BE167" s="10" t="inlineStr">
        <is>
          <t>Business (B2B)</t>
        </is>
      </c>
      <c r="BF167" s="10" t="inlineStr">
        <is>
          <t>Legitimate interest (B2B) - assess per campaign; PECR: corporate subscribers</t>
        </is>
      </c>
      <c r="BG167" s="10" t="inlineStr"/>
      <c r="BH167" s="10" t="inlineStr">
        <is>
          <t>No</t>
        </is>
      </c>
      <c r="BI167" s="10" t="inlineStr">
        <is>
          <t>2026-09-16</t>
        </is>
      </c>
      <c r="BJ167" s="10" t="inlineStr">
        <is>
          <t>New</t>
        </is>
      </c>
      <c r="BK167" s="10" t="inlineStr">
        <is>
          <t>2026-09-16</t>
        </is>
      </c>
      <c r="BL167" s="10" t="inlineStr"/>
      <c r="BM167" s="10" t="inlineStr"/>
      <c r="BN167" s="10" t="inlineStr"/>
      <c r="BO167" s="10" t="inlineStr"/>
      <c r="BP167" s="10" t="inlineStr"/>
      <c r="BQ167" s="10" t="inlineStr"/>
    </row>
    <row r="168">
      <c r="A168" s="5" t="inlineStr">
        <is>
          <t>WY-0167</t>
        </is>
      </c>
      <c r="B168" s="5" t="inlineStr">
        <is>
          <t>WY-0167-01</t>
        </is>
      </c>
      <c r="C168" s="5" t="inlineStr"/>
      <c r="D168" s="5" t="inlineStr">
        <is>
          <t>Top Shelf Off Licence</t>
        </is>
      </c>
      <c r="E168" s="5" t="inlineStr">
        <is>
          <t>Top Shelf Off Licence</t>
        </is>
      </c>
      <c r="F168" s="5" t="inlineStr"/>
      <c r="G168" s="5" t="inlineStr">
        <is>
          <t>Off-Licence</t>
        </is>
      </c>
      <c r="H168" s="5" t="inlineStr">
        <is>
          <t>Off-licence</t>
        </is>
      </c>
      <c r="I168" s="5" t="inlineStr">
        <is>
          <t>Independent</t>
        </is>
      </c>
      <c r="J168" s="5" t="inlineStr">
        <is>
          <t>1</t>
        </is>
      </c>
      <c r="K168" s="5" t="inlineStr"/>
      <c r="L168" s="5" t="inlineStr"/>
      <c r="M168" s="5" t="inlineStr"/>
      <c r="N168" s="5" t="inlineStr"/>
      <c r="O168" s="5" t="inlineStr">
        <is>
          <t>557 Leeds Road</t>
        </is>
      </c>
      <c r="P168" s="5" t="inlineStr">
        <is>
          <t>Outwood</t>
        </is>
      </c>
      <c r="Q168" s="5" t="inlineStr">
        <is>
          <t>Wakefield</t>
        </is>
      </c>
      <c r="R168" s="5" t="inlineStr">
        <is>
          <t>West Yorkshire</t>
        </is>
      </c>
      <c r="S168" s="5" t="inlineStr">
        <is>
          <t>WF1 2JL</t>
        </is>
      </c>
      <c r="T168" s="5" t="inlineStr">
        <is>
          <t>Yorkshire &amp; Humber</t>
        </is>
      </c>
      <c r="U168" s="5" t="inlineStr">
        <is>
          <t>England</t>
        </is>
      </c>
      <c r="V168" s="5" t="inlineStr"/>
      <c r="W168" s="5" t="inlineStr"/>
      <c r="X168" s="5" t="inlineStr"/>
      <c r="Y168" s="5" t="inlineStr"/>
      <c r="Z168" s="5" t="inlineStr"/>
      <c r="AA168" s="5" t="inlineStr"/>
      <c r="AB168" s="5" t="inlineStr"/>
      <c r="AC168" s="5" t="inlineStr"/>
      <c r="AD168" s="5" t="inlineStr"/>
      <c r="AE168" s="5" t="inlineStr"/>
      <c r="AF168" s="5" t="inlineStr"/>
      <c r="AG168" s="5" t="inlineStr"/>
      <c r="AH168" s="5" t="inlineStr"/>
      <c r="AI168" s="5" t="inlineStr"/>
      <c r="AJ168" s="5" t="inlineStr"/>
      <c r="AK168" s="5" t="inlineStr">
        <is>
          <t>alcohol; tobacco; convenience</t>
        </is>
      </c>
      <c r="AL168" s="5" t="inlineStr"/>
      <c r="AM168" s="5" t="inlineStr">
        <is>
          <t>Off-Licence</t>
        </is>
      </c>
      <c r="AN168" s="5" t="inlineStr"/>
      <c r="AO168" s="5" t="inlineStr">
        <is>
          <t>Address surfaced from Wakefield Council food-hygiene-derived listings in search results.</t>
        </is>
      </c>
      <c r="AP168" s="5" t="inlineStr">
        <is>
          <t>Low</t>
        </is>
      </c>
      <c r="AQ168" s="5" t="inlineStr">
        <is>
          <t>Independent retailer; Relevant category</t>
        </is>
      </c>
      <c r="AR168" s="5" t="inlineStr">
        <is>
          <t>https://www.foodhygienerankings.co.uk/authorities/wakefield</t>
        </is>
      </c>
      <c r="AS168" s="5" t="inlineStr"/>
      <c r="AT168" s="5" t="inlineStr">
        <is>
          <t>1</t>
        </is>
      </c>
      <c r="AU168" s="5" t="inlineStr">
        <is>
          <t>No</t>
        </is>
      </c>
      <c r="AV168" s="5" t="inlineStr">
        <is>
          <t>No</t>
        </is>
      </c>
      <c r="AW168" s="5" t="inlineStr">
        <is>
          <t>No</t>
        </is>
      </c>
      <c r="AX168" s="5" t="inlineStr">
        <is>
          <t>No</t>
        </is>
      </c>
      <c r="AY168" s="5" t="inlineStr">
        <is>
          <t>Not Found</t>
        </is>
      </c>
      <c r="AZ168" s="5" t="inlineStr">
        <is>
          <t>Not Found</t>
        </is>
      </c>
      <c r="BA168" s="5" t="inlineStr">
        <is>
          <t>2026-09-16</t>
        </is>
      </c>
      <c r="BB168" s="5" t="inlineStr">
        <is>
          <t>Requires Verification</t>
        </is>
      </c>
      <c r="BC168" s="5" t="inlineStr">
        <is>
          <t>Low</t>
        </is>
      </c>
      <c r="BD168" s="5" t="inlineStr"/>
      <c r="BE168" s="5" t="inlineStr">
        <is>
          <t>Business (B2B)</t>
        </is>
      </c>
      <c r="BF168" s="5" t="inlineStr">
        <is>
          <t>Legitimate interest (B2B) - assess per campaign; PECR: corporate subscribers</t>
        </is>
      </c>
      <c r="BG168" s="5" t="inlineStr"/>
      <c r="BH168" s="5" t="inlineStr">
        <is>
          <t>No</t>
        </is>
      </c>
      <c r="BI168" s="5" t="inlineStr">
        <is>
          <t>2026-09-16</t>
        </is>
      </c>
      <c r="BJ168" s="5" t="inlineStr">
        <is>
          <t>New</t>
        </is>
      </c>
      <c r="BK168" s="5" t="inlineStr">
        <is>
          <t>2026-09-16</t>
        </is>
      </c>
      <c r="BL168" s="5" t="inlineStr"/>
      <c r="BM168" s="5" t="inlineStr"/>
      <c r="BN168" s="5" t="inlineStr"/>
      <c r="BO168" s="5" t="inlineStr"/>
      <c r="BP168" s="5" t="inlineStr"/>
      <c r="BQ168" s="5" t="inlineStr"/>
    </row>
    <row r="169">
      <c r="A169" s="10" t="inlineStr">
        <is>
          <t>WY-0168</t>
        </is>
      </c>
      <c r="B169" s="10" t="inlineStr">
        <is>
          <t>WY-0168-01</t>
        </is>
      </c>
      <c r="C169" s="10" t="inlineStr"/>
      <c r="D169" s="10" t="inlineStr">
        <is>
          <t>Turners Food &amp; Wine</t>
        </is>
      </c>
      <c r="E169" s="10" t="inlineStr">
        <is>
          <t>Turners Food &amp; Wine</t>
        </is>
      </c>
      <c r="F169" s="10" t="inlineStr">
        <is>
          <t>Turners Food &amp; Wine Ltd</t>
        </is>
      </c>
      <c r="G169" s="10" t="inlineStr">
        <is>
          <t>Convenience Store</t>
        </is>
      </c>
      <c r="H169" s="10" t="inlineStr">
        <is>
          <t>Convenience store with off-licence</t>
        </is>
      </c>
      <c r="I169" s="10" t="inlineStr">
        <is>
          <t>Independent</t>
        </is>
      </c>
      <c r="J169" s="10" t="inlineStr">
        <is>
          <t>1</t>
        </is>
      </c>
      <c r="K169" s="10" t="inlineStr"/>
      <c r="L169" s="10" t="inlineStr"/>
      <c r="M169" s="10" t="inlineStr"/>
      <c r="N169" s="10" t="inlineStr"/>
      <c r="O169" s="10" t="inlineStr"/>
      <c r="P169" s="10" t="inlineStr">
        <is>
          <t>Beeston</t>
        </is>
      </c>
      <c r="Q169" s="10" t="inlineStr">
        <is>
          <t>Leeds</t>
        </is>
      </c>
      <c r="R169" s="10" t="inlineStr">
        <is>
          <t>West Yorkshire</t>
        </is>
      </c>
      <c r="S169" s="10" t="inlineStr"/>
      <c r="T169" s="10" t="inlineStr">
        <is>
          <t>Yorkshire &amp; Humber</t>
        </is>
      </c>
      <c r="U169" s="10" t="inlineStr">
        <is>
          <t>England</t>
        </is>
      </c>
      <c r="V169" s="10" t="inlineStr"/>
      <c r="W169" s="10" t="inlineStr"/>
      <c r="X169" s="10" t="inlineStr"/>
      <c r="Y169" s="10" t="inlineStr"/>
      <c r="Z169" s="10" t="inlineStr"/>
      <c r="AA169" s="10" t="inlineStr"/>
      <c r="AB169" s="10" t="inlineStr"/>
      <c r="AC169" s="10" t="inlineStr"/>
      <c r="AD169" s="10" t="inlineStr"/>
      <c r="AE169" s="10" t="inlineStr"/>
      <c r="AF169" s="10" t="inlineStr"/>
      <c r="AG169" s="10" t="inlineStr"/>
      <c r="AH169" s="10" t="inlineStr"/>
      <c r="AI169" s="10" t="inlineStr"/>
      <c r="AJ169" s="10" t="inlineStr"/>
      <c r="AK169" s="10" t="inlineStr">
        <is>
          <t>groceries; alcohol</t>
        </is>
      </c>
      <c r="AL169" s="10" t="inlineStr"/>
      <c r="AM169" s="10" t="inlineStr">
        <is>
          <t>Convenience Store</t>
        </is>
      </c>
      <c r="AN169" s="10" t="inlineStr"/>
      <c r="AO169" s="10" t="inlineStr">
        <is>
          <t>Local convenience store in Beeston listed as 'Turners Food &amp; Wine Ltd' (limited company) in Yorkshire.com off-licence listings; street address not captured - follow up.</t>
        </is>
      </c>
      <c r="AP169" s="10" t="inlineStr">
        <is>
          <t>Low</t>
        </is>
      </c>
      <c r="AQ169" s="10" t="inlineStr">
        <is>
          <t>Independent retailer; Relevant category</t>
        </is>
      </c>
      <c r="AR169" s="10" t="inlineStr">
        <is>
          <t>https://www.yorkshire.com/leeds/shopping/off-license</t>
        </is>
      </c>
      <c r="AS169" s="10" t="inlineStr"/>
      <c r="AT169" s="10" t="inlineStr">
        <is>
          <t>1</t>
        </is>
      </c>
      <c r="AU169" s="10" t="inlineStr">
        <is>
          <t>No</t>
        </is>
      </c>
      <c r="AV169" s="10" t="inlineStr">
        <is>
          <t>No</t>
        </is>
      </c>
      <c r="AW169" s="10" t="inlineStr">
        <is>
          <t>No</t>
        </is>
      </c>
      <c r="AX169" s="10" t="inlineStr">
        <is>
          <t>No</t>
        </is>
      </c>
      <c r="AY169" s="10" t="inlineStr">
        <is>
          <t>Not Found</t>
        </is>
      </c>
      <c r="AZ169" s="10" t="inlineStr">
        <is>
          <t>Not Found</t>
        </is>
      </c>
      <c r="BA169" s="10" t="inlineStr">
        <is>
          <t>2026-09-16</t>
        </is>
      </c>
      <c r="BB169" s="10" t="inlineStr">
        <is>
          <t>Requires Verification</t>
        </is>
      </c>
      <c r="BC169" s="10" t="inlineStr">
        <is>
          <t>Low</t>
        </is>
      </c>
      <c r="BD169" s="10" t="inlineStr"/>
      <c r="BE169" s="10" t="inlineStr">
        <is>
          <t>Business (B2B)</t>
        </is>
      </c>
      <c r="BF169" s="10" t="inlineStr">
        <is>
          <t>Legitimate interest (B2B) - assess per campaign; PECR: corporate subscribers</t>
        </is>
      </c>
      <c r="BG169" s="10" t="inlineStr"/>
      <c r="BH169" s="10" t="inlineStr">
        <is>
          <t>No</t>
        </is>
      </c>
      <c r="BI169" s="10" t="inlineStr">
        <is>
          <t>2026-09-16</t>
        </is>
      </c>
      <c r="BJ169" s="10" t="inlineStr">
        <is>
          <t>New</t>
        </is>
      </c>
      <c r="BK169" s="10" t="inlineStr">
        <is>
          <t>2026-09-16</t>
        </is>
      </c>
      <c r="BL169" s="10" t="inlineStr"/>
      <c r="BM169" s="10" t="inlineStr"/>
      <c r="BN169" s="10" t="inlineStr"/>
      <c r="BO169" s="10" t="inlineStr"/>
      <c r="BP169" s="10" t="inlineStr"/>
      <c r="BQ169" s="10" t="inlineStr"/>
    </row>
    <row r="170">
      <c r="A170" s="5" t="inlineStr">
        <is>
          <t>WY-0169</t>
        </is>
      </c>
      <c r="B170" s="5" t="inlineStr">
        <is>
          <t>WY-0169-01</t>
        </is>
      </c>
      <c r="C170" s="5" t="inlineStr"/>
      <c r="D170" s="5" t="inlineStr">
        <is>
          <t>Tylor's Booze</t>
        </is>
      </c>
      <c r="E170" s="5" t="inlineStr">
        <is>
          <t>Tylor's Booze</t>
        </is>
      </c>
      <c r="F170" s="5" t="inlineStr">
        <is>
          <t>Tylor Booze Shop Ltd</t>
        </is>
      </c>
      <c r="G170" s="5" t="inlineStr">
        <is>
          <t>Off-Licence</t>
        </is>
      </c>
      <c r="H170" s="5" t="inlineStr">
        <is>
          <t>Off-licence</t>
        </is>
      </c>
      <c r="I170" s="5" t="inlineStr">
        <is>
          <t>Independent</t>
        </is>
      </c>
      <c r="J170" s="5" t="inlineStr">
        <is>
          <t>1</t>
        </is>
      </c>
      <c r="K170" s="5" t="inlineStr"/>
      <c r="L170" s="5" t="inlineStr"/>
      <c r="M170" s="5" t="inlineStr"/>
      <c r="N170" s="5" t="inlineStr"/>
      <c r="O170" s="5" t="inlineStr">
        <is>
          <t>33 Albion Street</t>
        </is>
      </c>
      <c r="P170" s="5" t="inlineStr"/>
      <c r="Q170" s="5" t="inlineStr">
        <is>
          <t>Castleford</t>
        </is>
      </c>
      <c r="R170" s="5" t="inlineStr">
        <is>
          <t>West Yorkshire</t>
        </is>
      </c>
      <c r="S170" s="5" t="inlineStr">
        <is>
          <t>WF10 1EG</t>
        </is>
      </c>
      <c r="T170" s="5" t="inlineStr">
        <is>
          <t>Yorkshire &amp; Humber</t>
        </is>
      </c>
      <c r="U170" s="5" t="inlineStr">
        <is>
          <t>England</t>
        </is>
      </c>
      <c r="V170" s="5" t="inlineStr"/>
      <c r="W170" s="5" t="inlineStr"/>
      <c r="X170" s="5" t="inlineStr"/>
      <c r="Y170" s="5" t="inlineStr"/>
      <c r="Z170" s="5" t="inlineStr"/>
      <c r="AA170" s="5" t="inlineStr"/>
      <c r="AB170" s="5" t="inlineStr"/>
      <c r="AC170" s="5" t="inlineStr"/>
      <c r="AD170" s="5" t="inlineStr"/>
      <c r="AE170" s="5" t="inlineStr">
        <is>
          <t>12100725</t>
        </is>
      </c>
      <c r="AF170" s="5" t="inlineStr">
        <is>
          <t>Active</t>
        </is>
      </c>
      <c r="AG170" s="5" t="inlineStr">
        <is>
          <t>TYLOR BOOZE SHOP LTD</t>
        </is>
      </c>
      <c r="AH170" s="5" t="inlineStr"/>
      <c r="AI170" s="5" t="inlineStr">
        <is>
          <t>2019-07-12</t>
        </is>
      </c>
      <c r="AJ170" s="5" t="inlineStr"/>
      <c r="AK170" s="5" t="inlineStr">
        <is>
          <t>alcohol; spirits; convenience</t>
        </is>
      </c>
      <c r="AL170" s="5" t="inlineStr"/>
      <c r="AM170" s="5" t="inlineStr">
        <is>
          <t>Off-Licence</t>
        </is>
      </c>
      <c r="AN170" s="5" t="inlineStr"/>
      <c r="AO170" s="5" t="inlineStr">
        <is>
          <t>CAUTION: a 2021 Wakefield Express article surfaced in the same search reporting a Castleford shop surrendering its alcohol licence after police allegedly found counterfeit cigarettes - it is not confirmed whether this concerns these premises; the shop still has a current FSA hygiene listing. Verify licence status before outreach.</t>
        </is>
      </c>
      <c r="AP170" s="5" t="inlineStr">
        <is>
          <t>Low</t>
        </is>
      </c>
      <c r="AQ170" s="5" t="inlineStr">
        <is>
          <t>Independent retailer; Relevant category</t>
        </is>
      </c>
      <c r="AR170" s="5" t="inlineStr">
        <is>
          <t>https://find-and-update.company-information.service.gov.uk/company/12100725</t>
        </is>
      </c>
      <c r="AS170" s="5" t="inlineStr">
        <is>
          <t>https://www.yorkshire.com/castleford/shopping/off-license/tylors-booze</t>
        </is>
      </c>
      <c r="AT170" s="5" t="inlineStr">
        <is>
          <t>4</t>
        </is>
      </c>
      <c r="AU170" s="5" t="inlineStr">
        <is>
          <t>No</t>
        </is>
      </c>
      <c r="AV170" s="5" t="inlineStr">
        <is>
          <t>No</t>
        </is>
      </c>
      <c r="AW170" s="5" t="inlineStr">
        <is>
          <t>No</t>
        </is>
      </c>
      <c r="AX170" s="5" t="inlineStr">
        <is>
          <t>Yes</t>
        </is>
      </c>
      <c r="AY170" s="5" t="inlineStr">
        <is>
          <t>Not Found</t>
        </is>
      </c>
      <c r="AZ170" s="5" t="inlineStr">
        <is>
          <t>Not Found</t>
        </is>
      </c>
      <c r="BA170" s="5" t="inlineStr">
        <is>
          <t>2026-09-16</t>
        </is>
      </c>
      <c r="BB170" s="5" t="inlineStr">
        <is>
          <t>Partially Verified</t>
        </is>
      </c>
      <c r="BC170" s="5" t="inlineStr">
        <is>
          <t>Medium</t>
        </is>
      </c>
      <c r="BD170" s="5" t="inlineStr"/>
      <c r="BE170" s="5" t="inlineStr">
        <is>
          <t>Business (B2B)</t>
        </is>
      </c>
      <c r="BF170" s="5" t="inlineStr">
        <is>
          <t>Legitimate interest (B2B) - assess per campaign; PECR: corporate subscribers</t>
        </is>
      </c>
      <c r="BG170" s="5" t="inlineStr"/>
      <c r="BH170" s="5" t="inlineStr">
        <is>
          <t>No</t>
        </is>
      </c>
      <c r="BI170" s="5" t="inlineStr">
        <is>
          <t>2026-09-16</t>
        </is>
      </c>
      <c r="BJ170" s="5" t="inlineStr">
        <is>
          <t>New</t>
        </is>
      </c>
      <c r="BK170" s="5" t="inlineStr">
        <is>
          <t>2026-09-16</t>
        </is>
      </c>
      <c r="BL170" s="5" t="inlineStr"/>
      <c r="BM170" s="5" t="inlineStr"/>
      <c r="BN170" s="5" t="inlineStr"/>
      <c r="BO170" s="5" t="inlineStr"/>
      <c r="BP170" s="5" t="inlineStr"/>
      <c r="BQ170" s="5" t="inlineStr"/>
    </row>
    <row r="171">
      <c r="A171" s="10" t="inlineStr">
        <is>
          <t>WY-0170</t>
        </is>
      </c>
      <c r="B171" s="10" t="inlineStr">
        <is>
          <t>WY-0170-01</t>
        </is>
      </c>
      <c r="C171" s="10" t="inlineStr"/>
      <c r="D171" s="10" t="inlineStr">
        <is>
          <t>Umrah Supermarket</t>
        </is>
      </c>
      <c r="E171" s="10" t="inlineStr">
        <is>
          <t>Umrah Supermarket</t>
        </is>
      </c>
      <c r="F171" s="10" t="inlineStr"/>
      <c r="G171" s="10" t="inlineStr">
        <is>
          <t>Independent Supermarket</t>
        </is>
      </c>
      <c r="H171" s="10" t="inlineStr">
        <is>
          <t>South Asian, Middle Eastern and African foods supermarket</t>
        </is>
      </c>
      <c r="I171" s="10" t="inlineStr">
        <is>
          <t>Independent</t>
        </is>
      </c>
      <c r="J171" s="10" t="inlineStr">
        <is>
          <t>1</t>
        </is>
      </c>
      <c r="K171" s="10" t="inlineStr"/>
      <c r="L171" s="10" t="inlineStr">
        <is>
          <t>https://www.facebook.com/p/Umrah-Supermarket-Huddersfield-61555683256072/</t>
        </is>
      </c>
      <c r="M171" s="10" t="inlineStr"/>
      <c r="N171" s="10" t="inlineStr"/>
      <c r="O171" s="10" t="inlineStr">
        <is>
          <t>Trinity Street</t>
        </is>
      </c>
      <c r="P171" s="10" t="inlineStr"/>
      <c r="Q171" s="10" t="inlineStr">
        <is>
          <t>Huddersfield</t>
        </is>
      </c>
      <c r="R171" s="10" t="inlineStr">
        <is>
          <t>West Yorkshire</t>
        </is>
      </c>
      <c r="S171" s="10" t="inlineStr"/>
      <c r="T171" s="10" t="inlineStr">
        <is>
          <t>Yorkshire &amp; Humber</t>
        </is>
      </c>
      <c r="U171" s="10" t="inlineStr">
        <is>
          <t>England</t>
        </is>
      </c>
      <c r="V171" s="10" t="inlineStr"/>
      <c r="W171" s="10" t="inlineStr"/>
      <c r="X171" s="10" t="inlineStr"/>
      <c r="Y171" s="10" t="inlineStr"/>
      <c r="Z171" s="10" t="inlineStr"/>
      <c r="AA171" s="10" t="inlineStr"/>
      <c r="AB171" s="10" t="inlineStr"/>
      <c r="AC171" s="10" t="inlineStr"/>
      <c r="AD171" s="10" t="inlineStr"/>
      <c r="AE171" s="10" t="inlineStr"/>
      <c r="AF171" s="10" t="inlineStr"/>
      <c r="AG171" s="10" t="inlineStr"/>
      <c r="AH171" s="10" t="inlineStr"/>
      <c r="AI171" s="10" t="inlineStr"/>
      <c r="AJ171" s="10" t="inlineStr"/>
      <c r="AK171" s="10" t="inlineStr">
        <is>
          <t>South Asian, Middle Eastern and African groceries; halal foods</t>
        </is>
      </c>
      <c r="AL171" s="10" t="inlineStr"/>
      <c r="AM171" s="10" t="inlineStr">
        <is>
          <t>Independent Supermarket</t>
        </is>
      </c>
      <c r="AN171" s="10" t="inlineStr"/>
      <c r="AO171" s="10" t="inlineStr">
        <is>
          <t>Open 08:00-22:00 Mon-Sat, 12:00-21:00 Sun per Yorkshire.com; street number and phone not published in accessible sources.</t>
        </is>
      </c>
      <c r="AP171" s="10" t="inlineStr">
        <is>
          <t>Medium</t>
        </is>
      </c>
      <c r="AQ171" s="10" t="inlineStr">
        <is>
          <t>Independent retailer; Relevant category; Social presence</t>
        </is>
      </c>
      <c r="AR171" s="10" t="inlineStr">
        <is>
          <t>https://www.facebook.com/p/Umrah-Supermarket-Huddersfield-61555683256072/</t>
        </is>
      </c>
      <c r="AS171" s="10" t="inlineStr">
        <is>
          <t>https://www.yorkshire.com/huddersfield/shopping/supermarkets/umrah-supermarket-huddersfield</t>
        </is>
      </c>
      <c r="AT171" s="10" t="inlineStr">
        <is>
          <t>2</t>
        </is>
      </c>
      <c r="AU171" s="10" t="inlineStr">
        <is>
          <t>No</t>
        </is>
      </c>
      <c r="AV171" s="10" t="inlineStr">
        <is>
          <t>No</t>
        </is>
      </c>
      <c r="AW171" s="10" t="inlineStr">
        <is>
          <t>No</t>
        </is>
      </c>
      <c r="AX171" s="10" t="inlineStr">
        <is>
          <t>No</t>
        </is>
      </c>
      <c r="AY171" s="10" t="inlineStr">
        <is>
          <t>Not Found</t>
        </is>
      </c>
      <c r="AZ171" s="10" t="inlineStr">
        <is>
          <t>Not Found</t>
        </is>
      </c>
      <c r="BA171" s="10" t="inlineStr">
        <is>
          <t>2026-09-16</t>
        </is>
      </c>
      <c r="BB171" s="10" t="inlineStr">
        <is>
          <t>Requires Verification</t>
        </is>
      </c>
      <c r="BC171" s="10" t="inlineStr">
        <is>
          <t>Low</t>
        </is>
      </c>
      <c r="BD171" s="10" t="inlineStr"/>
      <c r="BE171" s="10" t="inlineStr">
        <is>
          <t>Business (B2B)</t>
        </is>
      </c>
      <c r="BF171" s="10" t="inlineStr">
        <is>
          <t>Legitimate interest (B2B) - assess per campaign; PECR: corporate subscribers</t>
        </is>
      </c>
      <c r="BG171" s="10" t="inlineStr"/>
      <c r="BH171" s="10" t="inlineStr">
        <is>
          <t>No</t>
        </is>
      </c>
      <c r="BI171" s="10" t="inlineStr">
        <is>
          <t>2026-09-16</t>
        </is>
      </c>
      <c r="BJ171" s="10" t="inlineStr">
        <is>
          <t>New</t>
        </is>
      </c>
      <c r="BK171" s="10" t="inlineStr">
        <is>
          <t>2026-09-16</t>
        </is>
      </c>
      <c r="BL171" s="10" t="inlineStr"/>
      <c r="BM171" s="10" t="inlineStr"/>
      <c r="BN171" s="10" t="inlineStr"/>
      <c r="BO171" s="10" t="inlineStr"/>
      <c r="BP171" s="10" t="inlineStr"/>
      <c r="BQ171" s="10" t="inlineStr"/>
    </row>
    <row r="172">
      <c r="A172" s="5" t="inlineStr">
        <is>
          <t>WY-0171</t>
        </is>
      </c>
      <c r="B172" s="5" t="inlineStr">
        <is>
          <t>WY-0171-01</t>
        </is>
      </c>
      <c r="C172" s="5" t="inlineStr"/>
      <c r="D172" s="5" t="inlineStr">
        <is>
          <t>VAPE (Heckmondwike)</t>
        </is>
      </c>
      <c r="E172" s="5" t="inlineStr">
        <is>
          <t>VAPE</t>
        </is>
      </c>
      <c r="F172" s="5" t="inlineStr"/>
      <c r="G172" s="5" t="inlineStr">
        <is>
          <t>Vape Shop</t>
        </is>
      </c>
      <c r="H172" s="5" t="inlineStr">
        <is>
          <t>Vape retailer</t>
        </is>
      </c>
      <c r="I172" s="5" t="inlineStr">
        <is>
          <t>Independent</t>
        </is>
      </c>
      <c r="J172" s="5" t="inlineStr">
        <is>
          <t>1</t>
        </is>
      </c>
      <c r="K172" s="5" t="inlineStr"/>
      <c r="L172" s="5" t="inlineStr"/>
      <c r="M172" s="5" t="inlineStr"/>
      <c r="N172" s="5" t="inlineStr"/>
      <c r="O172" s="5" t="inlineStr">
        <is>
          <t>36 Market Street</t>
        </is>
      </c>
      <c r="P172" s="5" t="inlineStr"/>
      <c r="Q172" s="5" t="inlineStr">
        <is>
          <t>Heckmondwike</t>
        </is>
      </c>
      <c r="R172" s="5" t="inlineStr">
        <is>
          <t>West Yorkshire</t>
        </is>
      </c>
      <c r="S172" s="5" t="inlineStr">
        <is>
          <t>WF16 0JG</t>
        </is>
      </c>
      <c r="T172" s="5" t="inlineStr">
        <is>
          <t>Yorkshire &amp; Humber</t>
        </is>
      </c>
      <c r="U172" s="5" t="inlineStr">
        <is>
          <t>England</t>
        </is>
      </c>
      <c r="V172" s="5" t="inlineStr">
        <is>
          <t>01924 650140</t>
        </is>
      </c>
      <c r="W172" s="5" t="inlineStr"/>
      <c r="X172" s="5" t="inlineStr"/>
      <c r="Y172" s="5" t="inlineStr"/>
      <c r="Z172" s="5" t="inlineStr"/>
      <c r="AA172" s="5" t="inlineStr"/>
      <c r="AB172" s="5" t="inlineStr"/>
      <c r="AC172" s="5" t="inlineStr"/>
      <c r="AD172" s="5" t="inlineStr"/>
      <c r="AE172" s="5" t="inlineStr"/>
      <c r="AF172" s="5" t="inlineStr"/>
      <c r="AG172" s="5" t="inlineStr"/>
      <c r="AH172" s="5" t="inlineStr"/>
      <c r="AI172" s="5" t="inlineStr"/>
      <c r="AJ172" s="5" t="inlineStr"/>
      <c r="AK172" s="5" t="inlineStr">
        <is>
          <t>vape hardware; e-liquids; disposable vapes</t>
        </is>
      </c>
      <c r="AL172" s="5" t="inlineStr"/>
      <c r="AM172" s="5" t="inlineStr">
        <is>
          <t>Vape Shop</t>
        </is>
      </c>
      <c r="AN172" s="5" t="inlineStr"/>
      <c r="AO172" s="5" t="inlineStr">
        <is>
          <t>Trades simply as 'VAPE' on Market Street; listed on eCig Directory UK and The UK High Street with matching address and phone.</t>
        </is>
      </c>
      <c r="AP172" s="5" t="inlineStr">
        <is>
          <t>Medium</t>
        </is>
      </c>
      <c r="AQ172" s="5" t="inlineStr">
        <is>
          <t>Independent retailer; Core relevant category</t>
        </is>
      </c>
      <c r="AR172" s="5" t="inlineStr">
        <is>
          <t>https://ecigdirectory.co.uk/vape-shop/listing/vape-heckmondwike</t>
        </is>
      </c>
      <c r="AS172" s="5" t="inlineStr">
        <is>
          <t>https://www.theukhighstreet.com/store/0/65960/757/</t>
        </is>
      </c>
      <c r="AT172" s="5" t="inlineStr">
        <is>
          <t>2</t>
        </is>
      </c>
      <c r="AU172" s="5" t="inlineStr">
        <is>
          <t>No</t>
        </is>
      </c>
      <c r="AV172" s="5" t="inlineStr">
        <is>
          <t>No</t>
        </is>
      </c>
      <c r="AW172" s="5" t="inlineStr">
        <is>
          <t>No</t>
        </is>
      </c>
      <c r="AX172" s="5" t="inlineStr">
        <is>
          <t>No</t>
        </is>
      </c>
      <c r="AY172" s="5" t="inlineStr">
        <is>
          <t>Verified directory</t>
        </is>
      </c>
      <c r="AZ172" s="5" t="inlineStr">
        <is>
          <t>Not Found</t>
        </is>
      </c>
      <c r="BA172" s="5" t="inlineStr">
        <is>
          <t>2026-09-16</t>
        </is>
      </c>
      <c r="BB172" s="5" t="inlineStr">
        <is>
          <t>Requires Verification</t>
        </is>
      </c>
      <c r="BC172" s="5" t="inlineStr">
        <is>
          <t>Medium</t>
        </is>
      </c>
      <c r="BD172" s="5" t="inlineStr"/>
      <c r="BE172" s="5" t="inlineStr">
        <is>
          <t>Business (B2B)</t>
        </is>
      </c>
      <c r="BF172" s="5" t="inlineStr">
        <is>
          <t>Legitimate interest (B2B) - assess per campaign; PECR: corporate subscribers</t>
        </is>
      </c>
      <c r="BG172" s="5" t="inlineStr"/>
      <c r="BH172" s="5" t="inlineStr">
        <is>
          <t>No</t>
        </is>
      </c>
      <c r="BI172" s="5" t="inlineStr">
        <is>
          <t>2026-09-16</t>
        </is>
      </c>
      <c r="BJ172" s="5" t="inlineStr">
        <is>
          <t>New</t>
        </is>
      </c>
      <c r="BK172" s="5" t="inlineStr">
        <is>
          <t>2026-09-16</t>
        </is>
      </c>
      <c r="BL172" s="5" t="inlineStr"/>
      <c r="BM172" s="5" t="inlineStr"/>
      <c r="BN172" s="5" t="inlineStr"/>
      <c r="BO172" s="5" t="inlineStr"/>
      <c r="BP172" s="5" t="inlineStr"/>
      <c r="BQ172" s="5" t="inlineStr"/>
    </row>
    <row r="173">
      <c r="A173" s="10" t="inlineStr">
        <is>
          <t>WY-0172</t>
        </is>
      </c>
      <c r="B173" s="10" t="inlineStr">
        <is>
          <t>WY-0172-01</t>
        </is>
      </c>
      <c r="C173" s="10" t="inlineStr"/>
      <c r="D173" s="10" t="inlineStr">
        <is>
          <t>Vape Dream</t>
        </is>
      </c>
      <c r="E173" s="10" t="inlineStr">
        <is>
          <t>Vape Dream</t>
        </is>
      </c>
      <c r="F173" s="10" t="inlineStr"/>
      <c r="G173" s="10" t="inlineStr">
        <is>
          <t>Vape Shop</t>
        </is>
      </c>
      <c r="H173" s="10" t="inlineStr">
        <is>
          <t>Vape retailer</t>
        </is>
      </c>
      <c r="I173" s="10" t="inlineStr">
        <is>
          <t>Independent</t>
        </is>
      </c>
      <c r="J173" s="10" t="inlineStr">
        <is>
          <t>1</t>
        </is>
      </c>
      <c r="K173" s="10" t="inlineStr"/>
      <c r="L173" s="10" t="inlineStr">
        <is>
          <t>https://www.facebook.com/p/Vape-Dream-Vape-Shop-61558567906935/</t>
        </is>
      </c>
      <c r="M173" s="10" t="inlineStr"/>
      <c r="N173" s="10" t="inlineStr"/>
      <c r="O173" s="10" t="inlineStr"/>
      <c r="P173" s="10" t="inlineStr"/>
      <c r="Q173" s="10" t="inlineStr">
        <is>
          <t>Dewsbury</t>
        </is>
      </c>
      <c r="R173" s="10" t="inlineStr">
        <is>
          <t>West Yorkshire</t>
        </is>
      </c>
      <c r="S173" s="10" t="inlineStr"/>
      <c r="T173" s="10" t="inlineStr">
        <is>
          <t>Yorkshire &amp; Humber</t>
        </is>
      </c>
      <c r="U173" s="10" t="inlineStr">
        <is>
          <t>England</t>
        </is>
      </c>
      <c r="V173" s="10" t="inlineStr"/>
      <c r="W173" s="10" t="inlineStr"/>
      <c r="X173" s="10" t="inlineStr"/>
      <c r="Y173" s="10" t="inlineStr"/>
      <c r="Z173" s="10" t="inlineStr"/>
      <c r="AA173" s="10" t="inlineStr"/>
      <c r="AB173" s="10" t="inlineStr"/>
      <c r="AC173" s="10" t="inlineStr"/>
      <c r="AD173" s="10" t="inlineStr"/>
      <c r="AE173" s="10" t="inlineStr"/>
      <c r="AF173" s="10" t="inlineStr"/>
      <c r="AG173" s="10" t="inlineStr"/>
      <c r="AH173" s="10" t="inlineStr"/>
      <c r="AI173" s="10" t="inlineStr"/>
      <c r="AJ173" s="10" t="inlineStr"/>
      <c r="AK173" s="10" t="inlineStr">
        <is>
          <t>vape hardware; e-liquids</t>
        </is>
      </c>
      <c r="AL173" s="10" t="inlineStr"/>
      <c r="AM173" s="10" t="inlineStr">
        <is>
          <t>Vape Shop</t>
        </is>
      </c>
      <c r="AN173" s="10" t="inlineStr"/>
      <c r="AO173" s="10" t="inlineStr">
        <is>
          <t>Active Facebook business page for a Dewsbury vape shop; street address not published in accessible sources.</t>
        </is>
      </c>
      <c r="AP173" s="10" t="inlineStr">
        <is>
          <t>Medium</t>
        </is>
      </c>
      <c r="AQ173" s="10" t="inlineStr">
        <is>
          <t>Independent retailer; Core relevant category; Social presence</t>
        </is>
      </c>
      <c r="AR173" s="10" t="inlineStr">
        <is>
          <t>https://www.facebook.com/p/Vape-Dream-Vape-Shop-61558567906935/</t>
        </is>
      </c>
      <c r="AS173" s="10" t="inlineStr"/>
      <c r="AT173" s="10" t="inlineStr">
        <is>
          <t>1</t>
        </is>
      </c>
      <c r="AU173" s="10" t="inlineStr">
        <is>
          <t>No</t>
        </is>
      </c>
      <c r="AV173" s="10" t="inlineStr">
        <is>
          <t>No</t>
        </is>
      </c>
      <c r="AW173" s="10" t="inlineStr">
        <is>
          <t>No</t>
        </is>
      </c>
      <c r="AX173" s="10" t="inlineStr">
        <is>
          <t>No</t>
        </is>
      </c>
      <c r="AY173" s="10" t="inlineStr">
        <is>
          <t>Not Found</t>
        </is>
      </c>
      <c r="AZ173" s="10" t="inlineStr">
        <is>
          <t>Not Found</t>
        </is>
      </c>
      <c r="BA173" s="10" t="inlineStr">
        <is>
          <t>2026-09-16</t>
        </is>
      </c>
      <c r="BB173" s="10" t="inlineStr">
        <is>
          <t>Requires Verification</t>
        </is>
      </c>
      <c r="BC173" s="10" t="inlineStr">
        <is>
          <t>Low</t>
        </is>
      </c>
      <c r="BD173" s="10" t="inlineStr"/>
      <c r="BE173" s="10" t="inlineStr">
        <is>
          <t>Business (B2B)</t>
        </is>
      </c>
      <c r="BF173" s="10" t="inlineStr">
        <is>
          <t>Legitimate interest (B2B) - assess per campaign; PECR: corporate subscribers</t>
        </is>
      </c>
      <c r="BG173" s="10" t="inlineStr"/>
      <c r="BH173" s="10" t="inlineStr">
        <is>
          <t>No</t>
        </is>
      </c>
      <c r="BI173" s="10" t="inlineStr">
        <is>
          <t>2026-09-16</t>
        </is>
      </c>
      <c r="BJ173" s="10" t="inlineStr">
        <is>
          <t>New</t>
        </is>
      </c>
      <c r="BK173" s="10" t="inlineStr">
        <is>
          <t>2026-09-16</t>
        </is>
      </c>
      <c r="BL173" s="10" t="inlineStr"/>
      <c r="BM173" s="10" t="inlineStr"/>
      <c r="BN173" s="10" t="inlineStr"/>
      <c r="BO173" s="10" t="inlineStr"/>
      <c r="BP173" s="10" t="inlineStr"/>
      <c r="BQ173" s="10" t="inlineStr"/>
    </row>
    <row r="174">
      <c r="A174" s="5" t="inlineStr">
        <is>
          <t>WY-0173</t>
        </is>
      </c>
      <c r="B174" s="5" t="inlineStr">
        <is>
          <t>WY-0173-01</t>
        </is>
      </c>
      <c r="C174" s="5" t="inlineStr"/>
      <c r="D174" s="5" t="inlineStr">
        <is>
          <t>Vape N Go</t>
        </is>
      </c>
      <c r="E174" s="5" t="inlineStr">
        <is>
          <t>Vape N Go</t>
        </is>
      </c>
      <c r="F174" s="5" t="inlineStr"/>
      <c r="G174" s="5" t="inlineStr">
        <is>
          <t>Vape Shop</t>
        </is>
      </c>
      <c r="H174" s="5" t="inlineStr"/>
      <c r="I174" s="5" t="inlineStr">
        <is>
          <t>Independent</t>
        </is>
      </c>
      <c r="J174" s="5" t="inlineStr">
        <is>
          <t>1</t>
        </is>
      </c>
      <c r="K174" s="5" t="inlineStr"/>
      <c r="L174" s="5" t="inlineStr"/>
      <c r="M174" s="5" t="inlineStr"/>
      <c r="N174" s="5" t="inlineStr"/>
      <c r="O174" s="5" t="inlineStr">
        <is>
          <t>14 The Square</t>
        </is>
      </c>
      <c r="P174" s="5" t="inlineStr">
        <is>
          <t>Woolshops Shopping Centre</t>
        </is>
      </c>
      <c r="Q174" s="5" t="inlineStr">
        <is>
          <t>Halifax</t>
        </is>
      </c>
      <c r="R174" s="5" t="inlineStr">
        <is>
          <t>West Yorkshire</t>
        </is>
      </c>
      <c r="S174" s="5" t="inlineStr">
        <is>
          <t>HX1 1RU</t>
        </is>
      </c>
      <c r="T174" s="5" t="inlineStr">
        <is>
          <t>Yorkshire &amp; Humber</t>
        </is>
      </c>
      <c r="U174" s="5" t="inlineStr">
        <is>
          <t>England</t>
        </is>
      </c>
      <c r="V174" s="5" t="inlineStr"/>
      <c r="W174" s="5" t="inlineStr"/>
      <c r="X174" s="5" t="inlineStr"/>
      <c r="Y174" s="5" t="inlineStr"/>
      <c r="Z174" s="5" t="inlineStr"/>
      <c r="AA174" s="5" t="inlineStr"/>
      <c r="AB174" s="5" t="inlineStr"/>
      <c r="AC174" s="5" t="inlineStr"/>
      <c r="AD174" s="5" t="inlineStr"/>
      <c r="AE174" s="5" t="inlineStr"/>
      <c r="AF174" s="5" t="inlineStr"/>
      <c r="AG174" s="5" t="inlineStr"/>
      <c r="AH174" s="5" t="inlineStr"/>
      <c r="AI174" s="5" t="inlineStr"/>
      <c r="AJ174" s="5" t="inlineStr"/>
      <c r="AK174" s="5" t="inlineStr">
        <is>
          <t>vapes; e-liquids</t>
        </is>
      </c>
      <c r="AL174" s="5" t="inlineStr"/>
      <c r="AM174" s="5" t="inlineStr">
        <is>
          <t>Vape Shop</t>
        </is>
      </c>
      <c r="AN174" s="5" t="inlineStr"/>
      <c r="AO174" s="5" t="inlineStr"/>
      <c r="AP174" s="5" t="inlineStr">
        <is>
          <t>Medium</t>
        </is>
      </c>
      <c r="AQ174" s="5" t="inlineStr">
        <is>
          <t>Independent retailer; Core relevant category</t>
        </is>
      </c>
      <c r="AR174" s="5" t="inlineStr">
        <is>
          <t>https://www.yell.com/s/tobacconists-halifax.html</t>
        </is>
      </c>
      <c r="AS174" s="5" t="inlineStr"/>
      <c r="AT174" s="5" t="inlineStr">
        <is>
          <t>1</t>
        </is>
      </c>
      <c r="AU174" s="5" t="inlineStr">
        <is>
          <t>No</t>
        </is>
      </c>
      <c r="AV174" s="5" t="inlineStr">
        <is>
          <t>No</t>
        </is>
      </c>
      <c r="AW174" s="5" t="inlineStr">
        <is>
          <t>No</t>
        </is>
      </c>
      <c r="AX174" s="5" t="inlineStr">
        <is>
          <t>No</t>
        </is>
      </c>
      <c r="AY174" s="5" t="inlineStr">
        <is>
          <t>Not Found</t>
        </is>
      </c>
      <c r="AZ174" s="5" t="inlineStr">
        <is>
          <t>Not Found</t>
        </is>
      </c>
      <c r="BA174" s="5" t="inlineStr">
        <is>
          <t>2026-09-16</t>
        </is>
      </c>
      <c r="BB174" s="5" t="inlineStr">
        <is>
          <t>Requires Verification</t>
        </is>
      </c>
      <c r="BC174" s="5" t="inlineStr">
        <is>
          <t>Low</t>
        </is>
      </c>
      <c r="BD174" s="5" t="inlineStr"/>
      <c r="BE174" s="5" t="inlineStr">
        <is>
          <t>Business (B2B)</t>
        </is>
      </c>
      <c r="BF174" s="5" t="inlineStr">
        <is>
          <t>Legitimate interest (B2B) - assess per campaign; PECR: corporate subscribers</t>
        </is>
      </c>
      <c r="BG174" s="5" t="inlineStr"/>
      <c r="BH174" s="5" t="inlineStr">
        <is>
          <t>No</t>
        </is>
      </c>
      <c r="BI174" s="5" t="inlineStr">
        <is>
          <t>2026-09-16</t>
        </is>
      </c>
      <c r="BJ174" s="5" t="inlineStr">
        <is>
          <t>New</t>
        </is>
      </c>
      <c r="BK174" s="5" t="inlineStr">
        <is>
          <t>2026-09-16</t>
        </is>
      </c>
      <c r="BL174" s="5" t="inlineStr"/>
      <c r="BM174" s="5" t="inlineStr"/>
      <c r="BN174" s="5" t="inlineStr"/>
      <c r="BO174" s="5" t="inlineStr"/>
      <c r="BP174" s="5" t="inlineStr"/>
      <c r="BQ174" s="5" t="inlineStr"/>
    </row>
    <row r="175">
      <c r="A175" s="10" t="inlineStr">
        <is>
          <t>WY-0174</t>
        </is>
      </c>
      <c r="B175" s="10" t="inlineStr">
        <is>
          <t>WY-0174-01</t>
        </is>
      </c>
      <c r="C175" s="10" t="inlineStr"/>
      <c r="D175" s="10" t="inlineStr">
        <is>
          <t>Vape Nation UK</t>
        </is>
      </c>
      <c r="E175" s="10" t="inlineStr">
        <is>
          <t>Vape Nation UK</t>
        </is>
      </c>
      <c r="F175" s="10" t="inlineStr"/>
      <c r="G175" s="10" t="inlineStr">
        <is>
          <t>Vape Shop</t>
        </is>
      </c>
      <c r="H175" s="10" t="inlineStr">
        <is>
          <t>E-cigarette / e-liquid retailer</t>
        </is>
      </c>
      <c r="I175" s="10" t="inlineStr">
        <is>
          <t>Independent</t>
        </is>
      </c>
      <c r="J175" s="10" t="inlineStr">
        <is>
          <t>1</t>
        </is>
      </c>
      <c r="K175" s="10" t="inlineStr">
        <is>
          <t>https://vapenationeshop.co.uk/</t>
        </is>
      </c>
      <c r="L175" s="10" t="inlineStr"/>
      <c r="M175" s="10" t="inlineStr"/>
      <c r="N175" s="10" t="inlineStr"/>
      <c r="O175" s="10" t="inlineStr">
        <is>
          <t>31 New Street</t>
        </is>
      </c>
      <c r="P175" s="10" t="inlineStr">
        <is>
          <t>Town Centre</t>
        </is>
      </c>
      <c r="Q175" s="10" t="inlineStr">
        <is>
          <t>Huddersfield</t>
        </is>
      </c>
      <c r="R175" s="10" t="inlineStr">
        <is>
          <t>West Yorkshire</t>
        </is>
      </c>
      <c r="S175" s="10" t="inlineStr">
        <is>
          <t>HD1 2AZ</t>
        </is>
      </c>
      <c r="T175" s="10" t="inlineStr">
        <is>
          <t>Yorkshire &amp; Humber</t>
        </is>
      </c>
      <c r="U175" s="10" t="inlineStr">
        <is>
          <t>England</t>
        </is>
      </c>
      <c r="V175" s="10" t="inlineStr">
        <is>
          <t>07809 655738</t>
        </is>
      </c>
      <c r="W175" s="10" t="inlineStr"/>
      <c r="X175" s="10" t="inlineStr"/>
      <c r="Y175" s="10" t="inlineStr">
        <is>
          <t>info@vapenationeshop.co.uk</t>
        </is>
      </c>
      <c r="Z175" s="10" t="inlineStr"/>
      <c r="AA175" s="10" t="inlineStr"/>
      <c r="AB175" s="10" t="inlineStr"/>
      <c r="AC175" s="10" t="inlineStr"/>
      <c r="AD175" s="10" t="inlineStr"/>
      <c r="AE175" s="10" t="inlineStr"/>
      <c r="AF175" s="10" t="inlineStr"/>
      <c r="AG175" s="10" t="inlineStr"/>
      <c r="AH175" s="10" t="inlineStr"/>
      <c r="AI175" s="10" t="inlineStr"/>
      <c r="AJ175" s="10" t="inlineStr"/>
      <c r="AK175" s="10" t="inlineStr">
        <is>
          <t>vape hardware; e-liquids; disposable vapes</t>
        </is>
      </c>
      <c r="AL175" s="10" t="inlineStr"/>
      <c r="AM175" s="10" t="inlineStr">
        <is>
          <t>Vape Shop</t>
        </is>
      </c>
      <c r="AN175" s="10" t="inlineStr"/>
      <c r="AO175" s="10" t="inlineStr">
        <is>
          <t>Town-centre store at the arcade entrance on New Street. Own e-shop site vapenationeshop.co.uk found in search results but could not be fetched (proxy blocked).</t>
        </is>
      </c>
      <c r="AP175" s="10" t="inlineStr">
        <is>
          <t>Medium</t>
        </is>
      </c>
      <c r="AQ175" s="10" t="inlineStr">
        <is>
          <t>Independent retailer; Core relevant category; Public email available; Active website</t>
        </is>
      </c>
      <c r="AR175" s="10" t="inlineStr">
        <is>
          <t>https://vapenationeshop.co.uk/contact-us/</t>
        </is>
      </c>
      <c r="AS175" s="10" t="inlineStr">
        <is>
          <t>https://ecigdirectory.co.uk/vape-shop/listing/vape-nation-uk-huddersfield</t>
        </is>
      </c>
      <c r="AT175" s="10" t="inlineStr">
        <is>
          <t>2</t>
        </is>
      </c>
      <c r="AU175" s="10" t="inlineStr">
        <is>
          <t>No</t>
        </is>
      </c>
      <c r="AV175" s="10" t="inlineStr">
        <is>
          <t>No</t>
        </is>
      </c>
      <c r="AW175" s="10" t="inlineStr">
        <is>
          <t>Yes</t>
        </is>
      </c>
      <c r="AX175" s="10" t="inlineStr">
        <is>
          <t>No</t>
        </is>
      </c>
      <c r="AY175" s="10" t="inlineStr">
        <is>
          <t>Verified directory</t>
        </is>
      </c>
      <c r="AZ175" s="10" t="inlineStr">
        <is>
          <t>Website Found</t>
        </is>
      </c>
      <c r="BA175" s="10" t="inlineStr">
        <is>
          <t>2026-09-16</t>
        </is>
      </c>
      <c r="BB175" s="10" t="inlineStr">
        <is>
          <t>Partially Verified</t>
        </is>
      </c>
      <c r="BC175" s="10" t="inlineStr">
        <is>
          <t>Medium</t>
        </is>
      </c>
      <c r="BD175" s="10" t="inlineStr"/>
      <c r="BE175" s="10" t="inlineStr">
        <is>
          <t>Business (B2B)</t>
        </is>
      </c>
      <c r="BF175" s="10" t="inlineStr">
        <is>
          <t>Legitimate interest (B2B) - assess per campaign; PECR: corporate subscribers</t>
        </is>
      </c>
      <c r="BG175" s="10" t="inlineStr"/>
      <c r="BH175" s="10" t="inlineStr">
        <is>
          <t>No</t>
        </is>
      </c>
      <c r="BI175" s="10" t="inlineStr">
        <is>
          <t>2026-09-16</t>
        </is>
      </c>
      <c r="BJ175" s="10" t="inlineStr">
        <is>
          <t>New</t>
        </is>
      </c>
      <c r="BK175" s="10" t="inlineStr">
        <is>
          <t>2026-09-16</t>
        </is>
      </c>
      <c r="BL175" s="10" t="inlineStr"/>
      <c r="BM175" s="10" t="inlineStr"/>
      <c r="BN175" s="10" t="inlineStr"/>
      <c r="BO175" s="10" t="inlineStr"/>
      <c r="BP175" s="10" t="inlineStr"/>
      <c r="BQ175" s="10" t="inlineStr"/>
    </row>
    <row r="176">
      <c r="A176" s="5" t="inlineStr">
        <is>
          <t>WY-0175</t>
        </is>
      </c>
      <c r="B176" s="5" t="inlineStr">
        <is>
          <t>WY-0175-01</t>
        </is>
      </c>
      <c r="C176" s="5" t="inlineStr"/>
      <c r="D176" s="5" t="inlineStr">
        <is>
          <t>Vape Road</t>
        </is>
      </c>
      <c r="E176" s="5" t="inlineStr">
        <is>
          <t>Vape Road</t>
        </is>
      </c>
      <c r="F176" s="5" t="inlineStr"/>
      <c r="G176" s="5" t="inlineStr">
        <is>
          <t>Vape Shop</t>
        </is>
      </c>
      <c r="H176" s="5" t="inlineStr"/>
      <c r="I176" s="5" t="inlineStr">
        <is>
          <t>Independent</t>
        </is>
      </c>
      <c r="J176" s="5" t="inlineStr">
        <is>
          <t>1</t>
        </is>
      </c>
      <c r="K176" s="5" t="inlineStr"/>
      <c r="L176" s="5" t="inlineStr"/>
      <c r="M176" s="5" t="inlineStr"/>
      <c r="N176" s="5" t="inlineStr"/>
      <c r="O176" s="5" t="inlineStr">
        <is>
          <t>66 Commercial Street</t>
        </is>
      </c>
      <c r="P176" s="5" t="inlineStr"/>
      <c r="Q176" s="5" t="inlineStr">
        <is>
          <t>Brighouse</t>
        </is>
      </c>
      <c r="R176" s="5" t="inlineStr">
        <is>
          <t>West Yorkshire</t>
        </is>
      </c>
      <c r="S176" s="5" t="inlineStr">
        <is>
          <t>HD6 1AQ</t>
        </is>
      </c>
      <c r="T176" s="5" t="inlineStr">
        <is>
          <t>Yorkshire &amp; Humber</t>
        </is>
      </c>
      <c r="U176" s="5" t="inlineStr">
        <is>
          <t>England</t>
        </is>
      </c>
      <c r="V176" s="5" t="inlineStr">
        <is>
          <t>01484 917785</t>
        </is>
      </c>
      <c r="W176" s="5" t="inlineStr"/>
      <c r="X176" s="5" t="inlineStr"/>
      <c r="Y176" s="5" t="inlineStr"/>
      <c r="Z176" s="5" t="inlineStr"/>
      <c r="AA176" s="5" t="inlineStr"/>
      <c r="AB176" s="5" t="inlineStr"/>
      <c r="AC176" s="5" t="inlineStr"/>
      <c r="AD176" s="5" t="inlineStr"/>
      <c r="AE176" s="5" t="inlineStr"/>
      <c r="AF176" s="5" t="inlineStr"/>
      <c r="AG176" s="5" t="inlineStr"/>
      <c r="AH176" s="5" t="inlineStr"/>
      <c r="AI176" s="5" t="inlineStr"/>
      <c r="AJ176" s="5" t="inlineStr"/>
      <c r="AK176" s="5" t="inlineStr">
        <is>
          <t>vape hardware; e-liquids</t>
        </is>
      </c>
      <c r="AL176" s="5" t="inlineStr"/>
      <c r="AM176" s="5" t="inlineStr">
        <is>
          <t>Vape Shop</t>
        </is>
      </c>
      <c r="AN176" s="5" t="inlineStr"/>
      <c r="AO176" s="5" t="inlineStr">
        <is>
          <t>Well-reviewed for customer service and product range per Cylex AI review summary.</t>
        </is>
      </c>
      <c r="AP176" s="5" t="inlineStr">
        <is>
          <t>Medium</t>
        </is>
      </c>
      <c r="AQ176" s="5" t="inlineStr">
        <is>
          <t>Independent retailer; Core relevant category</t>
        </is>
      </c>
      <c r="AR176" s="5" t="inlineStr">
        <is>
          <t>https://brighouse.cylex-uk.co.uk/company/vape-road-27599481.html</t>
        </is>
      </c>
      <c r="AS176" s="5" t="inlineStr">
        <is>
          <t>https://www.visitbrighouse.co.uk/directory/vape-road/</t>
        </is>
      </c>
      <c r="AT176" s="5" t="inlineStr">
        <is>
          <t>2</t>
        </is>
      </c>
      <c r="AU176" s="5" t="inlineStr">
        <is>
          <t>No</t>
        </is>
      </c>
      <c r="AV176" s="5" t="inlineStr">
        <is>
          <t>No</t>
        </is>
      </c>
      <c r="AW176" s="5" t="inlineStr">
        <is>
          <t>No</t>
        </is>
      </c>
      <c r="AX176" s="5" t="inlineStr">
        <is>
          <t>No</t>
        </is>
      </c>
      <c r="AY176" s="5" t="inlineStr">
        <is>
          <t>Verified directory</t>
        </is>
      </c>
      <c r="AZ176" s="5" t="inlineStr">
        <is>
          <t>Not Found</t>
        </is>
      </c>
      <c r="BA176" s="5" t="inlineStr">
        <is>
          <t>2026-09-16</t>
        </is>
      </c>
      <c r="BB176" s="5" t="inlineStr">
        <is>
          <t>Requires Verification</t>
        </is>
      </c>
      <c r="BC176" s="5" t="inlineStr">
        <is>
          <t>Medium</t>
        </is>
      </c>
      <c r="BD176" s="5" t="inlineStr"/>
      <c r="BE176" s="5" t="inlineStr">
        <is>
          <t>Business (B2B)</t>
        </is>
      </c>
      <c r="BF176" s="5" t="inlineStr">
        <is>
          <t>Legitimate interest (B2B) - assess per campaign; PECR: corporate subscribers</t>
        </is>
      </c>
      <c r="BG176" s="5" t="inlineStr"/>
      <c r="BH176" s="5" t="inlineStr">
        <is>
          <t>No</t>
        </is>
      </c>
      <c r="BI176" s="5" t="inlineStr">
        <is>
          <t>2026-09-16</t>
        </is>
      </c>
      <c r="BJ176" s="5" t="inlineStr">
        <is>
          <t>New</t>
        </is>
      </c>
      <c r="BK176" s="5" t="inlineStr">
        <is>
          <t>2026-09-16</t>
        </is>
      </c>
      <c r="BL176" s="5" t="inlineStr"/>
      <c r="BM176" s="5" t="inlineStr"/>
      <c r="BN176" s="5" t="inlineStr"/>
      <c r="BO176" s="5" t="inlineStr"/>
      <c r="BP176" s="5" t="inlineStr"/>
      <c r="BQ176" s="5" t="inlineStr"/>
    </row>
    <row r="177">
      <c r="A177" s="10" t="inlineStr">
        <is>
          <t>WY-0176</t>
        </is>
      </c>
      <c r="B177" s="10" t="inlineStr">
        <is>
          <t>WY-0176-01</t>
        </is>
      </c>
      <c r="C177" s="10" t="inlineStr"/>
      <c r="D177" s="10" t="inlineStr">
        <is>
          <t>Vape Road Cleckheaton</t>
        </is>
      </c>
      <c r="E177" s="10" t="inlineStr">
        <is>
          <t>Vape Road</t>
        </is>
      </c>
      <c r="F177" s="10" t="inlineStr"/>
      <c r="G177" s="10" t="inlineStr">
        <is>
          <t>Vape Shop</t>
        </is>
      </c>
      <c r="H177" s="10" t="inlineStr">
        <is>
          <t>Vape retailer</t>
        </is>
      </c>
      <c r="I177" s="10" t="inlineStr">
        <is>
          <t>Independent</t>
        </is>
      </c>
      <c r="J177" s="10" t="inlineStr">
        <is>
          <t>1</t>
        </is>
      </c>
      <c r="K177" s="10" t="inlineStr"/>
      <c r="L177" s="10" t="inlineStr"/>
      <c r="M177" s="10" t="inlineStr"/>
      <c r="N177" s="10" t="inlineStr"/>
      <c r="O177" s="10" t="inlineStr">
        <is>
          <t>Railway Street</t>
        </is>
      </c>
      <c r="P177" s="10" t="inlineStr"/>
      <c r="Q177" s="10" t="inlineStr">
        <is>
          <t>Cleckheaton</t>
        </is>
      </c>
      <c r="R177" s="10" t="inlineStr">
        <is>
          <t>West Yorkshire</t>
        </is>
      </c>
      <c r="S177" s="10" t="inlineStr"/>
      <c r="T177" s="10" t="inlineStr">
        <is>
          <t>Yorkshire &amp; Humber</t>
        </is>
      </c>
      <c r="U177" s="10" t="inlineStr">
        <is>
          <t>England</t>
        </is>
      </c>
      <c r="V177" s="10" t="inlineStr"/>
      <c r="W177" s="10" t="inlineStr"/>
      <c r="X177" s="10" t="inlineStr"/>
      <c r="Y177" s="10" t="inlineStr"/>
      <c r="Z177" s="10" t="inlineStr"/>
      <c r="AA177" s="10" t="inlineStr"/>
      <c r="AB177" s="10" t="inlineStr"/>
      <c r="AC177" s="10" t="inlineStr"/>
      <c r="AD177" s="10" t="inlineStr"/>
      <c r="AE177" s="10" t="inlineStr"/>
      <c r="AF177" s="10" t="inlineStr"/>
      <c r="AG177" s="10" t="inlineStr"/>
      <c r="AH177" s="10" t="inlineStr"/>
      <c r="AI177" s="10" t="inlineStr"/>
      <c r="AJ177" s="10" t="inlineStr"/>
      <c r="AK177" s="10" t="inlineStr">
        <is>
          <t>vape hardware; e-liquids; disposable vapes</t>
        </is>
      </c>
      <c r="AL177" s="10" t="inlineStr"/>
      <c r="AM177" s="10" t="inlineStr">
        <is>
          <t>Vape Shop</t>
        </is>
      </c>
      <c r="AN177" s="10" t="inlineStr"/>
      <c r="AO177" s="10" t="inlineStr">
        <is>
          <t>Cylex lists it on Railway Street with an 01274 398xxx number shown only in truncated form, so no phone recorded.</t>
        </is>
      </c>
      <c r="AP177" s="10" t="inlineStr">
        <is>
          <t>Medium</t>
        </is>
      </c>
      <c r="AQ177" s="10" t="inlineStr">
        <is>
          <t>Independent retailer; Core relevant category</t>
        </is>
      </c>
      <c r="AR177" s="10" t="inlineStr">
        <is>
          <t>https://cleckheaton.cylex-uk.co.uk/company/vape-road-cleckheaton-26986187.html</t>
        </is>
      </c>
      <c r="AS177" s="10" t="inlineStr"/>
      <c r="AT177" s="10" t="inlineStr">
        <is>
          <t>1</t>
        </is>
      </c>
      <c r="AU177" s="10" t="inlineStr">
        <is>
          <t>No</t>
        </is>
      </c>
      <c r="AV177" s="10" t="inlineStr">
        <is>
          <t>No</t>
        </is>
      </c>
      <c r="AW177" s="10" t="inlineStr">
        <is>
          <t>No</t>
        </is>
      </c>
      <c r="AX177" s="10" t="inlineStr">
        <is>
          <t>No</t>
        </is>
      </c>
      <c r="AY177" s="10" t="inlineStr">
        <is>
          <t>Not Found</t>
        </is>
      </c>
      <c r="AZ177" s="10" t="inlineStr">
        <is>
          <t>Not Found</t>
        </is>
      </c>
      <c r="BA177" s="10" t="inlineStr">
        <is>
          <t>2026-09-16</t>
        </is>
      </c>
      <c r="BB177" s="10" t="inlineStr">
        <is>
          <t>Requires Verification</t>
        </is>
      </c>
      <c r="BC177" s="10" t="inlineStr">
        <is>
          <t>Low</t>
        </is>
      </c>
      <c r="BD177" s="10" t="inlineStr"/>
      <c r="BE177" s="10" t="inlineStr">
        <is>
          <t>Business (B2B)</t>
        </is>
      </c>
      <c r="BF177" s="10" t="inlineStr">
        <is>
          <t>Legitimate interest (B2B) - assess per campaign; PECR: corporate subscribers</t>
        </is>
      </c>
      <c r="BG177" s="10" t="inlineStr"/>
      <c r="BH177" s="10" t="inlineStr">
        <is>
          <t>No</t>
        </is>
      </c>
      <c r="BI177" s="10" t="inlineStr">
        <is>
          <t>2026-09-16</t>
        </is>
      </c>
      <c r="BJ177" s="10" t="inlineStr">
        <is>
          <t>New</t>
        </is>
      </c>
      <c r="BK177" s="10" t="inlineStr">
        <is>
          <t>2026-09-16</t>
        </is>
      </c>
      <c r="BL177" s="10" t="inlineStr"/>
      <c r="BM177" s="10" t="inlineStr"/>
      <c r="BN177" s="10" t="inlineStr"/>
      <c r="BO177" s="10" t="inlineStr"/>
      <c r="BP177" s="10" t="inlineStr"/>
      <c r="BQ177" s="10" t="inlineStr"/>
    </row>
    <row r="178">
      <c r="A178" s="5" t="inlineStr">
        <is>
          <t>WY-0177</t>
        </is>
      </c>
      <c r="B178" s="5" t="inlineStr">
        <is>
          <t>WY-0177-01</t>
        </is>
      </c>
      <c r="C178" s="5" t="inlineStr"/>
      <c r="D178" s="5" t="inlineStr">
        <is>
          <t>Vape Suite</t>
        </is>
      </c>
      <c r="E178" s="5" t="inlineStr">
        <is>
          <t>Vape Suite</t>
        </is>
      </c>
      <c r="F178" s="5" t="inlineStr">
        <is>
          <t>Vape Suite (Huddersfield) Ltd</t>
        </is>
      </c>
      <c r="G178" s="5" t="inlineStr">
        <is>
          <t>Vape Shop</t>
        </is>
      </c>
      <c r="H178" s="5" t="inlineStr">
        <is>
          <t>E-cigarette / e-liquid / disposables retailer</t>
        </is>
      </c>
      <c r="I178" s="5" t="inlineStr">
        <is>
          <t>Independent</t>
        </is>
      </c>
      <c r="J178" s="5" t="inlineStr">
        <is>
          <t>1</t>
        </is>
      </c>
      <c r="K178" s="5" t="inlineStr"/>
      <c r="L178" s="5" t="inlineStr"/>
      <c r="M178" s="5" t="inlineStr"/>
      <c r="N178" s="5" t="inlineStr"/>
      <c r="O178" s="5" t="inlineStr">
        <is>
          <t>7 King Street</t>
        </is>
      </c>
      <c r="P178" s="5" t="inlineStr">
        <is>
          <t>Town Centre</t>
        </is>
      </c>
      <c r="Q178" s="5" t="inlineStr">
        <is>
          <t>Huddersfield</t>
        </is>
      </c>
      <c r="R178" s="5" t="inlineStr">
        <is>
          <t>West Yorkshire</t>
        </is>
      </c>
      <c r="S178" s="5" t="inlineStr">
        <is>
          <t>HD1 2QD</t>
        </is>
      </c>
      <c r="T178" s="5" t="inlineStr">
        <is>
          <t>Yorkshire &amp; Humber</t>
        </is>
      </c>
      <c r="U178" s="5" t="inlineStr">
        <is>
          <t>England</t>
        </is>
      </c>
      <c r="V178" s="5" t="inlineStr">
        <is>
          <t>01484 312366</t>
        </is>
      </c>
      <c r="W178" s="5" t="inlineStr"/>
      <c r="X178" s="5" t="inlineStr"/>
      <c r="Y178" s="5" t="inlineStr"/>
      <c r="Z178" s="5" t="inlineStr"/>
      <c r="AA178" s="5" t="inlineStr"/>
      <c r="AB178" s="5" t="inlineStr"/>
      <c r="AC178" s="5" t="inlineStr"/>
      <c r="AD178" s="5" t="inlineStr"/>
      <c r="AE178" s="5" t="inlineStr">
        <is>
          <t>13476013</t>
        </is>
      </c>
      <c r="AF178" s="5" t="inlineStr"/>
      <c r="AG178" s="5" t="inlineStr">
        <is>
          <t>VAPE SUITE (HUDDERSFIELD) LTD</t>
        </is>
      </c>
      <c r="AH178" s="5" t="inlineStr"/>
      <c r="AI178" s="5" t="inlineStr"/>
      <c r="AJ178" s="5" t="inlineStr"/>
      <c r="AK178" s="5" t="inlineStr">
        <is>
          <t>vape hardware; e-liquids; disposable vapes</t>
        </is>
      </c>
      <c r="AL178" s="5" t="inlineStr"/>
      <c r="AM178" s="5" t="inlineStr">
        <is>
          <t>Vape Shop</t>
        </is>
      </c>
      <c r="AN178" s="5" t="inlineStr"/>
      <c r="AO178" s="5" t="inlineStr">
        <is>
          <t>Well-reviewed town-centre vape shop. Companies House match VAPE SUITE (HUDDERSFIELD) LTD found in search results; company page not opened, so status/incorporation not recorded.</t>
        </is>
      </c>
      <c r="AP178" s="5" t="inlineStr">
        <is>
          <t>Medium</t>
        </is>
      </c>
      <c r="AQ178" s="5" t="inlineStr">
        <is>
          <t>Independent retailer; Core relevant category</t>
        </is>
      </c>
      <c r="AR178" s="5" t="inlineStr">
        <is>
          <t>https://find-and-update.company-information.service.gov.uk/company/13476013</t>
        </is>
      </c>
      <c r="AS178" s="5" t="inlineStr">
        <is>
          <t>https://www.yell.com/biz/vape-suite-huddersfield-9317660/</t>
        </is>
      </c>
      <c r="AT178" s="5" t="inlineStr">
        <is>
          <t>4</t>
        </is>
      </c>
      <c r="AU178" s="5" t="inlineStr">
        <is>
          <t>No</t>
        </is>
      </c>
      <c r="AV178" s="5" t="inlineStr">
        <is>
          <t>No</t>
        </is>
      </c>
      <c r="AW178" s="5" t="inlineStr">
        <is>
          <t>No</t>
        </is>
      </c>
      <c r="AX178" s="5" t="inlineStr">
        <is>
          <t>No</t>
        </is>
      </c>
      <c r="AY178" s="5" t="inlineStr">
        <is>
          <t>Verified directory</t>
        </is>
      </c>
      <c r="AZ178" s="5" t="inlineStr">
        <is>
          <t>Not Found</t>
        </is>
      </c>
      <c r="BA178" s="5" t="inlineStr">
        <is>
          <t>2026-09-16</t>
        </is>
      </c>
      <c r="BB178" s="5" t="inlineStr">
        <is>
          <t>Requires Verification</t>
        </is>
      </c>
      <c r="BC178" s="5" t="inlineStr">
        <is>
          <t>Medium</t>
        </is>
      </c>
      <c r="BD178" s="5" t="inlineStr"/>
      <c r="BE178" s="5" t="inlineStr">
        <is>
          <t>Business (B2B)</t>
        </is>
      </c>
      <c r="BF178" s="5" t="inlineStr">
        <is>
          <t>Legitimate interest (B2B) - assess per campaign; PECR: corporate subscribers</t>
        </is>
      </c>
      <c r="BG178" s="5" t="inlineStr"/>
      <c r="BH178" s="5" t="inlineStr">
        <is>
          <t>No</t>
        </is>
      </c>
      <c r="BI178" s="5" t="inlineStr">
        <is>
          <t>2026-09-16</t>
        </is>
      </c>
      <c r="BJ178" s="5" t="inlineStr">
        <is>
          <t>New</t>
        </is>
      </c>
      <c r="BK178" s="5" t="inlineStr">
        <is>
          <t>2026-09-16</t>
        </is>
      </c>
      <c r="BL178" s="5" t="inlineStr"/>
      <c r="BM178" s="5" t="inlineStr"/>
      <c r="BN178" s="5" t="inlineStr"/>
      <c r="BO178" s="5" t="inlineStr"/>
      <c r="BP178" s="5" t="inlineStr"/>
      <c r="BQ178" s="5" t="inlineStr"/>
    </row>
    <row r="179">
      <c r="A179" s="10" t="inlineStr">
        <is>
          <t>WY-0178</t>
        </is>
      </c>
      <c r="B179" s="10" t="inlineStr">
        <is>
          <t>WY-0178-01</t>
        </is>
      </c>
      <c r="C179" s="10" t="inlineStr"/>
      <c r="D179" s="10" t="inlineStr">
        <is>
          <t>Vape and Wine Village</t>
        </is>
      </c>
      <c r="E179" s="10" t="inlineStr">
        <is>
          <t>Vape and Wine Village</t>
        </is>
      </c>
      <c r="F179" s="10" t="inlineStr"/>
      <c r="G179" s="10" t="inlineStr">
        <is>
          <t>Off-Licence</t>
        </is>
      </c>
      <c r="H179" s="10" t="inlineStr">
        <is>
          <t>Off-licence and vape shop</t>
        </is>
      </c>
      <c r="I179" s="10" t="inlineStr">
        <is>
          <t>Independent</t>
        </is>
      </c>
      <c r="J179" s="10" t="inlineStr">
        <is>
          <t>1</t>
        </is>
      </c>
      <c r="K179" s="10" t="inlineStr"/>
      <c r="L179" s="10" t="inlineStr"/>
      <c r="M179" s="10" t="inlineStr"/>
      <c r="N179" s="10" t="inlineStr"/>
      <c r="O179" s="10" t="inlineStr">
        <is>
          <t>13-15 Hyde Park Road</t>
        </is>
      </c>
      <c r="P179" s="10" t="inlineStr">
        <is>
          <t>Hyde Park / Burley</t>
        </is>
      </c>
      <c r="Q179" s="10" t="inlineStr">
        <is>
          <t>Leeds</t>
        </is>
      </c>
      <c r="R179" s="10" t="inlineStr">
        <is>
          <t>West Yorkshire</t>
        </is>
      </c>
      <c r="S179" s="10" t="inlineStr">
        <is>
          <t>LS6 1PY</t>
        </is>
      </c>
      <c r="T179" s="10" t="inlineStr">
        <is>
          <t>Yorkshire &amp; Humber</t>
        </is>
      </c>
      <c r="U179" s="10" t="inlineStr">
        <is>
          <t>England</t>
        </is>
      </c>
      <c r="V179" s="10" t="inlineStr"/>
      <c r="W179" s="10" t="inlineStr"/>
      <c r="X179" s="10" t="inlineStr"/>
      <c r="Y179" s="10" t="inlineStr"/>
      <c r="Z179" s="10" t="inlineStr"/>
      <c r="AA179" s="10" t="inlineStr"/>
      <c r="AB179" s="10" t="inlineStr"/>
      <c r="AC179" s="10" t="inlineStr"/>
      <c r="AD179" s="10" t="inlineStr"/>
      <c r="AE179" s="10" t="inlineStr"/>
      <c r="AF179" s="10" t="inlineStr"/>
      <c r="AG179" s="10" t="inlineStr"/>
      <c r="AH179" s="10" t="inlineStr"/>
      <c r="AI179" s="10" t="inlineStr"/>
      <c r="AJ179" s="10" t="inlineStr"/>
      <c r="AK179" s="10" t="inlineStr">
        <is>
          <t>wine; beer; spirits; vapes</t>
        </is>
      </c>
      <c r="AL179" s="10" t="inlineStr"/>
      <c r="AM179" s="10" t="inlineStr">
        <is>
          <t>Off-Licence</t>
        </is>
      </c>
      <c r="AN179" s="10" t="inlineStr"/>
      <c r="AO179" s="10" t="inlineStr">
        <is>
          <t>Combined off-licence and vape retailer serving the Hyde Park student area.</t>
        </is>
      </c>
      <c r="AP179" s="10" t="inlineStr">
        <is>
          <t>Low</t>
        </is>
      </c>
      <c r="AQ179" s="10" t="inlineStr">
        <is>
          <t>Independent retailer; Relevant category</t>
        </is>
      </c>
      <c r="AR179" s="10" t="inlineStr">
        <is>
          <t>https://www.yorkshire.com/leeds/shopping/off-license</t>
        </is>
      </c>
      <c r="AS179" s="10" t="inlineStr"/>
      <c r="AT179" s="10" t="inlineStr">
        <is>
          <t>1</t>
        </is>
      </c>
      <c r="AU179" s="10" t="inlineStr">
        <is>
          <t>No</t>
        </is>
      </c>
      <c r="AV179" s="10" t="inlineStr">
        <is>
          <t>No</t>
        </is>
      </c>
      <c r="AW179" s="10" t="inlineStr">
        <is>
          <t>No</t>
        </is>
      </c>
      <c r="AX179" s="10" t="inlineStr">
        <is>
          <t>No</t>
        </is>
      </c>
      <c r="AY179" s="10" t="inlineStr">
        <is>
          <t>Not Found</t>
        </is>
      </c>
      <c r="AZ179" s="10" t="inlineStr">
        <is>
          <t>Not Found</t>
        </is>
      </c>
      <c r="BA179" s="10" t="inlineStr">
        <is>
          <t>2026-09-16</t>
        </is>
      </c>
      <c r="BB179" s="10" t="inlineStr">
        <is>
          <t>Requires Verification</t>
        </is>
      </c>
      <c r="BC179" s="10" t="inlineStr">
        <is>
          <t>Low</t>
        </is>
      </c>
      <c r="BD179" s="10" t="inlineStr"/>
      <c r="BE179" s="10" t="inlineStr">
        <is>
          <t>Business (B2B)</t>
        </is>
      </c>
      <c r="BF179" s="10" t="inlineStr">
        <is>
          <t>Legitimate interest (B2B) - assess per campaign; PECR: corporate subscribers</t>
        </is>
      </c>
      <c r="BG179" s="10" t="inlineStr"/>
      <c r="BH179" s="10" t="inlineStr">
        <is>
          <t>No</t>
        </is>
      </c>
      <c r="BI179" s="10" t="inlineStr">
        <is>
          <t>2026-09-16</t>
        </is>
      </c>
      <c r="BJ179" s="10" t="inlineStr">
        <is>
          <t>New</t>
        </is>
      </c>
      <c r="BK179" s="10" t="inlineStr">
        <is>
          <t>2026-09-16</t>
        </is>
      </c>
      <c r="BL179" s="10" t="inlineStr"/>
      <c r="BM179" s="10" t="inlineStr"/>
      <c r="BN179" s="10" t="inlineStr"/>
      <c r="BO179" s="10" t="inlineStr"/>
      <c r="BP179" s="10" t="inlineStr"/>
      <c r="BQ179" s="10" t="inlineStr"/>
    </row>
    <row r="180">
      <c r="A180" s="5" t="inlineStr">
        <is>
          <t>WY-0179</t>
        </is>
      </c>
      <c r="B180" s="5" t="inlineStr">
        <is>
          <t>WY-0179-01</t>
        </is>
      </c>
      <c r="C180" s="5" t="inlineStr"/>
      <c r="D180" s="5" t="inlineStr">
        <is>
          <t>VapeShop Leeds</t>
        </is>
      </c>
      <c r="E180" s="5" t="inlineStr">
        <is>
          <t>VapeShop Leeds</t>
        </is>
      </c>
      <c r="F180" s="5" t="inlineStr"/>
      <c r="G180" s="5" t="inlineStr">
        <is>
          <t>Vape Shop</t>
        </is>
      </c>
      <c r="H180" s="5" t="inlineStr">
        <is>
          <t>E-cigarette specialist</t>
        </is>
      </c>
      <c r="I180" s="5" t="inlineStr">
        <is>
          <t>Independent</t>
        </is>
      </c>
      <c r="J180" s="5" t="inlineStr">
        <is>
          <t>1</t>
        </is>
      </c>
      <c r="K180" s="5" t="inlineStr"/>
      <c r="L180" s="5" t="inlineStr"/>
      <c r="M180" s="5" t="inlineStr"/>
      <c r="N180" s="5" t="inlineStr"/>
      <c r="O180" s="5" t="inlineStr">
        <is>
          <t>229 Selby Road</t>
        </is>
      </c>
      <c r="P180" s="5" t="inlineStr">
        <is>
          <t>Halton</t>
        </is>
      </c>
      <c r="Q180" s="5" t="inlineStr">
        <is>
          <t>Leeds</t>
        </is>
      </c>
      <c r="R180" s="5" t="inlineStr">
        <is>
          <t>West Yorkshire</t>
        </is>
      </c>
      <c r="S180" s="5" t="inlineStr">
        <is>
          <t>LS15 7HW</t>
        </is>
      </c>
      <c r="T180" s="5" t="inlineStr">
        <is>
          <t>Yorkshire &amp; Humber</t>
        </is>
      </c>
      <c r="U180" s="5" t="inlineStr">
        <is>
          <t>England</t>
        </is>
      </c>
      <c r="V180" s="5" t="inlineStr"/>
      <c r="W180" s="5" t="inlineStr"/>
      <c r="X180" s="5" t="inlineStr"/>
      <c r="Y180" s="5" t="inlineStr"/>
      <c r="Z180" s="5" t="inlineStr"/>
      <c r="AA180" s="5" t="inlineStr"/>
      <c r="AB180" s="5" t="inlineStr"/>
      <c r="AC180" s="5" t="inlineStr"/>
      <c r="AD180" s="5" t="inlineStr"/>
      <c r="AE180" s="5" t="inlineStr"/>
      <c r="AF180" s="5" t="inlineStr"/>
      <c r="AG180" s="5" t="inlineStr"/>
      <c r="AH180" s="5" t="inlineStr"/>
      <c r="AI180" s="5" t="inlineStr"/>
      <c r="AJ180" s="5" t="inlineStr"/>
      <c r="AK180" s="5" t="inlineStr">
        <is>
          <t>e-cigarettes; tanks; mods; e-liquids</t>
        </is>
      </c>
      <c r="AL180" s="5" t="inlineStr"/>
      <c r="AM180" s="5" t="inlineStr">
        <is>
          <t>Vape Shop</t>
        </is>
      </c>
      <c r="AN180" s="5" t="inlineStr"/>
      <c r="AO180" s="5" t="inlineStr">
        <is>
          <t>Independent e-cig specialist with free parking; newly refurbished per directory listing.</t>
        </is>
      </c>
      <c r="AP180" s="5" t="inlineStr">
        <is>
          <t>Medium</t>
        </is>
      </c>
      <c r="AQ180" s="5" t="inlineStr">
        <is>
          <t>Independent retailer; Core relevant category</t>
        </is>
      </c>
      <c r="AR180" s="5" t="inlineStr">
        <is>
          <t>https://ecigdirectory.co.uk/vape-shop/listing/vapeshop-leeds</t>
        </is>
      </c>
      <c r="AS180" s="5" t="inlineStr"/>
      <c r="AT180" s="5" t="inlineStr">
        <is>
          <t>1</t>
        </is>
      </c>
      <c r="AU180" s="5" t="inlineStr">
        <is>
          <t>No</t>
        </is>
      </c>
      <c r="AV180" s="5" t="inlineStr">
        <is>
          <t>No</t>
        </is>
      </c>
      <c r="AW180" s="5" t="inlineStr">
        <is>
          <t>No</t>
        </is>
      </c>
      <c r="AX180" s="5" t="inlineStr">
        <is>
          <t>No</t>
        </is>
      </c>
      <c r="AY180" s="5" t="inlineStr">
        <is>
          <t>Not Found</t>
        </is>
      </c>
      <c r="AZ180" s="5" t="inlineStr">
        <is>
          <t>Not Found</t>
        </is>
      </c>
      <c r="BA180" s="5" t="inlineStr">
        <is>
          <t>2026-09-16</t>
        </is>
      </c>
      <c r="BB180" s="5" t="inlineStr">
        <is>
          <t>Requires Verification</t>
        </is>
      </c>
      <c r="BC180" s="5" t="inlineStr">
        <is>
          <t>Low</t>
        </is>
      </c>
      <c r="BD180" s="5" t="inlineStr"/>
      <c r="BE180" s="5" t="inlineStr">
        <is>
          <t>Business (B2B)</t>
        </is>
      </c>
      <c r="BF180" s="5" t="inlineStr">
        <is>
          <t>Legitimate interest (B2B) - assess per campaign; PECR: corporate subscribers</t>
        </is>
      </c>
      <c r="BG180" s="5" t="inlineStr"/>
      <c r="BH180" s="5" t="inlineStr">
        <is>
          <t>No</t>
        </is>
      </c>
      <c r="BI180" s="5" t="inlineStr">
        <is>
          <t>2026-09-16</t>
        </is>
      </c>
      <c r="BJ180" s="5" t="inlineStr">
        <is>
          <t>New</t>
        </is>
      </c>
      <c r="BK180" s="5" t="inlineStr">
        <is>
          <t>2026-09-16</t>
        </is>
      </c>
      <c r="BL180" s="5" t="inlineStr"/>
      <c r="BM180" s="5" t="inlineStr"/>
      <c r="BN180" s="5" t="inlineStr"/>
      <c r="BO180" s="5" t="inlineStr"/>
      <c r="BP180" s="5" t="inlineStr"/>
      <c r="BQ180" s="5" t="inlineStr"/>
    </row>
    <row r="181">
      <c r="A181" s="10" t="inlineStr">
        <is>
          <t>WY-0180</t>
        </is>
      </c>
      <c r="B181" s="10" t="inlineStr">
        <is>
          <t>WY-0180-01</t>
        </is>
      </c>
      <c r="C181" s="10" t="inlineStr"/>
      <c r="D181" s="10" t="inlineStr">
        <is>
          <t>Vaperites</t>
        </is>
      </c>
      <c r="E181" s="10" t="inlineStr">
        <is>
          <t>Vaperites</t>
        </is>
      </c>
      <c r="F181" s="10" t="inlineStr"/>
      <c r="G181" s="10" t="inlineStr">
        <is>
          <t>Vape Shop</t>
        </is>
      </c>
      <c r="H181" s="10" t="inlineStr">
        <is>
          <t>Vape retailer and wholesaler</t>
        </is>
      </c>
      <c r="I181" s="10" t="inlineStr">
        <is>
          <t>Independent</t>
        </is>
      </c>
      <c r="J181" s="10" t="inlineStr">
        <is>
          <t>1</t>
        </is>
      </c>
      <c r="K181" s="10" t="inlineStr">
        <is>
          <t>https://vaperites.co.uk</t>
        </is>
      </c>
      <c r="L181" s="10" t="inlineStr">
        <is>
          <t>https://www.facebook.com/TheVapePeople/</t>
        </is>
      </c>
      <c r="M181" s="10" t="inlineStr"/>
      <c r="N181" s="10" t="inlineStr"/>
      <c r="O181" s="10" t="inlineStr">
        <is>
          <t>9 Horse Fair</t>
        </is>
      </c>
      <c r="P181" s="10" t="inlineStr"/>
      <c r="Q181" s="10" t="inlineStr">
        <is>
          <t>Pontefract</t>
        </is>
      </c>
      <c r="R181" s="10" t="inlineStr">
        <is>
          <t>West Yorkshire</t>
        </is>
      </c>
      <c r="S181" s="10" t="inlineStr">
        <is>
          <t>WF8 1PE</t>
        </is>
      </c>
      <c r="T181" s="10" t="inlineStr">
        <is>
          <t>Yorkshire &amp; Humber</t>
        </is>
      </c>
      <c r="U181" s="10" t="inlineStr">
        <is>
          <t>England</t>
        </is>
      </c>
      <c r="V181" s="10" t="inlineStr">
        <is>
          <t>01977 278484</t>
        </is>
      </c>
      <c r="W181" s="10" t="inlineStr"/>
      <c r="X181" s="10" t="inlineStr"/>
      <c r="Y181" s="10" t="inlineStr">
        <is>
          <t>vaperite@gmail.com</t>
        </is>
      </c>
      <c r="Z181" s="10" t="inlineStr"/>
      <c r="AA181" s="10" t="inlineStr"/>
      <c r="AB181" s="10" t="inlineStr"/>
      <c r="AC181" s="10" t="inlineStr"/>
      <c r="AD181" s="10" t="inlineStr"/>
      <c r="AE181" s="10" t="inlineStr"/>
      <c r="AF181" s="10" t="inlineStr"/>
      <c r="AG181" s="10" t="inlineStr"/>
      <c r="AH181" s="10" t="inlineStr"/>
      <c r="AI181" s="10" t="inlineStr"/>
      <c r="AJ181" s="10" t="inlineStr"/>
      <c r="AK181" s="10" t="inlineStr">
        <is>
          <t>e-cigarettes; e-liquids; disposables</t>
        </is>
      </c>
      <c r="AL181" s="10" t="inlineStr"/>
      <c r="AM181" s="10" t="inlineStr">
        <is>
          <t>Vape Shop</t>
        </is>
      </c>
      <c r="AN181" s="10" t="inlineStr">
        <is>
          <t>Acts as both retailer and wholesaler of e-cigarettes, e-liquids and disposables</t>
        </is>
      </c>
      <c r="AO181" s="10" t="inlineStr">
        <is>
          <t>Postcode WF8 1PE confirmed from the shop's own Facebook opening-times post. Directly opposite Pontefract bus station area (Horse Fair).</t>
        </is>
      </c>
      <c r="AP181" s="10" t="inlineStr">
        <is>
          <t>High</t>
        </is>
      </c>
      <c r="AQ181" s="10" t="inlineStr">
        <is>
          <t>Independent retailer; Core relevant category; Public email available; Active website; Social presence</t>
        </is>
      </c>
      <c r="AR181" s="10" t="inlineStr">
        <is>
          <t>https://www.facebook.com/TheVapePeople/posts/new-opening-times9-horsefair-pontefract-wf8-1pe/417671657263981/</t>
        </is>
      </c>
      <c r="AS181" s="10" t="inlineStr">
        <is>
          <t>https://vapeshops.puffingbird.com/yorkshire-and-the-humber/pontefract/vaperites-e-cigarette-store</t>
        </is>
      </c>
      <c r="AT181" s="10" t="inlineStr">
        <is>
          <t>2</t>
        </is>
      </c>
      <c r="AU181" s="10" t="inlineStr">
        <is>
          <t>No</t>
        </is>
      </c>
      <c r="AV181" s="10" t="inlineStr">
        <is>
          <t>No</t>
        </is>
      </c>
      <c r="AW181" s="10" t="inlineStr">
        <is>
          <t>No</t>
        </is>
      </c>
      <c r="AX181" s="10" t="inlineStr">
        <is>
          <t>No</t>
        </is>
      </c>
      <c r="AY181" s="10" t="inlineStr">
        <is>
          <t>Verified directory</t>
        </is>
      </c>
      <c r="AZ181" s="10" t="inlineStr">
        <is>
          <t>Unverified</t>
        </is>
      </c>
      <c r="BA181" s="10" t="inlineStr">
        <is>
          <t>2026-09-16</t>
        </is>
      </c>
      <c r="BB181" s="10" t="inlineStr">
        <is>
          <t>Requires Verification</t>
        </is>
      </c>
      <c r="BC181" s="10" t="inlineStr">
        <is>
          <t>Medium</t>
        </is>
      </c>
      <c r="BD181" s="10" t="inlineStr"/>
      <c r="BE181" s="10" t="inlineStr">
        <is>
          <t>Business (B2B)</t>
        </is>
      </c>
      <c r="BF181" s="10" t="inlineStr">
        <is>
          <t>Legitimate interest (B2B) - assess per campaign; PECR: corporate subscribers</t>
        </is>
      </c>
      <c r="BG181" s="10" t="inlineStr"/>
      <c r="BH181" s="10" t="inlineStr">
        <is>
          <t>No</t>
        </is>
      </c>
      <c r="BI181" s="10" t="inlineStr">
        <is>
          <t>2026-09-16</t>
        </is>
      </c>
      <c r="BJ181" s="10" t="inlineStr">
        <is>
          <t>New</t>
        </is>
      </c>
      <c r="BK181" s="10" t="inlineStr">
        <is>
          <t>2026-09-16</t>
        </is>
      </c>
      <c r="BL181" s="10" t="inlineStr"/>
      <c r="BM181" s="10" t="inlineStr"/>
      <c r="BN181" s="10" t="inlineStr"/>
      <c r="BO181" s="10" t="inlineStr"/>
      <c r="BP181" s="10" t="inlineStr"/>
      <c r="BQ181" s="10" t="inlineStr"/>
    </row>
    <row r="182">
      <c r="A182" s="5" t="inlineStr">
        <is>
          <t>WY-0181</t>
        </is>
      </c>
      <c r="B182" s="5" t="inlineStr">
        <is>
          <t>WY-0181-01</t>
        </is>
      </c>
      <c r="C182" s="5" t="inlineStr"/>
      <c r="D182" s="5" t="inlineStr">
        <is>
          <t>Vapestation</t>
        </is>
      </c>
      <c r="E182" s="5" t="inlineStr">
        <is>
          <t>Vapestation</t>
        </is>
      </c>
      <c r="F182" s="5" t="inlineStr"/>
      <c r="G182" s="5" t="inlineStr">
        <is>
          <t>Vape Shop</t>
        </is>
      </c>
      <c r="H182" s="5" t="inlineStr">
        <is>
          <t>E-liquid and hardware specialist</t>
        </is>
      </c>
      <c r="I182" s="5" t="inlineStr">
        <is>
          <t>Independent</t>
        </is>
      </c>
      <c r="J182" s="5" t="inlineStr">
        <is>
          <t>1</t>
        </is>
      </c>
      <c r="K182" s="5" t="inlineStr"/>
      <c r="L182" s="5" t="inlineStr"/>
      <c r="M182" s="5" t="inlineStr"/>
      <c r="N182" s="5" t="inlineStr">
        <is>
          <t>https://nextdoor.co.uk/pages/vapestation-inc-limited-halifax-yorkshire/</t>
        </is>
      </c>
      <c r="O182" s="5" t="inlineStr">
        <is>
          <t>39a Horton Street</t>
        </is>
      </c>
      <c r="P182" s="5" t="inlineStr"/>
      <c r="Q182" s="5" t="inlineStr">
        <is>
          <t>Halifax</t>
        </is>
      </c>
      <c r="R182" s="5" t="inlineStr">
        <is>
          <t>West Yorkshire</t>
        </is>
      </c>
      <c r="S182" s="5" t="inlineStr">
        <is>
          <t>HX1 1QE</t>
        </is>
      </c>
      <c r="T182" s="5" t="inlineStr">
        <is>
          <t>Yorkshire &amp; Humber</t>
        </is>
      </c>
      <c r="U182" s="5" t="inlineStr">
        <is>
          <t>England</t>
        </is>
      </c>
      <c r="V182" s="5" t="inlineStr">
        <is>
          <t>01422 365557</t>
        </is>
      </c>
      <c r="W182" s="5" t="inlineStr"/>
      <c r="X182" s="5" t="inlineStr"/>
      <c r="Y182" s="5" t="inlineStr"/>
      <c r="Z182" s="5" t="inlineStr"/>
      <c r="AA182" s="5" t="inlineStr"/>
      <c r="AB182" s="5" t="inlineStr"/>
      <c r="AC182" s="5" t="inlineStr"/>
      <c r="AD182" s="5" t="inlineStr"/>
      <c r="AE182" s="5" t="inlineStr"/>
      <c r="AF182" s="5" t="inlineStr"/>
      <c r="AG182" s="5" t="inlineStr"/>
      <c r="AH182" s="5" t="inlineStr"/>
      <c r="AI182" s="5" t="inlineStr"/>
      <c r="AJ182" s="5" t="inlineStr">
        <is>
          <t>premium American e-juices; high-end devices and atomisers</t>
        </is>
      </c>
      <c r="AK182" s="5" t="inlineStr">
        <is>
          <t>vape hardware; e-liquids</t>
        </is>
      </c>
      <c r="AL182" s="5" t="inlineStr"/>
      <c r="AM182" s="5" t="inlineStr">
        <is>
          <t>Vape Shop</t>
        </is>
      </c>
      <c r="AN182" s="5" t="inlineStr"/>
      <c r="AO182" s="5" t="inlineStr">
        <is>
          <t>Nextdoor page is titled 'Vapestation Inc Limited', suggesting the legal name, but this was not verified at Companies House (site fetch blocked).</t>
        </is>
      </c>
      <c r="AP182" s="5" t="inlineStr">
        <is>
          <t>Medium</t>
        </is>
      </c>
      <c r="AQ182" s="5" t="inlineStr">
        <is>
          <t>Independent retailer; Core relevant category; Social presence</t>
        </is>
      </c>
      <c r="AR182" s="5" t="inlineStr">
        <is>
          <t>https://www.yell.com/biz/vape-station-halifax-8116342/</t>
        </is>
      </c>
      <c r="AS182" s="5" t="inlineStr">
        <is>
          <t>https://www.yelp.com/biz/vapestation-halifax</t>
        </is>
      </c>
      <c r="AT182" s="5" t="inlineStr">
        <is>
          <t>2</t>
        </is>
      </c>
      <c r="AU182" s="5" t="inlineStr">
        <is>
          <t>No</t>
        </is>
      </c>
      <c r="AV182" s="5" t="inlineStr">
        <is>
          <t>No</t>
        </is>
      </c>
      <c r="AW182" s="5" t="inlineStr">
        <is>
          <t>No</t>
        </is>
      </c>
      <c r="AX182" s="5" t="inlineStr">
        <is>
          <t>No</t>
        </is>
      </c>
      <c r="AY182" s="5" t="inlineStr">
        <is>
          <t>Verified directory</t>
        </is>
      </c>
      <c r="AZ182" s="5" t="inlineStr">
        <is>
          <t>Not Found</t>
        </is>
      </c>
      <c r="BA182" s="5" t="inlineStr">
        <is>
          <t>2026-09-16</t>
        </is>
      </c>
      <c r="BB182" s="5" t="inlineStr">
        <is>
          <t>Requires Verification</t>
        </is>
      </c>
      <c r="BC182" s="5" t="inlineStr">
        <is>
          <t>Medium</t>
        </is>
      </c>
      <c r="BD182" s="5" t="inlineStr"/>
      <c r="BE182" s="5" t="inlineStr">
        <is>
          <t>Business (B2B)</t>
        </is>
      </c>
      <c r="BF182" s="5" t="inlineStr">
        <is>
          <t>Legitimate interest (B2B) - assess per campaign; PECR: corporate subscribers</t>
        </is>
      </c>
      <c r="BG182" s="5" t="inlineStr"/>
      <c r="BH182" s="5" t="inlineStr">
        <is>
          <t>No</t>
        </is>
      </c>
      <c r="BI182" s="5" t="inlineStr">
        <is>
          <t>2026-09-16</t>
        </is>
      </c>
      <c r="BJ182" s="5" t="inlineStr">
        <is>
          <t>New</t>
        </is>
      </c>
      <c r="BK182" s="5" t="inlineStr">
        <is>
          <t>2026-09-16</t>
        </is>
      </c>
      <c r="BL182" s="5" t="inlineStr"/>
      <c r="BM182" s="5" t="inlineStr"/>
      <c r="BN182" s="5" t="inlineStr"/>
      <c r="BO182" s="5" t="inlineStr"/>
      <c r="BP182" s="5" t="inlineStr"/>
      <c r="BQ182" s="5" t="inlineStr"/>
    </row>
    <row r="183">
      <c r="A183" s="10" t="inlineStr">
        <is>
          <t>WY-0182</t>
        </is>
      </c>
      <c r="B183" s="10" t="inlineStr">
        <is>
          <t>WY-0182-01</t>
        </is>
      </c>
      <c r="C183" s="10" t="inlineStr"/>
      <c r="D183" s="10" t="inlineStr">
        <is>
          <t>Vaping Bar Normanton</t>
        </is>
      </c>
      <c r="E183" s="10" t="inlineStr">
        <is>
          <t>Vaping Bar Normanton</t>
        </is>
      </c>
      <c r="F183" s="10" t="inlineStr"/>
      <c r="G183" s="10" t="inlineStr">
        <is>
          <t>Vape Shop</t>
        </is>
      </c>
      <c r="H183" s="10" t="inlineStr">
        <is>
          <t>Vape retailer</t>
        </is>
      </c>
      <c r="I183" s="10" t="inlineStr">
        <is>
          <t>Independent</t>
        </is>
      </c>
      <c r="J183" s="10" t="inlineStr">
        <is>
          <t>1</t>
        </is>
      </c>
      <c r="K183" s="10" t="inlineStr"/>
      <c r="L183" s="10" t="inlineStr">
        <is>
          <t>https://www.facebook.com/p/Vaping-Bar-Normanton-100063635944918/</t>
        </is>
      </c>
      <c r="M183" s="10" t="inlineStr"/>
      <c r="N183" s="10" t="inlineStr"/>
      <c r="O183" s="10" t="inlineStr"/>
      <c r="P183" s="10" t="inlineStr"/>
      <c r="Q183" s="10" t="inlineStr">
        <is>
          <t>Normanton</t>
        </is>
      </c>
      <c r="R183" s="10" t="inlineStr">
        <is>
          <t>West Yorkshire</t>
        </is>
      </c>
      <c r="S183" s="10" t="inlineStr"/>
      <c r="T183" s="10" t="inlineStr">
        <is>
          <t>Yorkshire &amp; Humber</t>
        </is>
      </c>
      <c r="U183" s="10" t="inlineStr">
        <is>
          <t>England</t>
        </is>
      </c>
      <c r="V183" s="10" t="inlineStr"/>
      <c r="W183" s="10" t="inlineStr"/>
      <c r="X183" s="10" t="inlineStr"/>
      <c r="Y183" s="10" t="inlineStr"/>
      <c r="Z183" s="10" t="inlineStr"/>
      <c r="AA183" s="10" t="inlineStr"/>
      <c r="AB183" s="10" t="inlineStr"/>
      <c r="AC183" s="10" t="inlineStr"/>
      <c r="AD183" s="10" t="inlineStr"/>
      <c r="AE183" s="10" t="inlineStr"/>
      <c r="AF183" s="10" t="inlineStr"/>
      <c r="AG183" s="10" t="inlineStr"/>
      <c r="AH183" s="10" t="inlineStr"/>
      <c r="AI183" s="10" t="inlineStr"/>
      <c r="AJ183" s="10" t="inlineStr"/>
      <c r="AK183" s="10" t="inlineStr">
        <is>
          <t>e-liquids; vape hardware</t>
        </is>
      </c>
      <c r="AL183" s="10" t="inlineStr"/>
      <c r="AM183" s="10" t="inlineStr">
        <is>
          <t>Vape Shop</t>
        </is>
      </c>
      <c r="AN183" s="10" t="inlineStr"/>
      <c r="AO183" s="10" t="inlineStr">
        <is>
          <t>Facebook page describes quality e-cig liquid and hardware with knowledgeable staff aimed at smokers trying to quit. Street address not found in accessible sources - needs follow-up.</t>
        </is>
      </c>
      <c r="AP183" s="10" t="inlineStr">
        <is>
          <t>Medium</t>
        </is>
      </c>
      <c r="AQ183" s="10" t="inlineStr">
        <is>
          <t>Independent retailer; Core relevant category; Social presence</t>
        </is>
      </c>
      <c r="AR183" s="10" t="inlineStr">
        <is>
          <t>https://www.facebook.com/p/Vaping-Bar-Normanton-100063635944918/</t>
        </is>
      </c>
      <c r="AS183" s="10" t="inlineStr"/>
      <c r="AT183" s="10" t="inlineStr">
        <is>
          <t>1</t>
        </is>
      </c>
      <c r="AU183" s="10" t="inlineStr">
        <is>
          <t>No</t>
        </is>
      </c>
      <c r="AV183" s="10" t="inlineStr">
        <is>
          <t>No</t>
        </is>
      </c>
      <c r="AW183" s="10" t="inlineStr">
        <is>
          <t>No</t>
        </is>
      </c>
      <c r="AX183" s="10" t="inlineStr">
        <is>
          <t>No</t>
        </is>
      </c>
      <c r="AY183" s="10" t="inlineStr">
        <is>
          <t>Not Found</t>
        </is>
      </c>
      <c r="AZ183" s="10" t="inlineStr">
        <is>
          <t>Not Found</t>
        </is>
      </c>
      <c r="BA183" s="10" t="inlineStr">
        <is>
          <t>2026-09-16</t>
        </is>
      </c>
      <c r="BB183" s="10" t="inlineStr">
        <is>
          <t>Requires Verification</t>
        </is>
      </c>
      <c r="BC183" s="10" t="inlineStr">
        <is>
          <t>Low</t>
        </is>
      </c>
      <c r="BD183" s="10" t="inlineStr"/>
      <c r="BE183" s="10" t="inlineStr">
        <is>
          <t>Business (B2B)</t>
        </is>
      </c>
      <c r="BF183" s="10" t="inlineStr">
        <is>
          <t>Legitimate interest (B2B) - assess per campaign; PECR: corporate subscribers</t>
        </is>
      </c>
      <c r="BG183" s="10" t="inlineStr"/>
      <c r="BH183" s="10" t="inlineStr">
        <is>
          <t>No</t>
        </is>
      </c>
      <c r="BI183" s="10" t="inlineStr">
        <is>
          <t>2026-09-16</t>
        </is>
      </c>
      <c r="BJ183" s="10" t="inlineStr">
        <is>
          <t>New</t>
        </is>
      </c>
      <c r="BK183" s="10" t="inlineStr">
        <is>
          <t>2026-09-16</t>
        </is>
      </c>
      <c r="BL183" s="10" t="inlineStr"/>
      <c r="BM183" s="10" t="inlineStr"/>
      <c r="BN183" s="10" t="inlineStr"/>
      <c r="BO183" s="10" t="inlineStr"/>
      <c r="BP183" s="10" t="inlineStr"/>
      <c r="BQ183" s="10" t="inlineStr"/>
    </row>
    <row r="184">
      <c r="A184" s="5" t="inlineStr">
        <is>
          <t>WY-0183</t>
        </is>
      </c>
      <c r="B184" s="5" t="inlineStr">
        <is>
          <t>WY-0183-01</t>
        </is>
      </c>
      <c r="C184" s="5" t="inlineStr"/>
      <c r="D184" s="5" t="inlineStr">
        <is>
          <t>Vaporized Meanwood</t>
        </is>
      </c>
      <c r="E184" s="5" t="inlineStr">
        <is>
          <t>Vaporized</t>
        </is>
      </c>
      <c r="F184" s="5" t="inlineStr"/>
      <c r="G184" s="5" t="inlineStr">
        <is>
          <t>Vape Shop</t>
        </is>
      </c>
      <c r="H184" s="5" t="inlineStr">
        <is>
          <t>E-cigarette and e-liquid shop</t>
        </is>
      </c>
      <c r="I184" s="5" t="inlineStr">
        <is>
          <t>Unknown</t>
        </is>
      </c>
      <c r="J184" s="5" t="inlineStr">
        <is>
          <t>1</t>
        </is>
      </c>
      <c r="K184" s="5" t="inlineStr"/>
      <c r="L184" s="5" t="inlineStr"/>
      <c r="M184" s="5" t="inlineStr"/>
      <c r="N184" s="5" t="inlineStr"/>
      <c r="O184" s="5" t="inlineStr">
        <is>
          <t>16 Stonegate Road</t>
        </is>
      </c>
      <c r="P184" s="5" t="inlineStr">
        <is>
          <t>Meanwood</t>
        </is>
      </c>
      <c r="Q184" s="5" t="inlineStr">
        <is>
          <t>Leeds</t>
        </is>
      </c>
      <c r="R184" s="5" t="inlineStr">
        <is>
          <t>West Yorkshire</t>
        </is>
      </c>
      <c r="S184" s="5" t="inlineStr">
        <is>
          <t>LS6 4HY</t>
        </is>
      </c>
      <c r="T184" s="5" t="inlineStr">
        <is>
          <t>Yorkshire &amp; Humber</t>
        </is>
      </c>
      <c r="U184" s="5" t="inlineStr">
        <is>
          <t>England</t>
        </is>
      </c>
      <c r="V184" s="5" t="inlineStr">
        <is>
          <t>0113 274 8997</t>
        </is>
      </c>
      <c r="W184" s="5" t="inlineStr"/>
      <c r="X184" s="5" t="inlineStr"/>
      <c r="Y184" s="5" t="inlineStr"/>
      <c r="Z184" s="5" t="inlineStr"/>
      <c r="AA184" s="5" t="inlineStr"/>
      <c r="AB184" s="5" t="inlineStr"/>
      <c r="AC184" s="5" t="inlineStr"/>
      <c r="AD184" s="5" t="inlineStr"/>
      <c r="AE184" s="5" t="inlineStr"/>
      <c r="AF184" s="5" t="inlineStr"/>
      <c r="AG184" s="5" t="inlineStr"/>
      <c r="AH184" s="5" t="inlineStr"/>
      <c r="AI184" s="5" t="inlineStr"/>
      <c r="AJ184" s="5" t="inlineStr"/>
      <c r="AK184" s="5" t="inlineStr">
        <is>
          <t>vape hardware; e-liquids</t>
        </is>
      </c>
      <c r="AL184" s="5" t="inlineStr"/>
      <c r="AM184" s="5" t="inlineStr">
        <is>
          <t>Vape Shop</t>
        </is>
      </c>
      <c r="AN184" s="5" t="inlineStr"/>
      <c r="AO184" s="5" t="inlineStr">
        <is>
          <t>Directory sources conflict on address: 16 Stonegate Road LS6 4HY (ecigdirectory) vs 591 Meanwood Road LS6 4AY (yellowpages.net). Needs on-the-ground verification.</t>
        </is>
      </c>
      <c r="AP184" s="5" t="inlineStr">
        <is>
          <t>Low</t>
        </is>
      </c>
      <c r="AQ184" s="5" t="inlineStr">
        <is>
          <t>Core relevant category</t>
        </is>
      </c>
      <c r="AR184" s="5" t="inlineStr">
        <is>
          <t>https://ecigdirectory.co.uk/vape-shop/listing/vaporized-meanwood-leeds</t>
        </is>
      </c>
      <c r="AS184" s="5" t="inlineStr">
        <is>
          <t>https://www.yellowpages.net/phone_44-1132748997_vaporizer-store_Leeds_PL4814848.html</t>
        </is>
      </c>
      <c r="AT184" s="5" t="inlineStr">
        <is>
          <t>2</t>
        </is>
      </c>
      <c r="AU184" s="5" t="inlineStr">
        <is>
          <t>No</t>
        </is>
      </c>
      <c r="AV184" s="5" t="inlineStr">
        <is>
          <t>No</t>
        </is>
      </c>
      <c r="AW184" s="5" t="inlineStr">
        <is>
          <t>No</t>
        </is>
      </c>
      <c r="AX184" s="5" t="inlineStr">
        <is>
          <t>No</t>
        </is>
      </c>
      <c r="AY184" s="5" t="inlineStr">
        <is>
          <t>Verified directory</t>
        </is>
      </c>
      <c r="AZ184" s="5" t="inlineStr">
        <is>
          <t>Not Found</t>
        </is>
      </c>
      <c r="BA184" s="5" t="inlineStr">
        <is>
          <t>2026-09-16</t>
        </is>
      </c>
      <c r="BB184" s="5" t="inlineStr">
        <is>
          <t>Requires Verification</t>
        </is>
      </c>
      <c r="BC184" s="5" t="inlineStr">
        <is>
          <t>Low</t>
        </is>
      </c>
      <c r="BD184" s="5" t="inlineStr"/>
      <c r="BE184" s="5" t="inlineStr">
        <is>
          <t>Business (B2B)</t>
        </is>
      </c>
      <c r="BF184" s="5" t="inlineStr">
        <is>
          <t>Legitimate interest (B2B) - assess per campaign; PECR: corporate subscribers</t>
        </is>
      </c>
      <c r="BG184" s="5" t="inlineStr"/>
      <c r="BH184" s="5" t="inlineStr">
        <is>
          <t>No</t>
        </is>
      </c>
      <c r="BI184" s="5" t="inlineStr">
        <is>
          <t>2026-09-16</t>
        </is>
      </c>
      <c r="BJ184" s="5" t="inlineStr">
        <is>
          <t>New</t>
        </is>
      </c>
      <c r="BK184" s="5" t="inlineStr">
        <is>
          <t>2026-09-16</t>
        </is>
      </c>
      <c r="BL184" s="5" t="inlineStr"/>
      <c r="BM184" s="5" t="inlineStr"/>
      <c r="BN184" s="5" t="inlineStr"/>
      <c r="BO184" s="5" t="inlineStr"/>
      <c r="BP184" s="5" t="inlineStr"/>
      <c r="BQ184" s="5" t="inlineStr"/>
    </row>
    <row r="185">
      <c r="A185" s="10" t="inlineStr">
        <is>
          <t>WY-0184</t>
        </is>
      </c>
      <c r="B185" s="10" t="inlineStr">
        <is>
          <t>WY-0184-01</t>
        </is>
      </c>
      <c r="C185" s="10" t="inlineStr"/>
      <c r="D185" s="10" t="inlineStr">
        <is>
          <t>Vapour Parlour</t>
        </is>
      </c>
      <c r="E185" s="10" t="inlineStr">
        <is>
          <t>Vapour Parlour</t>
        </is>
      </c>
      <c r="F185" s="10" t="inlineStr"/>
      <c r="G185" s="10" t="inlineStr">
        <is>
          <t>Vape Shop</t>
        </is>
      </c>
      <c r="H185" s="10" t="inlineStr">
        <is>
          <t>Vape retailer</t>
        </is>
      </c>
      <c r="I185" s="10" t="inlineStr">
        <is>
          <t>Independent</t>
        </is>
      </c>
      <c r="J185" s="10" t="inlineStr">
        <is>
          <t>1</t>
        </is>
      </c>
      <c r="K185" s="10" t="inlineStr"/>
      <c r="L185" s="10" t="inlineStr"/>
      <c r="M185" s="10" t="inlineStr"/>
      <c r="N185" s="10" t="inlineStr"/>
      <c r="O185" s="10" t="inlineStr">
        <is>
          <t>83 Kirkby Road</t>
        </is>
      </c>
      <c r="P185" s="10" t="inlineStr"/>
      <c r="Q185" s="10" t="inlineStr">
        <is>
          <t>Hemsworth</t>
        </is>
      </c>
      <c r="R185" s="10" t="inlineStr">
        <is>
          <t>West Yorkshire</t>
        </is>
      </c>
      <c r="S185" s="10" t="inlineStr"/>
      <c r="T185" s="10" t="inlineStr">
        <is>
          <t>Yorkshire &amp; Humber</t>
        </is>
      </c>
      <c r="U185" s="10" t="inlineStr">
        <is>
          <t>England</t>
        </is>
      </c>
      <c r="V185" s="10" t="inlineStr"/>
      <c r="W185" s="10" t="inlineStr"/>
      <c r="X185" s="10" t="inlineStr"/>
      <c r="Y185" s="10" t="inlineStr"/>
      <c r="Z185" s="10" t="inlineStr"/>
      <c r="AA185" s="10" t="inlineStr"/>
      <c r="AB185" s="10" t="inlineStr"/>
      <c r="AC185" s="10" t="inlineStr"/>
      <c r="AD185" s="10" t="inlineStr"/>
      <c r="AE185" s="10" t="inlineStr"/>
      <c r="AF185" s="10" t="inlineStr"/>
      <c r="AG185" s="10" t="inlineStr"/>
      <c r="AH185" s="10" t="inlineStr"/>
      <c r="AI185" s="10" t="inlineStr"/>
      <c r="AJ185" s="10" t="inlineStr"/>
      <c r="AK185" s="10" t="inlineStr">
        <is>
          <t>vape hardware; e-liquids</t>
        </is>
      </c>
      <c r="AL185" s="10" t="inlineStr"/>
      <c r="AM185" s="10" t="inlineStr">
        <is>
          <t>Vape Shop</t>
        </is>
      </c>
      <c r="AN185" s="10" t="inlineStr"/>
      <c r="AO185" s="10" t="inlineStr">
        <is>
          <t>eCig Directory lists it at 83 Kirkby Road, Hemsworth, Pontefract. Some directories also associate the Vapour Parlour name with Pontefract town listings.</t>
        </is>
      </c>
      <c r="AP185" s="10" t="inlineStr">
        <is>
          <t>Medium</t>
        </is>
      </c>
      <c r="AQ185" s="10" t="inlineStr">
        <is>
          <t>Independent retailer; Core relevant category</t>
        </is>
      </c>
      <c r="AR185" s="10" t="inlineStr">
        <is>
          <t>https://ecigdirectory.co.uk/vape-shop/listing/vapour-parlour</t>
        </is>
      </c>
      <c r="AS185" s="10" t="inlineStr"/>
      <c r="AT185" s="10" t="inlineStr">
        <is>
          <t>1</t>
        </is>
      </c>
      <c r="AU185" s="10" t="inlineStr">
        <is>
          <t>No</t>
        </is>
      </c>
      <c r="AV185" s="10" t="inlineStr">
        <is>
          <t>No</t>
        </is>
      </c>
      <c r="AW185" s="10" t="inlineStr">
        <is>
          <t>No</t>
        </is>
      </c>
      <c r="AX185" s="10" t="inlineStr">
        <is>
          <t>No</t>
        </is>
      </c>
      <c r="AY185" s="10" t="inlineStr">
        <is>
          <t>Not Found</t>
        </is>
      </c>
      <c r="AZ185" s="10" t="inlineStr">
        <is>
          <t>Not Found</t>
        </is>
      </c>
      <c r="BA185" s="10" t="inlineStr">
        <is>
          <t>2026-09-16</t>
        </is>
      </c>
      <c r="BB185" s="10" t="inlineStr">
        <is>
          <t>Requires Verification</t>
        </is>
      </c>
      <c r="BC185" s="10" t="inlineStr">
        <is>
          <t>Low</t>
        </is>
      </c>
      <c r="BD185" s="10" t="inlineStr"/>
      <c r="BE185" s="10" t="inlineStr">
        <is>
          <t>Business (B2B)</t>
        </is>
      </c>
      <c r="BF185" s="10" t="inlineStr">
        <is>
          <t>Legitimate interest (B2B) - assess per campaign; PECR: corporate subscribers</t>
        </is>
      </c>
      <c r="BG185" s="10" t="inlineStr"/>
      <c r="BH185" s="10" t="inlineStr">
        <is>
          <t>No</t>
        </is>
      </c>
      <c r="BI185" s="10" t="inlineStr">
        <is>
          <t>2026-09-16</t>
        </is>
      </c>
      <c r="BJ185" s="10" t="inlineStr">
        <is>
          <t>New</t>
        </is>
      </c>
      <c r="BK185" s="10" t="inlineStr">
        <is>
          <t>2026-09-16</t>
        </is>
      </c>
      <c r="BL185" s="10" t="inlineStr"/>
      <c r="BM185" s="10" t="inlineStr"/>
      <c r="BN185" s="10" t="inlineStr"/>
      <c r="BO185" s="10" t="inlineStr"/>
      <c r="BP185" s="10" t="inlineStr"/>
      <c r="BQ185" s="10" t="inlineStr"/>
    </row>
    <row r="186">
      <c r="A186" s="5" t="inlineStr">
        <is>
          <t>WY-0185</t>
        </is>
      </c>
      <c r="B186" s="5" t="inlineStr">
        <is>
          <t>WY-0185-01</t>
        </is>
      </c>
      <c r="C186" s="5" t="inlineStr"/>
      <c r="D186" s="5" t="inlineStr">
        <is>
          <t>Wakefield Road Service Station (Featherstone)</t>
        </is>
      </c>
      <c r="E186" s="5" t="inlineStr">
        <is>
          <t>Wakefield Road Service Station</t>
        </is>
      </c>
      <c r="F186" s="5" t="inlineStr"/>
      <c r="G186" s="5" t="inlineStr">
        <is>
          <t>Petrol Station / Forecourt</t>
        </is>
      </c>
      <c r="H186" s="5" t="inlineStr">
        <is>
          <t>Forecourt with convenience store</t>
        </is>
      </c>
      <c r="I186" s="5" t="inlineStr">
        <is>
          <t>Multi-Site Independent</t>
        </is>
      </c>
      <c r="J186" s="5" t="inlineStr">
        <is>
          <t>3</t>
        </is>
      </c>
      <c r="K186" s="5" t="inlineStr"/>
      <c r="L186" s="5" t="inlineStr"/>
      <c r="M186" s="5" t="inlineStr"/>
      <c r="N186" s="5" t="inlineStr"/>
      <c r="O186" s="5" t="inlineStr">
        <is>
          <t>Wakefield Road</t>
        </is>
      </c>
      <c r="P186" s="5" t="inlineStr"/>
      <c r="Q186" s="5" t="inlineStr">
        <is>
          <t>Featherstone</t>
        </is>
      </c>
      <c r="R186" s="5" t="inlineStr">
        <is>
          <t>West Yorkshire</t>
        </is>
      </c>
      <c r="S186" s="5" t="inlineStr"/>
      <c r="T186" s="5" t="inlineStr">
        <is>
          <t>Yorkshire &amp; Humber</t>
        </is>
      </c>
      <c r="U186" s="5" t="inlineStr">
        <is>
          <t>England</t>
        </is>
      </c>
      <c r="V186" s="5" t="inlineStr"/>
      <c r="W186" s="5" t="inlineStr"/>
      <c r="X186" s="5" t="inlineStr"/>
      <c r="Y186" s="5" t="inlineStr"/>
      <c r="Z186" s="5" t="inlineStr"/>
      <c r="AA186" s="5" t="inlineStr"/>
      <c r="AB186" s="5" t="inlineStr">
        <is>
          <t>Saqib Javaid; Zeeshan Ali</t>
        </is>
      </c>
      <c r="AC186" s="5" t="inlineStr">
        <is>
          <t>Owners / Operators</t>
        </is>
      </c>
      <c r="AD186" s="5" t="inlineStr">
        <is>
          <t>https://forecourttrader.co.uk/latest-news/forecourt-operator-duo-add-wakefield-road-service-station-to-portfolio/708047.article</t>
        </is>
      </c>
      <c r="AE186" s="5" t="inlineStr"/>
      <c r="AF186" s="5" t="inlineStr"/>
      <c r="AG186" s="5" t="inlineStr"/>
      <c r="AH186" s="5" t="inlineStr"/>
      <c r="AI186" s="5" t="inlineStr"/>
      <c r="AJ186" s="5" t="inlineStr"/>
      <c r="AK186" s="5" t="inlineStr">
        <is>
          <t>fuel; convenience retail</t>
        </is>
      </c>
      <c r="AL186" s="5" t="inlineStr"/>
      <c r="AM186" s="5" t="inlineStr">
        <is>
          <t>Petrol Station / Forecourt</t>
        </is>
      </c>
      <c r="AN186" s="5" t="inlineStr"/>
      <c r="AO186" s="5" t="inlineStr">
        <is>
          <t>Leasehold purchase reported by Forecourt Trader: operators Saqib Javaid and Zeeshan Ali added Wakefield Road Service Station, Featherstone (Wakefield district) as the third forecourt in their West Yorkshire portfolio; the pair run two other petrol filling stations in the region (names/addresses of the other two sites and any limited-company vehicle not captured - follow up). Operators publicly self-identified in trade press.</t>
        </is>
      </c>
      <c r="AP186" s="5" t="inlineStr">
        <is>
          <t>Medium</t>
        </is>
      </c>
      <c r="AQ186" s="5" t="inlineStr">
        <is>
          <t>Multi-site retailer; Independent retailer; Relevant category</t>
        </is>
      </c>
      <c r="AR186" s="5" t="inlineStr">
        <is>
          <t>https://forecourttrader.co.uk/latest-news/forecourt-operator-duo-add-wakefield-road-service-station-to-portfolio/708047.article</t>
        </is>
      </c>
      <c r="AS186" s="5" t="inlineStr"/>
      <c r="AT186" s="5" t="inlineStr">
        <is>
          <t>1</t>
        </is>
      </c>
      <c r="AU186" s="5" t="inlineStr">
        <is>
          <t>No</t>
        </is>
      </c>
      <c r="AV186" s="5" t="inlineStr">
        <is>
          <t>No</t>
        </is>
      </c>
      <c r="AW186" s="5" t="inlineStr">
        <is>
          <t>No</t>
        </is>
      </c>
      <c r="AX186" s="5" t="inlineStr">
        <is>
          <t>No</t>
        </is>
      </c>
      <c r="AY186" s="5" t="inlineStr">
        <is>
          <t>Not Found</t>
        </is>
      </c>
      <c r="AZ186" s="5" t="inlineStr">
        <is>
          <t>Not Found</t>
        </is>
      </c>
      <c r="BA186" s="5" t="inlineStr">
        <is>
          <t>2026-09-16</t>
        </is>
      </c>
      <c r="BB186" s="5" t="inlineStr">
        <is>
          <t>Requires Verification</t>
        </is>
      </c>
      <c r="BC186" s="5" t="inlineStr">
        <is>
          <t>Low</t>
        </is>
      </c>
      <c r="BD186" s="5" t="inlineStr"/>
      <c r="BE186" s="5" t="inlineStr">
        <is>
          <t>Business (B2B)</t>
        </is>
      </c>
      <c r="BF186" s="5" t="inlineStr">
        <is>
          <t>Legitimate interest (B2B) - assess per campaign; PECR: corporate subscribers</t>
        </is>
      </c>
      <c r="BG186" s="5" t="inlineStr"/>
      <c r="BH186" s="5" t="inlineStr">
        <is>
          <t>No</t>
        </is>
      </c>
      <c r="BI186" s="5" t="inlineStr">
        <is>
          <t>2026-09-16</t>
        </is>
      </c>
      <c r="BJ186" s="5" t="inlineStr">
        <is>
          <t>New</t>
        </is>
      </c>
      <c r="BK186" s="5" t="inlineStr">
        <is>
          <t>2026-09-16</t>
        </is>
      </c>
      <c r="BL186" s="5" t="inlineStr"/>
      <c r="BM186" s="5" t="inlineStr"/>
      <c r="BN186" s="5" t="inlineStr"/>
      <c r="BO186" s="5" t="inlineStr"/>
      <c r="BP186" s="5" t="inlineStr"/>
      <c r="BQ186" s="5" t="inlineStr"/>
    </row>
    <row r="187">
      <c r="A187" s="10" t="inlineStr">
        <is>
          <t>WY-0186</t>
        </is>
      </c>
      <c r="B187" s="10" t="inlineStr">
        <is>
          <t>WY-0186-01</t>
        </is>
      </c>
      <c r="C187" s="10" t="inlineStr"/>
      <c r="D187" s="10" t="inlineStr">
        <is>
          <t>Wayward Wines</t>
        </is>
      </c>
      <c r="E187" s="10" t="inlineStr">
        <is>
          <t>Wayward Wines</t>
        </is>
      </c>
      <c r="F187" s="10" t="inlineStr"/>
      <c r="G187" s="10" t="inlineStr">
        <is>
          <t>Off-Licence</t>
        </is>
      </c>
      <c r="H187" s="10" t="inlineStr">
        <is>
          <t>Natural / organic wine shop</t>
        </is>
      </c>
      <c r="I187" s="10" t="inlineStr">
        <is>
          <t>Independent</t>
        </is>
      </c>
      <c r="J187" s="10" t="inlineStr">
        <is>
          <t>1</t>
        </is>
      </c>
      <c r="K187" s="10" t="inlineStr"/>
      <c r="L187" s="10" t="inlineStr"/>
      <c r="M187" s="10" t="inlineStr"/>
      <c r="N187" s="10" t="inlineStr"/>
      <c r="O187" s="10" t="inlineStr">
        <is>
          <t>1C Regent Street</t>
        </is>
      </c>
      <c r="P187" s="10" t="inlineStr">
        <is>
          <t>Chapel Allerton</t>
        </is>
      </c>
      <c r="Q187" s="10" t="inlineStr">
        <is>
          <t>Leeds</t>
        </is>
      </c>
      <c r="R187" s="10" t="inlineStr">
        <is>
          <t>West Yorkshire</t>
        </is>
      </c>
      <c r="S187" s="10" t="inlineStr">
        <is>
          <t>LS7 4PE</t>
        </is>
      </c>
      <c r="T187" s="10" t="inlineStr">
        <is>
          <t>Yorkshire &amp; Humber</t>
        </is>
      </c>
      <c r="U187" s="10" t="inlineStr">
        <is>
          <t>England</t>
        </is>
      </c>
      <c r="V187" s="10" t="inlineStr"/>
      <c r="W187" s="10" t="inlineStr"/>
      <c r="X187" s="10" t="inlineStr"/>
      <c r="Y187" s="10" t="inlineStr"/>
      <c r="Z187" s="10" t="inlineStr"/>
      <c r="AA187" s="10" t="inlineStr"/>
      <c r="AB187" s="10" t="inlineStr"/>
      <c r="AC187" s="10" t="inlineStr"/>
      <c r="AD187" s="10" t="inlineStr"/>
      <c r="AE187" s="10" t="inlineStr"/>
      <c r="AF187" s="10" t="inlineStr"/>
      <c r="AG187" s="10" t="inlineStr"/>
      <c r="AH187" s="10" t="inlineStr"/>
      <c r="AI187" s="10" t="inlineStr"/>
      <c r="AJ187" s="10" t="inlineStr"/>
      <c r="AK187" s="10" t="inlineStr">
        <is>
          <t>organic and biodynamic wine; craft beer</t>
        </is>
      </c>
      <c r="AL187" s="10" t="inlineStr"/>
      <c r="AM187" s="10" t="inlineStr">
        <is>
          <t>Off-Licence</t>
        </is>
      </c>
      <c r="AN187" s="10" t="inlineStr"/>
      <c r="AO187" s="10" t="inlineStr">
        <is>
          <t>Independent wine shop and bar in Chapel Allerton specialising in organic and biodynamic wines from Italy, France, Spain and beyond.</t>
        </is>
      </c>
      <c r="AP187" s="10" t="inlineStr">
        <is>
          <t>Low</t>
        </is>
      </c>
      <c r="AQ187" s="10" t="inlineStr">
        <is>
          <t>Independent retailer; Relevant category</t>
        </is>
      </c>
      <c r="AR187" s="10" t="inlineStr">
        <is>
          <t>https://confidentials.com/leeds/six-of-the-best-bottle-shops</t>
        </is>
      </c>
      <c r="AS187" s="10" t="inlineStr">
        <is>
          <t>https://leeds-list.com/lifestyle/the-best-bottle-shops-in-leeds/</t>
        </is>
      </c>
      <c r="AT187" s="10" t="inlineStr">
        <is>
          <t>2</t>
        </is>
      </c>
      <c r="AU187" s="10" t="inlineStr">
        <is>
          <t>No</t>
        </is>
      </c>
      <c r="AV187" s="10" t="inlineStr">
        <is>
          <t>No</t>
        </is>
      </c>
      <c r="AW187" s="10" t="inlineStr">
        <is>
          <t>No</t>
        </is>
      </c>
      <c r="AX187" s="10" t="inlineStr">
        <is>
          <t>No</t>
        </is>
      </c>
      <c r="AY187" s="10" t="inlineStr">
        <is>
          <t>Not Found</t>
        </is>
      </c>
      <c r="AZ187" s="10" t="inlineStr">
        <is>
          <t>Not Found</t>
        </is>
      </c>
      <c r="BA187" s="10" t="inlineStr">
        <is>
          <t>2026-09-16</t>
        </is>
      </c>
      <c r="BB187" s="10" t="inlineStr">
        <is>
          <t>Requires Verification</t>
        </is>
      </c>
      <c r="BC187" s="10" t="inlineStr">
        <is>
          <t>Medium</t>
        </is>
      </c>
      <c r="BD187" s="10" t="inlineStr"/>
      <c r="BE187" s="10" t="inlineStr">
        <is>
          <t>Business (B2B)</t>
        </is>
      </c>
      <c r="BF187" s="10" t="inlineStr">
        <is>
          <t>Legitimate interest (B2B) - assess per campaign; PECR: corporate subscribers</t>
        </is>
      </c>
      <c r="BG187" s="10" t="inlineStr"/>
      <c r="BH187" s="10" t="inlineStr">
        <is>
          <t>No</t>
        </is>
      </c>
      <c r="BI187" s="10" t="inlineStr">
        <is>
          <t>2026-09-16</t>
        </is>
      </c>
      <c r="BJ187" s="10" t="inlineStr">
        <is>
          <t>New</t>
        </is>
      </c>
      <c r="BK187" s="10" t="inlineStr">
        <is>
          <t>2026-09-16</t>
        </is>
      </c>
      <c r="BL187" s="10" t="inlineStr"/>
      <c r="BM187" s="10" t="inlineStr"/>
      <c r="BN187" s="10" t="inlineStr"/>
      <c r="BO187" s="10" t="inlineStr"/>
      <c r="BP187" s="10" t="inlineStr"/>
      <c r="BQ187" s="10" t="inlineStr"/>
    </row>
    <row r="188">
      <c r="A188" s="5" t="inlineStr">
        <is>
          <t>WY-0187</t>
        </is>
      </c>
      <c r="B188" s="5" t="inlineStr">
        <is>
          <t>WY-0187-01</t>
        </is>
      </c>
      <c r="C188" s="5" t="inlineStr"/>
      <c r="D188" s="5" t="inlineStr">
        <is>
          <t>West End Off Licence</t>
        </is>
      </c>
      <c r="E188" s="5" t="inlineStr">
        <is>
          <t>Westend Off Licence Ricky's</t>
        </is>
      </c>
      <c r="F188" s="5" t="inlineStr"/>
      <c r="G188" s="5" t="inlineStr">
        <is>
          <t>Off-Licence</t>
        </is>
      </c>
      <c r="H188" s="5" t="inlineStr"/>
      <c r="I188" s="5" t="inlineStr">
        <is>
          <t>Independent</t>
        </is>
      </c>
      <c r="J188" s="5" t="inlineStr">
        <is>
          <t>1</t>
        </is>
      </c>
      <c r="K188" s="5" t="inlineStr"/>
      <c r="L188" s="5" t="inlineStr"/>
      <c r="M188" s="5" t="inlineStr"/>
      <c r="N188" s="5" t="inlineStr"/>
      <c r="O188" s="5" t="inlineStr">
        <is>
          <t>2 Mile Cross Terrace</t>
        </is>
      </c>
      <c r="P188" s="5" t="inlineStr"/>
      <c r="Q188" s="5" t="inlineStr">
        <is>
          <t>Halifax</t>
        </is>
      </c>
      <c r="R188" s="5" t="inlineStr">
        <is>
          <t>West Yorkshire</t>
        </is>
      </c>
      <c r="S188" s="5" t="inlineStr">
        <is>
          <t>HX1 4HP</t>
        </is>
      </c>
      <c r="T188" s="5" t="inlineStr">
        <is>
          <t>Yorkshire &amp; Humber</t>
        </is>
      </c>
      <c r="U188" s="5" t="inlineStr">
        <is>
          <t>England</t>
        </is>
      </c>
      <c r="V188" s="5" t="inlineStr"/>
      <c r="W188" s="5" t="inlineStr"/>
      <c r="X188" s="5" t="inlineStr"/>
      <c r="Y188" s="5" t="inlineStr"/>
      <c r="Z188" s="5" t="inlineStr"/>
      <c r="AA188" s="5" t="inlineStr"/>
      <c r="AB188" s="5" t="inlineStr"/>
      <c r="AC188" s="5" t="inlineStr"/>
      <c r="AD188" s="5" t="inlineStr"/>
      <c r="AE188" s="5" t="inlineStr"/>
      <c r="AF188" s="5" t="inlineStr"/>
      <c r="AG188" s="5" t="inlineStr"/>
      <c r="AH188" s="5" t="inlineStr"/>
      <c r="AI188" s="5" t="inlineStr"/>
      <c r="AJ188" s="5" t="inlineStr"/>
      <c r="AK188" s="5" t="inlineStr">
        <is>
          <t>beers, wines and spirits; soft drinks; snacks</t>
        </is>
      </c>
      <c r="AL188" s="5" t="inlineStr"/>
      <c r="AM188" s="5" t="inlineStr">
        <is>
          <t>Off-Licence</t>
        </is>
      </c>
      <c r="AN188" s="5" t="inlineStr"/>
      <c r="AO188" s="5" t="inlineStr">
        <is>
          <t>Open 8am-9pm per Yelp listing.</t>
        </is>
      </c>
      <c r="AP188" s="5" t="inlineStr">
        <is>
          <t>Low</t>
        </is>
      </c>
      <c r="AQ188" s="5" t="inlineStr">
        <is>
          <t>Independent retailer; Relevant category</t>
        </is>
      </c>
      <c r="AR188" s="5" t="inlineStr">
        <is>
          <t>https://www.yelp.co.uk/biz/westend-off-licence-rickys-halifax</t>
        </is>
      </c>
      <c r="AS188" s="5" t="inlineStr">
        <is>
          <t>https://www.yorkshire.com/halifax/shopping/off-license/west-end-off-licence</t>
        </is>
      </c>
      <c r="AT188" s="5" t="inlineStr">
        <is>
          <t>2</t>
        </is>
      </c>
      <c r="AU188" s="5" t="inlineStr">
        <is>
          <t>No</t>
        </is>
      </c>
      <c r="AV188" s="5" t="inlineStr">
        <is>
          <t>No</t>
        </is>
      </c>
      <c r="AW188" s="5" t="inlineStr">
        <is>
          <t>No</t>
        </is>
      </c>
      <c r="AX188" s="5" t="inlineStr">
        <is>
          <t>No</t>
        </is>
      </c>
      <c r="AY188" s="5" t="inlineStr">
        <is>
          <t>Not Found</t>
        </is>
      </c>
      <c r="AZ188" s="5" t="inlineStr">
        <is>
          <t>Not Found</t>
        </is>
      </c>
      <c r="BA188" s="5" t="inlineStr">
        <is>
          <t>2026-09-16</t>
        </is>
      </c>
      <c r="BB188" s="5" t="inlineStr">
        <is>
          <t>Requires Verification</t>
        </is>
      </c>
      <c r="BC188" s="5" t="inlineStr">
        <is>
          <t>Medium</t>
        </is>
      </c>
      <c r="BD188" s="5" t="inlineStr"/>
      <c r="BE188" s="5" t="inlineStr">
        <is>
          <t>Business (B2B)</t>
        </is>
      </c>
      <c r="BF188" s="5" t="inlineStr">
        <is>
          <t>Legitimate interest (B2B) - assess per campaign; PECR: corporate subscribers</t>
        </is>
      </c>
      <c r="BG188" s="5" t="inlineStr"/>
      <c r="BH188" s="5" t="inlineStr">
        <is>
          <t>No</t>
        </is>
      </c>
      <c r="BI188" s="5" t="inlineStr">
        <is>
          <t>2026-09-16</t>
        </is>
      </c>
      <c r="BJ188" s="5" t="inlineStr">
        <is>
          <t>New</t>
        </is>
      </c>
      <c r="BK188" s="5" t="inlineStr">
        <is>
          <t>2026-09-16</t>
        </is>
      </c>
      <c r="BL188" s="5" t="inlineStr"/>
      <c r="BM188" s="5" t="inlineStr"/>
      <c r="BN188" s="5" t="inlineStr"/>
      <c r="BO188" s="5" t="inlineStr"/>
      <c r="BP188" s="5" t="inlineStr"/>
      <c r="BQ188" s="5" t="inlineStr"/>
    </row>
    <row r="189">
      <c r="A189" s="10" t="inlineStr">
        <is>
          <t>WY-0188</t>
        </is>
      </c>
      <c r="B189" s="10" t="inlineStr">
        <is>
          <t>WY-0188-01</t>
        </is>
      </c>
      <c r="C189" s="10" t="inlineStr"/>
      <c r="D189" s="10" t="inlineStr">
        <is>
          <t>White Rose Catering</t>
        </is>
      </c>
      <c r="E189" s="10" t="inlineStr">
        <is>
          <t>White Rose Catering</t>
        </is>
      </c>
      <c r="F189" s="10" t="inlineStr">
        <is>
          <t>White Rose Catering Ltd</t>
        </is>
      </c>
      <c r="G189" s="10" t="inlineStr">
        <is>
          <t>Cash &amp; Carry</t>
        </is>
      </c>
      <c r="H189" s="10" t="inlineStr">
        <is>
          <t>Catering cash and carry wholesaler</t>
        </is>
      </c>
      <c r="I189" s="10" t="inlineStr">
        <is>
          <t>Independent</t>
        </is>
      </c>
      <c r="J189" s="10" t="inlineStr">
        <is>
          <t>1</t>
        </is>
      </c>
      <c r="K189" s="10" t="inlineStr"/>
      <c r="L189" s="10" t="inlineStr"/>
      <c r="M189" s="10" t="inlineStr"/>
      <c r="N189" s="10" t="inlineStr"/>
      <c r="O189" s="10" t="inlineStr">
        <is>
          <t>225 Ravenshouse Road</t>
        </is>
      </c>
      <c r="P189" s="10" t="inlineStr">
        <is>
          <t>Dewsbury Moor</t>
        </is>
      </c>
      <c r="Q189" s="10" t="inlineStr">
        <is>
          <t>Dewsbury</t>
        </is>
      </c>
      <c r="R189" s="10" t="inlineStr">
        <is>
          <t>West Yorkshire</t>
        </is>
      </c>
      <c r="S189" s="10" t="inlineStr">
        <is>
          <t>WF13 3QU</t>
        </is>
      </c>
      <c r="T189" s="10" t="inlineStr">
        <is>
          <t>Yorkshire &amp; Humber</t>
        </is>
      </c>
      <c r="U189" s="10" t="inlineStr">
        <is>
          <t>England</t>
        </is>
      </c>
      <c r="V189" s="10" t="inlineStr">
        <is>
          <t>01924 467054</t>
        </is>
      </c>
      <c r="W189" s="10" t="inlineStr"/>
      <c r="X189" s="10" t="inlineStr"/>
      <c r="Y189" s="10" t="inlineStr"/>
      <c r="Z189" s="10" t="inlineStr"/>
      <c r="AA189" s="10" t="inlineStr"/>
      <c r="AB189" s="10" t="inlineStr"/>
      <c r="AC189" s="10" t="inlineStr"/>
      <c r="AD189" s="10" t="inlineStr"/>
      <c r="AE189" s="10" t="inlineStr"/>
      <c r="AF189" s="10" t="inlineStr"/>
      <c r="AG189" s="10" t="inlineStr"/>
      <c r="AH189" s="10" t="inlineStr"/>
      <c r="AI189" s="10" t="inlineStr"/>
      <c r="AJ189" s="10" t="inlineStr"/>
      <c r="AK189" s="10" t="inlineStr">
        <is>
          <t>wholesale food; catering supplies</t>
        </is>
      </c>
      <c r="AL189" s="10" t="inlineStr"/>
      <c r="AM189" s="10" t="inlineStr">
        <is>
          <t>Cash &amp; Carry</t>
        </is>
      </c>
      <c r="AN189" s="10" t="inlineStr"/>
      <c r="AO189" s="10" t="inlineStr"/>
      <c r="AP189" s="10" t="inlineStr">
        <is>
          <t>Medium</t>
        </is>
      </c>
      <c r="AQ189" s="10" t="inlineStr">
        <is>
          <t>Independent retailer; Core relevant category</t>
        </is>
      </c>
      <c r="AR189" s="10" t="inlineStr">
        <is>
          <t>https://www.192.com/atoz/business/dewsbury-wf13/cash-and-carry-wholesalers/white-rose-catering-ltd/1cd73791cf719e65496fe8e9a0a2d1c534c879e1/ml/</t>
        </is>
      </c>
      <c r="AS189" s="10" t="inlineStr"/>
      <c r="AT189" s="10" t="inlineStr">
        <is>
          <t>1</t>
        </is>
      </c>
      <c r="AU189" s="10" t="inlineStr">
        <is>
          <t>No</t>
        </is>
      </c>
      <c r="AV189" s="10" t="inlineStr">
        <is>
          <t>No</t>
        </is>
      </c>
      <c r="AW189" s="10" t="inlineStr">
        <is>
          <t>No</t>
        </is>
      </c>
      <c r="AX189" s="10" t="inlineStr">
        <is>
          <t>No</t>
        </is>
      </c>
      <c r="AY189" s="10" t="inlineStr">
        <is>
          <t>Verified directory</t>
        </is>
      </c>
      <c r="AZ189" s="10" t="inlineStr">
        <is>
          <t>Not Found</t>
        </is>
      </c>
      <c r="BA189" s="10" t="inlineStr">
        <is>
          <t>2026-09-16</t>
        </is>
      </c>
      <c r="BB189" s="10" t="inlineStr">
        <is>
          <t>Requires Verification</t>
        </is>
      </c>
      <c r="BC189" s="10" t="inlineStr">
        <is>
          <t>Medium</t>
        </is>
      </c>
      <c r="BD189" s="10" t="inlineStr"/>
      <c r="BE189" s="10" t="inlineStr">
        <is>
          <t>Business (B2B)</t>
        </is>
      </c>
      <c r="BF189" s="10" t="inlineStr">
        <is>
          <t>Legitimate interest (B2B) - assess per campaign; PECR: corporate subscribers</t>
        </is>
      </c>
      <c r="BG189" s="10" t="inlineStr"/>
      <c r="BH189" s="10" t="inlineStr">
        <is>
          <t>No</t>
        </is>
      </c>
      <c r="BI189" s="10" t="inlineStr">
        <is>
          <t>2026-09-16</t>
        </is>
      </c>
      <c r="BJ189" s="10" t="inlineStr">
        <is>
          <t>New</t>
        </is>
      </c>
      <c r="BK189" s="10" t="inlineStr">
        <is>
          <t>2026-09-16</t>
        </is>
      </c>
      <c r="BL189" s="10" t="inlineStr"/>
      <c r="BM189" s="10" t="inlineStr"/>
      <c r="BN189" s="10" t="inlineStr"/>
      <c r="BO189" s="10" t="inlineStr"/>
      <c r="BP189" s="10" t="inlineStr"/>
      <c r="BQ189" s="10" t="inlineStr"/>
    </row>
    <row r="190">
      <c r="A190" s="5" t="inlineStr">
        <is>
          <t>WY-0189</t>
        </is>
      </c>
      <c r="B190" s="5" t="inlineStr">
        <is>
          <t>WY-0189-01</t>
        </is>
      </c>
      <c r="C190" s="5" t="inlineStr"/>
      <c r="D190" s="5" t="inlineStr">
        <is>
          <t>Wigton Cash &amp; Carry (Wigton Distribution)</t>
        </is>
      </c>
      <c r="E190" s="5" t="inlineStr">
        <is>
          <t>Wigton Cash &amp; Carry</t>
        </is>
      </c>
      <c r="F190" s="5" t="inlineStr">
        <is>
          <t>Wigton Distribution Ltd</t>
        </is>
      </c>
      <c r="G190" s="5" t="inlineStr">
        <is>
          <t>Cash &amp; Carry</t>
        </is>
      </c>
      <c r="H190" s="5" t="inlineStr">
        <is>
          <t>Food and dessert wholesaler, open to the public</t>
        </is>
      </c>
      <c r="I190" s="5" t="inlineStr">
        <is>
          <t>Independent</t>
        </is>
      </c>
      <c r="J190" s="5" t="inlineStr">
        <is>
          <t>1</t>
        </is>
      </c>
      <c r="K190" s="5" t="inlineStr">
        <is>
          <t>http://wigtonfoodservice.co.uk/</t>
        </is>
      </c>
      <c r="L190" s="5" t="inlineStr">
        <is>
          <t>https://www.facebook.com/p/Wigton-Distribution-61573554642844/</t>
        </is>
      </c>
      <c r="M190" s="5" t="inlineStr">
        <is>
          <t>https://www.instagram.com/wigtonwholesale/</t>
        </is>
      </c>
      <c r="N190" s="5" t="inlineStr">
        <is>
          <t>https://www.tiktok.com/@wigtondistribution</t>
        </is>
      </c>
      <c r="O190" s="5" t="inlineStr">
        <is>
          <t>27 Lockwood Way</t>
        </is>
      </c>
      <c r="P190" s="5" t="inlineStr">
        <is>
          <t>Beeston / Hunslet</t>
        </is>
      </c>
      <c r="Q190" s="5" t="inlineStr">
        <is>
          <t>Leeds</t>
        </is>
      </c>
      <c r="R190" s="5" t="inlineStr">
        <is>
          <t>West Yorkshire</t>
        </is>
      </c>
      <c r="S190" s="5" t="inlineStr">
        <is>
          <t>LS11 5TH</t>
        </is>
      </c>
      <c r="T190" s="5" t="inlineStr">
        <is>
          <t>Yorkshire &amp; Humber</t>
        </is>
      </c>
      <c r="U190" s="5" t="inlineStr">
        <is>
          <t>England</t>
        </is>
      </c>
      <c r="V190" s="5" t="inlineStr">
        <is>
          <t>07833 840327</t>
        </is>
      </c>
      <c r="W190" s="5" t="inlineStr"/>
      <c r="X190" s="5" t="inlineStr"/>
      <c r="Y190" s="5" t="inlineStr"/>
      <c r="Z190" s="5" t="inlineStr"/>
      <c r="AA190" s="5" t="inlineStr"/>
      <c r="AB190" s="5" t="inlineStr"/>
      <c r="AC190" s="5" t="inlineStr"/>
      <c r="AD190" s="5" t="inlineStr"/>
      <c r="AE190" s="5" t="inlineStr">
        <is>
          <t>09821856</t>
        </is>
      </c>
      <c r="AF190" s="5" t="inlineStr"/>
      <c r="AG190" s="5" t="inlineStr">
        <is>
          <t>WIGTON DISTRIBUTION LTD</t>
        </is>
      </c>
      <c r="AH190" s="5" t="inlineStr"/>
      <c r="AI190" s="5" t="inlineStr"/>
      <c r="AJ190" s="5" t="inlineStr"/>
      <c r="AK190" s="5" t="inlineStr">
        <is>
          <t>desserts; food wholesale; catering supplies</t>
        </is>
      </c>
      <c r="AL190" s="5" t="inlineStr"/>
      <c r="AM190" s="5" t="inlineStr">
        <is>
          <t>Cash &amp; Carry</t>
        </is>
      </c>
      <c r="AN190" s="5" t="inlineStr"/>
      <c r="AO190" s="5" t="inlineStr">
        <is>
          <t>Dessert and food wholesaler delivering nationwide; phone numbers from social listings (07833 840327 / 07766 345166), not yet verified against official site. CH number seen in CH search result; CH site blocked by proxy.</t>
        </is>
      </c>
      <c r="AP190" s="5" t="inlineStr">
        <is>
          <t>Medium</t>
        </is>
      </c>
      <c r="AQ190" s="5" t="inlineStr">
        <is>
          <t>Independent retailer; Core relevant category; Active website; Social presence</t>
        </is>
      </c>
      <c r="AR190" s="5" t="inlineStr">
        <is>
          <t>https://find-and-update.company-information.service.gov.uk/company/09821856</t>
        </is>
      </c>
      <c r="AS190" s="5" t="inlineStr">
        <is>
          <t>https://www.thomsonlocal.com/search/cash-carry-wholesalers/leeds-west-yorkshire</t>
        </is>
      </c>
      <c r="AT190" s="5" t="inlineStr">
        <is>
          <t>3</t>
        </is>
      </c>
      <c r="AU190" s="5" t="inlineStr">
        <is>
          <t>No</t>
        </is>
      </c>
      <c r="AV190" s="5" t="inlineStr">
        <is>
          <t>No</t>
        </is>
      </c>
      <c r="AW190" s="5" t="inlineStr">
        <is>
          <t>No</t>
        </is>
      </c>
      <c r="AX190" s="5" t="inlineStr">
        <is>
          <t>Yes</t>
        </is>
      </c>
      <c r="AY190" s="5" t="inlineStr">
        <is>
          <t>Unverified</t>
        </is>
      </c>
      <c r="AZ190" s="5" t="inlineStr">
        <is>
          <t>Website Found</t>
        </is>
      </c>
      <c r="BA190" s="5" t="inlineStr">
        <is>
          <t>2026-09-16</t>
        </is>
      </c>
      <c r="BB190" s="5" t="inlineStr">
        <is>
          <t>Partially Verified</t>
        </is>
      </c>
      <c r="BC190" s="5" t="inlineStr">
        <is>
          <t>Medium</t>
        </is>
      </c>
      <c r="BD190" s="5" t="inlineStr"/>
      <c r="BE190" s="5" t="inlineStr">
        <is>
          <t>Business (B2B)</t>
        </is>
      </c>
      <c r="BF190" s="5" t="inlineStr">
        <is>
          <t>Legitimate interest (B2B) - assess per campaign; PECR: corporate subscribers</t>
        </is>
      </c>
      <c r="BG190" s="5" t="inlineStr"/>
      <c r="BH190" s="5" t="inlineStr">
        <is>
          <t>No</t>
        </is>
      </c>
      <c r="BI190" s="5" t="inlineStr">
        <is>
          <t>2026-09-16</t>
        </is>
      </c>
      <c r="BJ190" s="5" t="inlineStr">
        <is>
          <t>New</t>
        </is>
      </c>
      <c r="BK190" s="5" t="inlineStr">
        <is>
          <t>2026-09-16</t>
        </is>
      </c>
      <c r="BL190" s="5" t="inlineStr"/>
      <c r="BM190" s="5" t="inlineStr"/>
      <c r="BN190" s="5" t="inlineStr"/>
      <c r="BO190" s="5" t="inlineStr"/>
      <c r="BP190" s="5" t="inlineStr"/>
      <c r="BQ190" s="5" t="inlineStr"/>
    </row>
    <row r="191">
      <c r="A191" s="10" t="inlineStr">
        <is>
          <t>WY-0190</t>
        </is>
      </c>
      <c r="B191" s="10" t="inlineStr">
        <is>
          <t>WY-0190-01</t>
        </is>
      </c>
      <c r="C191" s="10" t="inlineStr"/>
      <c r="D191" s="10" t="inlineStr">
        <is>
          <t>Yorkshire Fuels (Green Lane Service Station)</t>
        </is>
      </c>
      <c r="E191" s="10" t="inlineStr">
        <is>
          <t>Yorkshire Fuels</t>
        </is>
      </c>
      <c r="F191" s="10" t="inlineStr">
        <is>
          <t>Yorkshire Fuels Ltd</t>
        </is>
      </c>
      <c r="G191" s="10" t="inlineStr">
        <is>
          <t>Petrol Station / Forecourt</t>
        </is>
      </c>
      <c r="H191" s="10" t="inlineStr">
        <is>
          <t>24-hour forecourt with convenience store</t>
        </is>
      </c>
      <c r="I191" s="10" t="inlineStr">
        <is>
          <t>Independent</t>
        </is>
      </c>
      <c r="J191" s="10" t="inlineStr">
        <is>
          <t>1</t>
        </is>
      </c>
      <c r="K191" s="10" t="inlineStr"/>
      <c r="L191" s="10" t="inlineStr"/>
      <c r="M191" s="10" t="inlineStr"/>
      <c r="N191" s="10" t="inlineStr"/>
      <c r="O191" s="10" t="inlineStr">
        <is>
          <t>Green Lane</t>
        </is>
      </c>
      <c r="P191" s="10" t="inlineStr"/>
      <c r="Q191" s="10" t="inlineStr">
        <is>
          <t>Yeadon</t>
        </is>
      </c>
      <c r="R191" s="10" t="inlineStr">
        <is>
          <t>West Yorkshire</t>
        </is>
      </c>
      <c r="S191" s="10" t="inlineStr">
        <is>
          <t>LS19 7BU</t>
        </is>
      </c>
      <c r="T191" s="10" t="inlineStr">
        <is>
          <t>Yorkshire &amp; Humber</t>
        </is>
      </c>
      <c r="U191" s="10" t="inlineStr">
        <is>
          <t>England</t>
        </is>
      </c>
      <c r="V191" s="10" t="inlineStr"/>
      <c r="W191" s="10" t="inlineStr"/>
      <c r="X191" s="10" t="inlineStr"/>
      <c r="Y191" s="10" t="inlineStr"/>
      <c r="Z191" s="10" t="inlineStr"/>
      <c r="AA191" s="10" t="inlineStr"/>
      <c r="AB191" s="10" t="inlineStr"/>
      <c r="AC191" s="10" t="inlineStr"/>
      <c r="AD191" s="10" t="inlineStr"/>
      <c r="AE191" s="10" t="inlineStr">
        <is>
          <t>14479452</t>
        </is>
      </c>
      <c r="AF191" s="10" t="inlineStr">
        <is>
          <t>Active</t>
        </is>
      </c>
      <c r="AG191" s="10" t="inlineStr">
        <is>
          <t>YORKSHIRE FUELS LTD</t>
        </is>
      </c>
      <c r="AH191" s="10" t="inlineStr">
        <is>
          <t>Gulf Petrol Station, Green Lane, Yeadon, Leeds, LS19 7BU</t>
        </is>
      </c>
      <c r="AI191" s="10" t="inlineStr">
        <is>
          <t>2022-11-11</t>
        </is>
      </c>
      <c r="AJ191" s="10" t="inlineStr"/>
      <c r="AK191" s="10" t="inlineStr">
        <is>
          <t>fuel; convenience groceries; snacks; drinks</t>
        </is>
      </c>
      <c r="AL191" s="10" t="inlineStr"/>
      <c r="AM191" s="10" t="inlineStr">
        <is>
          <t>Petrol Station / Forecourt</t>
        </is>
      </c>
      <c r="AN191" s="10" t="inlineStr">
        <is>
          <t>Fuel branding reported as Jet (Yorkshire.com) and Gulf (Petrol Map / CH registered office); site also known as Airport Autopoint</t>
        </is>
      </c>
      <c r="AO191" s="10" t="inlineStr">
        <is>
          <t>Independent 24/7 forecourt near Leeds Bradford Airport. Companies House details from CH/Endole search result snippets; CH site blocked by proxy for direct verification.</t>
        </is>
      </c>
      <c r="AP191" s="10" t="inlineStr">
        <is>
          <t>Low</t>
        </is>
      </c>
      <c r="AQ191" s="10" t="inlineStr">
        <is>
          <t>Independent retailer; Relevant category</t>
        </is>
      </c>
      <c r="AR191" s="10" t="inlineStr">
        <is>
          <t>https://find-and-update.company-information.service.gov.uk/company/14479452</t>
        </is>
      </c>
      <c r="AS191" s="10" t="inlineStr">
        <is>
          <t>https://www.yorkshire.com/guiseley/services/petrol-stations/yorkshire-fuels</t>
        </is>
      </c>
      <c r="AT191" s="10" t="inlineStr">
        <is>
          <t>3</t>
        </is>
      </c>
      <c r="AU191" s="10" t="inlineStr">
        <is>
          <t>No</t>
        </is>
      </c>
      <c r="AV191" s="10" t="inlineStr">
        <is>
          <t>No</t>
        </is>
      </c>
      <c r="AW191" s="10" t="inlineStr">
        <is>
          <t>No</t>
        </is>
      </c>
      <c r="AX191" s="10" t="inlineStr">
        <is>
          <t>Yes</t>
        </is>
      </c>
      <c r="AY191" s="10" t="inlineStr">
        <is>
          <t>Not Found</t>
        </is>
      </c>
      <c r="AZ191" s="10" t="inlineStr">
        <is>
          <t>Not Found</t>
        </is>
      </c>
      <c r="BA191" s="10" t="inlineStr">
        <is>
          <t>2026-09-16</t>
        </is>
      </c>
      <c r="BB191" s="10" t="inlineStr">
        <is>
          <t>Partially Verified</t>
        </is>
      </c>
      <c r="BC191" s="10" t="inlineStr">
        <is>
          <t>Medium</t>
        </is>
      </c>
      <c r="BD191" s="10" t="inlineStr"/>
      <c r="BE191" s="10" t="inlineStr">
        <is>
          <t>Business (B2B)</t>
        </is>
      </c>
      <c r="BF191" s="10" t="inlineStr">
        <is>
          <t>Legitimate interest (B2B) - assess per campaign; PECR: corporate subscribers</t>
        </is>
      </c>
      <c r="BG191" s="10" t="inlineStr"/>
      <c r="BH191" s="10" t="inlineStr">
        <is>
          <t>No</t>
        </is>
      </c>
      <c r="BI191" s="10" t="inlineStr">
        <is>
          <t>2026-09-16</t>
        </is>
      </c>
      <c r="BJ191" s="10" t="inlineStr">
        <is>
          <t>New</t>
        </is>
      </c>
      <c r="BK191" s="10" t="inlineStr">
        <is>
          <t>2026-09-16</t>
        </is>
      </c>
      <c r="BL191" s="10" t="inlineStr"/>
      <c r="BM191" s="10" t="inlineStr"/>
      <c r="BN191" s="10" t="inlineStr"/>
      <c r="BO191" s="10" t="inlineStr"/>
      <c r="BP191" s="10" t="inlineStr"/>
      <c r="BQ191" s="10" t="inlineStr"/>
    </row>
    <row r="192">
      <c r="A192" s="5" t="inlineStr">
        <is>
          <t>WY-0191</t>
        </is>
      </c>
      <c r="B192" s="5" t="inlineStr">
        <is>
          <t>WY-0191-01</t>
        </is>
      </c>
      <c r="C192" s="5" t="inlineStr"/>
      <c r="D192" s="5" t="inlineStr">
        <is>
          <t>Zesty Vape</t>
        </is>
      </c>
      <c r="E192" s="5" t="inlineStr">
        <is>
          <t>Zesty Vape</t>
        </is>
      </c>
      <c r="F192" s="5" t="inlineStr"/>
      <c r="G192" s="5" t="inlineStr">
        <is>
          <t>Vape Shop</t>
        </is>
      </c>
      <c r="H192" s="5" t="inlineStr"/>
      <c r="I192" s="5" t="inlineStr">
        <is>
          <t>Independent</t>
        </is>
      </c>
      <c r="J192" s="5" t="inlineStr">
        <is>
          <t>1</t>
        </is>
      </c>
      <c r="K192" s="5" t="inlineStr"/>
      <c r="L192" s="5" t="inlineStr"/>
      <c r="M192" s="5" t="inlineStr"/>
      <c r="N192" s="5" t="inlineStr"/>
      <c r="O192" s="5" t="inlineStr">
        <is>
          <t>108 Commercial Street</t>
        </is>
      </c>
      <c r="P192" s="5" t="inlineStr"/>
      <c r="Q192" s="5" t="inlineStr">
        <is>
          <t>Brighouse</t>
        </is>
      </c>
      <c r="R192" s="5" t="inlineStr">
        <is>
          <t>West Yorkshire</t>
        </is>
      </c>
      <c r="S192" s="5" t="inlineStr">
        <is>
          <t>HD6 1AQ</t>
        </is>
      </c>
      <c r="T192" s="5" t="inlineStr">
        <is>
          <t>Yorkshire &amp; Humber</t>
        </is>
      </c>
      <c r="U192" s="5" t="inlineStr">
        <is>
          <t>England</t>
        </is>
      </c>
      <c r="V192" s="5" t="inlineStr">
        <is>
          <t>01484 722183</t>
        </is>
      </c>
      <c r="W192" s="5" t="inlineStr"/>
      <c r="X192" s="5" t="inlineStr"/>
      <c r="Y192" s="5" t="inlineStr"/>
      <c r="Z192" s="5" t="inlineStr"/>
      <c r="AA192" s="5" t="inlineStr"/>
      <c r="AB192" s="5" t="inlineStr"/>
      <c r="AC192" s="5" t="inlineStr"/>
      <c r="AD192" s="5" t="inlineStr"/>
      <c r="AE192" s="5" t="inlineStr"/>
      <c r="AF192" s="5" t="inlineStr"/>
      <c r="AG192" s="5" t="inlineStr"/>
      <c r="AH192" s="5" t="inlineStr"/>
      <c r="AI192" s="5" t="inlineStr"/>
      <c r="AJ192" s="5" t="inlineStr"/>
      <c r="AK192" s="5" t="inlineStr">
        <is>
          <t>vape hardware; e-liquids</t>
        </is>
      </c>
      <c r="AL192" s="5" t="inlineStr"/>
      <c r="AM192" s="5" t="inlineStr">
        <is>
          <t>Vape Shop</t>
        </is>
      </c>
      <c r="AN192" s="5" t="inlineStr"/>
      <c r="AO192" s="5" t="inlineStr"/>
      <c r="AP192" s="5" t="inlineStr">
        <is>
          <t>Medium</t>
        </is>
      </c>
      <c r="AQ192" s="5" t="inlineStr">
        <is>
          <t>Independent retailer; Core relevant category</t>
        </is>
      </c>
      <c r="AR192" s="5" t="inlineStr">
        <is>
          <t>https://brighouse.cylex-uk.co.uk/vape-shops/</t>
        </is>
      </c>
      <c r="AS192" s="5" t="inlineStr"/>
      <c r="AT192" s="5" t="inlineStr">
        <is>
          <t>1</t>
        </is>
      </c>
      <c r="AU192" s="5" t="inlineStr">
        <is>
          <t>No</t>
        </is>
      </c>
      <c r="AV192" s="5" t="inlineStr">
        <is>
          <t>No</t>
        </is>
      </c>
      <c r="AW192" s="5" t="inlineStr">
        <is>
          <t>No</t>
        </is>
      </c>
      <c r="AX192" s="5" t="inlineStr">
        <is>
          <t>No</t>
        </is>
      </c>
      <c r="AY192" s="5" t="inlineStr">
        <is>
          <t>Verified directory</t>
        </is>
      </c>
      <c r="AZ192" s="5" t="inlineStr">
        <is>
          <t>Not Found</t>
        </is>
      </c>
      <c r="BA192" s="5" t="inlineStr">
        <is>
          <t>2026-09-16</t>
        </is>
      </c>
      <c r="BB192" s="5" t="inlineStr">
        <is>
          <t>Requires Verification</t>
        </is>
      </c>
      <c r="BC192" s="5" t="inlineStr">
        <is>
          <t>Medium</t>
        </is>
      </c>
      <c r="BD192" s="5" t="inlineStr"/>
      <c r="BE192" s="5" t="inlineStr">
        <is>
          <t>Business (B2B)</t>
        </is>
      </c>
      <c r="BF192" s="5" t="inlineStr">
        <is>
          <t>Legitimate interest (B2B) - assess per campaign; PECR: corporate subscribers</t>
        </is>
      </c>
      <c r="BG192" s="5" t="inlineStr"/>
      <c r="BH192" s="5" t="inlineStr">
        <is>
          <t>No</t>
        </is>
      </c>
      <c r="BI192" s="5" t="inlineStr">
        <is>
          <t>2026-09-16</t>
        </is>
      </c>
      <c r="BJ192" s="5" t="inlineStr">
        <is>
          <t>New</t>
        </is>
      </c>
      <c r="BK192" s="5" t="inlineStr">
        <is>
          <t>2026-09-16</t>
        </is>
      </c>
      <c r="BL192" s="5" t="inlineStr"/>
      <c r="BM192" s="5" t="inlineStr"/>
      <c r="BN192" s="5" t="inlineStr"/>
      <c r="BO192" s="5" t="inlineStr"/>
      <c r="BP192" s="5" t="inlineStr"/>
      <c r="BQ192" s="5" t="inlineStr"/>
    </row>
    <row r="193">
      <c r="A193" s="10" t="inlineStr">
        <is>
          <t>WY-0192</t>
        </is>
      </c>
      <c r="B193" s="10" t="inlineStr">
        <is>
          <t>WY-0192-01</t>
        </is>
      </c>
      <c r="C193" s="10" t="inlineStr"/>
      <c r="D193" s="10" t="inlineStr">
        <is>
          <t>eVape Outlet</t>
        </is>
      </c>
      <c r="E193" s="10" t="inlineStr">
        <is>
          <t>eVape Outlet</t>
        </is>
      </c>
      <c r="F193" s="10" t="inlineStr"/>
      <c r="G193" s="10" t="inlineStr">
        <is>
          <t>Vape Shop</t>
        </is>
      </c>
      <c r="H193" s="10" t="inlineStr">
        <is>
          <t>Vape shop</t>
        </is>
      </c>
      <c r="I193" s="10" t="inlineStr">
        <is>
          <t>Independent</t>
        </is>
      </c>
      <c r="J193" s="10" t="inlineStr">
        <is>
          <t>1</t>
        </is>
      </c>
      <c r="K193" s="10" t="inlineStr"/>
      <c r="L193" s="10" t="inlineStr"/>
      <c r="M193" s="10" t="inlineStr"/>
      <c r="N193" s="10" t="inlineStr"/>
      <c r="O193" s="10" t="inlineStr"/>
      <c r="P193" s="10" t="inlineStr"/>
      <c r="Q193" s="10" t="inlineStr">
        <is>
          <t>Keighley</t>
        </is>
      </c>
      <c r="R193" s="10" t="inlineStr">
        <is>
          <t>West Yorkshire</t>
        </is>
      </c>
      <c r="S193" s="10" t="inlineStr"/>
      <c r="T193" s="10" t="inlineStr">
        <is>
          <t>Yorkshire &amp; Humber</t>
        </is>
      </c>
      <c r="U193" s="10" t="inlineStr">
        <is>
          <t>England</t>
        </is>
      </c>
      <c r="V193" s="10" t="inlineStr"/>
      <c r="W193" s="10" t="inlineStr"/>
      <c r="X193" s="10" t="inlineStr"/>
      <c r="Y193" s="10" t="inlineStr"/>
      <c r="Z193" s="10" t="inlineStr"/>
      <c r="AA193" s="10" t="inlineStr"/>
      <c r="AB193" s="10" t="inlineStr"/>
      <c r="AC193" s="10" t="inlineStr"/>
      <c r="AD193" s="10" t="inlineStr"/>
      <c r="AE193" s="10" t="inlineStr"/>
      <c r="AF193" s="10" t="inlineStr"/>
      <c r="AG193" s="10" t="inlineStr"/>
      <c r="AH193" s="10" t="inlineStr"/>
      <c r="AI193" s="10" t="inlineStr"/>
      <c r="AJ193" s="10" t="inlineStr"/>
      <c r="AK193" s="10" t="inlineStr">
        <is>
          <t>vape hardware; e-liquids</t>
        </is>
      </c>
      <c r="AL193" s="10" t="inlineStr"/>
      <c r="AM193" s="10" t="inlineStr">
        <is>
          <t>Vape Shop</t>
        </is>
      </c>
      <c r="AN193" s="10" t="inlineStr"/>
      <c r="AO193" s="10" t="inlineStr">
        <is>
          <t>Keighley vape shop listed on Cylex; address/phone not captured in snippet - needs enrichment.</t>
        </is>
      </c>
      <c r="AP193" s="10" t="inlineStr">
        <is>
          <t>Medium</t>
        </is>
      </c>
      <c r="AQ193" s="10" t="inlineStr">
        <is>
          <t>Independent retailer; Core relevant category</t>
        </is>
      </c>
      <c r="AR193" s="10" t="inlineStr">
        <is>
          <t>https://keighley.cylex-uk.co.uk/company/evape-outlet-27656791.html</t>
        </is>
      </c>
      <c r="AS193" s="10" t="inlineStr"/>
      <c r="AT193" s="10" t="inlineStr">
        <is>
          <t>1</t>
        </is>
      </c>
      <c r="AU193" s="10" t="inlineStr">
        <is>
          <t>No</t>
        </is>
      </c>
      <c r="AV193" s="10" t="inlineStr">
        <is>
          <t>No</t>
        </is>
      </c>
      <c r="AW193" s="10" t="inlineStr">
        <is>
          <t>No</t>
        </is>
      </c>
      <c r="AX193" s="10" t="inlineStr">
        <is>
          <t>No</t>
        </is>
      </c>
      <c r="AY193" s="10" t="inlineStr">
        <is>
          <t>Not Found</t>
        </is>
      </c>
      <c r="AZ193" s="10" t="inlineStr">
        <is>
          <t>Not Found</t>
        </is>
      </c>
      <c r="BA193" s="10" t="inlineStr">
        <is>
          <t>2026-09-16</t>
        </is>
      </c>
      <c r="BB193" s="10" t="inlineStr">
        <is>
          <t>Requires Verification</t>
        </is>
      </c>
      <c r="BC193" s="10" t="inlineStr">
        <is>
          <t>Low</t>
        </is>
      </c>
      <c r="BD193" s="10" t="inlineStr"/>
      <c r="BE193" s="10" t="inlineStr">
        <is>
          <t>Business (B2B)</t>
        </is>
      </c>
      <c r="BF193" s="10" t="inlineStr">
        <is>
          <t>Legitimate interest (B2B) - assess per campaign; PECR: corporate subscribers</t>
        </is>
      </c>
      <c r="BG193" s="10" t="inlineStr"/>
      <c r="BH193" s="10" t="inlineStr">
        <is>
          <t>No</t>
        </is>
      </c>
      <c r="BI193" s="10" t="inlineStr">
        <is>
          <t>2026-09-16</t>
        </is>
      </c>
      <c r="BJ193" s="10" t="inlineStr">
        <is>
          <t>New</t>
        </is>
      </c>
      <c r="BK193" s="10" t="inlineStr">
        <is>
          <t>2026-09-16</t>
        </is>
      </c>
      <c r="BL193" s="10" t="inlineStr"/>
      <c r="BM193" s="10" t="inlineStr"/>
      <c r="BN193" s="10" t="inlineStr"/>
      <c r="BO193" s="10" t="inlineStr"/>
      <c r="BP193" s="10" t="inlineStr"/>
      <c r="BQ193" s="10" t="inlineStr"/>
    </row>
    <row r="194">
      <c r="A194" s="5" t="inlineStr">
        <is>
          <t>WY-0193</t>
        </is>
      </c>
      <c r="B194" s="5" t="inlineStr">
        <is>
          <t>WY-0193-01</t>
        </is>
      </c>
      <c r="C194" s="5" t="inlineStr"/>
      <c r="D194" s="5" t="inlineStr">
        <is>
          <t>iVape Lounge</t>
        </is>
      </c>
      <c r="E194" s="5" t="inlineStr">
        <is>
          <t>iVape Lounge Todmorden</t>
        </is>
      </c>
      <c r="F194" s="5" t="inlineStr"/>
      <c r="G194" s="5" t="inlineStr">
        <is>
          <t>Vape Shop</t>
        </is>
      </c>
      <c r="H194" s="5" t="inlineStr"/>
      <c r="I194" s="5" t="inlineStr">
        <is>
          <t>Independent</t>
        </is>
      </c>
      <c r="J194" s="5" t="inlineStr">
        <is>
          <t>1</t>
        </is>
      </c>
      <c r="K194" s="5" t="inlineStr"/>
      <c r="L194" s="5" t="inlineStr"/>
      <c r="M194" s="5" t="inlineStr"/>
      <c r="N194" s="5" t="inlineStr"/>
      <c r="O194" s="5" t="inlineStr">
        <is>
          <t>53 Halifax Road</t>
        </is>
      </c>
      <c r="P194" s="5" t="inlineStr"/>
      <c r="Q194" s="5" t="inlineStr">
        <is>
          <t>Todmorden</t>
        </is>
      </c>
      <c r="R194" s="5" t="inlineStr">
        <is>
          <t>West Yorkshire</t>
        </is>
      </c>
      <c r="S194" s="5" t="inlineStr">
        <is>
          <t>OL14 5BB</t>
        </is>
      </c>
      <c r="T194" s="5" t="inlineStr">
        <is>
          <t>Yorkshire &amp; Humber</t>
        </is>
      </c>
      <c r="U194" s="5" t="inlineStr">
        <is>
          <t>England</t>
        </is>
      </c>
      <c r="V194" s="5" t="inlineStr"/>
      <c r="W194" s="5" t="inlineStr"/>
      <c r="X194" s="5" t="inlineStr"/>
      <c r="Y194" s="5" t="inlineStr"/>
      <c r="Z194" s="5" t="inlineStr"/>
      <c r="AA194" s="5" t="inlineStr"/>
      <c r="AB194" s="5" t="inlineStr"/>
      <c r="AC194" s="5" t="inlineStr"/>
      <c r="AD194" s="5" t="inlineStr"/>
      <c r="AE194" s="5" t="inlineStr"/>
      <c r="AF194" s="5" t="inlineStr"/>
      <c r="AG194" s="5" t="inlineStr"/>
      <c r="AH194" s="5" t="inlineStr"/>
      <c r="AI194" s="5" t="inlineStr"/>
      <c r="AJ194" s="5" t="inlineStr"/>
      <c r="AK194" s="5" t="inlineStr">
        <is>
          <t>vapes; e-liquids</t>
        </is>
      </c>
      <c r="AL194" s="5" t="inlineStr"/>
      <c r="AM194" s="5" t="inlineStr">
        <is>
          <t>Vape Shop</t>
        </is>
      </c>
      <c r="AN194" s="5" t="inlineStr"/>
      <c r="AO194" s="5" t="inlineStr"/>
      <c r="AP194" s="5" t="inlineStr">
        <is>
          <t>Medium</t>
        </is>
      </c>
      <c r="AQ194" s="5" t="inlineStr">
        <is>
          <t>Independent retailer; Core relevant category</t>
        </is>
      </c>
      <c r="AR194" s="5" t="inlineStr">
        <is>
          <t>https://ivape-lounge-todmorden-vape-shop.wheree.com/</t>
        </is>
      </c>
      <c r="AS194" s="5" t="inlineStr"/>
      <c r="AT194" s="5" t="inlineStr">
        <is>
          <t>1</t>
        </is>
      </c>
      <c r="AU194" s="5" t="inlineStr">
        <is>
          <t>No</t>
        </is>
      </c>
      <c r="AV194" s="5" t="inlineStr">
        <is>
          <t>No</t>
        </is>
      </c>
      <c r="AW194" s="5" t="inlineStr">
        <is>
          <t>No</t>
        </is>
      </c>
      <c r="AX194" s="5" t="inlineStr">
        <is>
          <t>No</t>
        </is>
      </c>
      <c r="AY194" s="5" t="inlineStr">
        <is>
          <t>Not Found</t>
        </is>
      </c>
      <c r="AZ194" s="5" t="inlineStr">
        <is>
          <t>Not Found</t>
        </is>
      </c>
      <c r="BA194" s="5" t="inlineStr">
        <is>
          <t>2026-09-16</t>
        </is>
      </c>
      <c r="BB194" s="5" t="inlineStr">
        <is>
          <t>Requires Verification</t>
        </is>
      </c>
      <c r="BC194" s="5" t="inlineStr">
        <is>
          <t>Low</t>
        </is>
      </c>
      <c r="BD194" s="5" t="inlineStr"/>
      <c r="BE194" s="5" t="inlineStr">
        <is>
          <t>Business (B2B)</t>
        </is>
      </c>
      <c r="BF194" s="5" t="inlineStr">
        <is>
          <t>Legitimate interest (B2B) - assess per campaign; PECR: corporate subscribers</t>
        </is>
      </c>
      <c r="BG194" s="5" t="inlineStr"/>
      <c r="BH194" s="5" t="inlineStr">
        <is>
          <t>No</t>
        </is>
      </c>
      <c r="BI194" s="5" t="inlineStr">
        <is>
          <t>2026-09-16</t>
        </is>
      </c>
      <c r="BJ194" s="5" t="inlineStr">
        <is>
          <t>New</t>
        </is>
      </c>
      <c r="BK194" s="5" t="inlineStr">
        <is>
          <t>2026-09-16</t>
        </is>
      </c>
      <c r="BL194" s="5" t="inlineStr"/>
      <c r="BM194" s="5" t="inlineStr"/>
      <c r="BN194" s="5" t="inlineStr"/>
      <c r="BO194" s="5" t="inlineStr"/>
      <c r="BP194" s="5" t="inlineStr"/>
      <c r="BQ194" s="5" t="inlineStr"/>
    </row>
  </sheetData>
  <autoFilter ref="A1:BQ19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B5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7" customWidth="1" min="3" max="3"/>
    <col width="45" customWidth="1" min="4" max="4"/>
    <col width="19" customWidth="1" min="5" max="5"/>
    <col width="45" customWidth="1" min="6" max="6"/>
    <col width="24" customWidth="1" min="7" max="7"/>
    <col width="21" customWidth="1" min="8" max="8"/>
    <col width="40" customWidth="1" min="9" max="9"/>
    <col width="15" customWidth="1" min="10" max="10"/>
    <col width="10" customWidth="1" min="11" max="11"/>
    <col width="15" customWidth="1" min="12" max="12"/>
    <col width="28" customWidth="1" min="13" max="13"/>
    <col width="21"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WY-0002</t>
        </is>
      </c>
      <c r="B2" s="5" t="inlineStr">
        <is>
          <t>420VAPESHO-01</t>
        </is>
      </c>
      <c r="C2" s="5" t="inlineStr">
        <is>
          <t>420 Vape Shop</t>
        </is>
      </c>
      <c r="D2" s="5" t="inlineStr">
        <is>
          <t>420 Vape Shop (Leeds Road, Shipley)</t>
        </is>
      </c>
      <c r="E2" s="5" t="inlineStr">
        <is>
          <t>Vape Shop</t>
        </is>
      </c>
      <c r="F2" s="5" t="inlineStr">
        <is>
          <t>Vape hardware, e-liquids, disposables &amp; CBD</t>
        </is>
      </c>
      <c r="G2" s="5" t="inlineStr">
        <is>
          <t>Multi-Site Independent</t>
        </is>
      </c>
      <c r="H2" s="5" t="inlineStr">
        <is>
          <t>3</t>
        </is>
      </c>
      <c r="I2" s="5" t="inlineStr">
        <is>
          <t>206 Leeds Road</t>
        </is>
      </c>
      <c r="J2" s="5" t="inlineStr">
        <is>
          <t>Shipley</t>
        </is>
      </c>
      <c r="K2" s="5" t="inlineStr">
        <is>
          <t>BD18 1EA</t>
        </is>
      </c>
      <c r="L2" s="5" t="inlineStr">
        <is>
          <t>01274 011507</t>
        </is>
      </c>
      <c r="M2" s="5" t="inlineStr"/>
      <c r="N2" s="5" t="inlineStr"/>
      <c r="O2" s="5" t="inlineStr">
        <is>
          <t>https://420vapeshop.co.uk/</t>
        </is>
      </c>
      <c r="P2" s="5" t="inlineStr">
        <is>
          <t>https://www.facebook.com/420vapeshopBD4/</t>
        </is>
      </c>
      <c r="Q2" s="5" t="inlineStr">
        <is>
          <t>https://www.instagram.com/420vapeshopuk/</t>
        </is>
      </c>
      <c r="R2" s="5" t="inlineStr"/>
      <c r="S2" s="5" t="inlineStr"/>
      <c r="T2" s="5" t="inlineStr"/>
      <c r="U2" s="5" t="inlineStr"/>
      <c r="V2" s="5" t="inlineStr">
        <is>
          <t>High</t>
        </is>
      </c>
      <c r="W2" s="5" t="inlineStr">
        <is>
          <t>Multi-site retailer; Independent retailer; Core relevant category; Active website; Social presence; Phone verified on official website</t>
        </is>
      </c>
      <c r="X2" s="5" t="inlineStr">
        <is>
          <t>Verified on official website</t>
        </is>
      </c>
      <c r="Y2" s="5" t="inlineStr">
        <is>
          <t>Website Found</t>
        </is>
      </c>
      <c r="Z2" s="5" t="inlineStr">
        <is>
          <t>Medium</t>
        </is>
      </c>
      <c r="AA2" s="5" t="inlineStr">
        <is>
          <t>Verified (website + Companies House)</t>
        </is>
      </c>
      <c r="AB2" s="5" t="inlineStr">
        <is>
          <t>https://420vapeshop.co.uk/pages/contact</t>
        </is>
      </c>
    </row>
    <row r="3">
      <c r="A3" s="10" t="inlineStr">
        <is>
          <t>WY-0003</t>
        </is>
      </c>
      <c r="B3" s="10" t="inlineStr">
        <is>
          <t>420VAPESHO-02</t>
        </is>
      </c>
      <c r="C3" s="10" t="inlineStr">
        <is>
          <t>420 Vape Shop</t>
        </is>
      </c>
      <c r="D3" s="10" t="inlineStr">
        <is>
          <t>420 Vape Shop (Tong Street, Bradford)</t>
        </is>
      </c>
      <c r="E3" s="10" t="inlineStr">
        <is>
          <t>Vape Shop</t>
        </is>
      </c>
      <c r="F3" s="10" t="inlineStr">
        <is>
          <t>Vape hardware, e-liquids, disposables &amp; CBD</t>
        </is>
      </c>
      <c r="G3" s="10" t="inlineStr">
        <is>
          <t>Multi-Site Independent</t>
        </is>
      </c>
      <c r="H3" s="10" t="inlineStr">
        <is>
          <t>3</t>
        </is>
      </c>
      <c r="I3" s="10" t="inlineStr">
        <is>
          <t>104 Tong Street</t>
        </is>
      </c>
      <c r="J3" s="10" t="inlineStr">
        <is>
          <t>Bradford</t>
        </is>
      </c>
      <c r="K3" s="10" t="inlineStr">
        <is>
          <t>BD4 6HD</t>
        </is>
      </c>
      <c r="L3" s="10" t="inlineStr">
        <is>
          <t>01274 962277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WY-0004</t>
        </is>
      </c>
      <c r="B4" s="5" t="inlineStr">
        <is>
          <t>420VAPESHO-03</t>
        </is>
      </c>
      <c r="C4" s="5" t="inlineStr">
        <is>
          <t>420 Vape Shop</t>
        </is>
      </c>
      <c r="D4" s="5" t="inlineStr">
        <is>
          <t>420 Vape Shop (Town Street, Stanningley)</t>
        </is>
      </c>
      <c r="E4" s="5" t="inlineStr">
        <is>
          <t>Vape Shop</t>
        </is>
      </c>
      <c r="F4" s="5" t="inlineStr">
        <is>
          <t>Vape hardware, e-liquids, disposables &amp; CBD</t>
        </is>
      </c>
      <c r="G4" s="5" t="inlineStr">
        <is>
          <t>Multi-Site Independent</t>
        </is>
      </c>
      <c r="H4" s="5" t="inlineStr">
        <is>
          <t>3</t>
        </is>
      </c>
      <c r="I4" s="5" t="inlineStr">
        <is>
          <t>145 Town Street</t>
        </is>
      </c>
      <c r="J4" s="5" t="inlineStr">
        <is>
          <t>Pudsey</t>
        </is>
      </c>
      <c r="K4" s="5" t="inlineStr">
        <is>
          <t>LS28 6ES</t>
        </is>
      </c>
      <c r="L4" s="5" t="inlineStr">
        <is>
          <t>07551 009824</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WY-0013</t>
        </is>
      </c>
      <c r="B5" s="10" t="inlineStr">
        <is>
          <t>ECIGNVAPE-01</t>
        </is>
      </c>
      <c r="C5" s="10" t="inlineStr">
        <is>
          <t>Ecig N Vape</t>
        </is>
      </c>
      <c r="D5" s="10" t="inlineStr">
        <is>
          <t>Ecig N Vape South Elmsall</t>
        </is>
      </c>
      <c r="E5" s="10" t="inlineStr">
        <is>
          <t>Vape Shop</t>
        </is>
      </c>
      <c r="F5" s="10" t="inlineStr">
        <is>
          <t>Vape retailer</t>
        </is>
      </c>
      <c r="G5" s="10" t="inlineStr">
        <is>
          <t>Multi-Site Independent</t>
        </is>
      </c>
      <c r="H5" s="10" t="inlineStr">
        <is>
          <t>2</t>
        </is>
      </c>
      <c r="I5" s="10" t="inlineStr">
        <is>
          <t>13 Barnsley Road</t>
        </is>
      </c>
      <c r="J5" s="10" t="inlineStr">
        <is>
          <t>South Elmsall</t>
        </is>
      </c>
      <c r="K5" s="10" t="inlineStr">
        <is>
          <t>WF9 2RJ</t>
        </is>
      </c>
      <c r="L5" s="10" t="inlineStr">
        <is>
          <t>01977 647267</t>
        </is>
      </c>
      <c r="M5" s="10" t="inlineStr"/>
      <c r="N5" s="10" t="inlineStr"/>
      <c r="O5" s="10" t="inlineStr"/>
      <c r="P5" s="10" t="inlineStr">
        <is>
          <t>https://www.facebook.com/Ecignvapesouthelmsall/</t>
        </is>
      </c>
      <c r="Q5" s="10" t="inlineStr"/>
      <c r="R5" s="10" t="inlineStr"/>
      <c r="S5" s="10" t="inlineStr"/>
      <c r="T5" s="10" t="inlineStr">
        <is>
          <t>12772350</t>
        </is>
      </c>
      <c r="U5" s="10" t="inlineStr"/>
      <c r="V5" s="10" t="inlineStr">
        <is>
          <t>High</t>
        </is>
      </c>
      <c r="W5" s="10" t="inlineStr">
        <is>
          <t>Multi-site retailer; Independent retailer; Core relevant category; Social presence</t>
        </is>
      </c>
      <c r="X5" s="10" t="inlineStr">
        <is>
          <t>Verified directory</t>
        </is>
      </c>
      <c r="Y5" s="10" t="inlineStr">
        <is>
          <t>Not Found</t>
        </is>
      </c>
      <c r="Z5" s="10" t="inlineStr">
        <is>
          <t>Medium</t>
        </is>
      </c>
      <c r="AA5" s="10" t="inlineStr">
        <is>
          <t>Requires Verification</t>
        </is>
      </c>
      <c r="AB5" s="10" t="inlineStr">
        <is>
          <t>https://find-and-update.company-information.service.gov.uk/company/12772350</t>
        </is>
      </c>
    </row>
    <row r="6">
      <c r="A6" s="5" t="inlineStr">
        <is>
          <t>WY-0015</t>
        </is>
      </c>
      <c r="B6" s="5" t="inlineStr">
        <is>
          <t>KPMVAPES-01</t>
        </is>
      </c>
      <c r="C6" s="5" t="inlineStr">
        <is>
          <t>KPM Vapes</t>
        </is>
      </c>
      <c r="D6" s="5" t="inlineStr">
        <is>
          <t>KPM Vapes</t>
        </is>
      </c>
      <c r="E6" s="5" t="inlineStr">
        <is>
          <t>Vape Shop</t>
        </is>
      </c>
      <c r="F6" s="5" t="inlineStr">
        <is>
          <t>Vape retail and wholesale</t>
        </is>
      </c>
      <c r="G6" s="5" t="inlineStr">
        <is>
          <t>Multi-Site Independent</t>
        </is>
      </c>
      <c r="H6" s="5" t="inlineStr">
        <is>
          <t>2</t>
        </is>
      </c>
      <c r="I6" s="5" t="inlineStr">
        <is>
          <t>87/89 Wakefield Road</t>
        </is>
      </c>
      <c r="J6" s="5" t="inlineStr">
        <is>
          <t>Huddersfield</t>
        </is>
      </c>
      <c r="K6" s="5" t="inlineStr">
        <is>
          <t>HD5 9AB</t>
        </is>
      </c>
      <c r="L6" s="5" t="inlineStr">
        <is>
          <t>07463 530406</t>
        </is>
      </c>
      <c r="M6" s="5" t="inlineStr">
        <is>
          <t>kpmvapes@outlook.com</t>
        </is>
      </c>
      <c r="N6" s="5" t="inlineStr"/>
      <c r="O6" s="5" t="inlineStr"/>
      <c r="P6" s="5" t="inlineStr">
        <is>
          <t>https://www.facebook.com/people/KPM-Vapes/61556161391449/</t>
        </is>
      </c>
      <c r="Q6" s="5" t="inlineStr">
        <is>
          <t>https://www.instagram.com/kpmvapes/</t>
        </is>
      </c>
      <c r="R6" s="5" t="inlineStr"/>
      <c r="S6" s="5" t="inlineStr"/>
      <c r="T6" s="5" t="inlineStr"/>
      <c r="U6" s="5" t="inlineStr"/>
      <c r="V6" s="5" t="inlineStr">
        <is>
          <t>High</t>
        </is>
      </c>
      <c r="W6" s="5" t="inlineStr">
        <is>
          <t>Multi-site retailer; Independent retailer; Core relevant category; Public email available; Social presence</t>
        </is>
      </c>
      <c r="X6" s="5" t="inlineStr">
        <is>
          <t>Verified directory</t>
        </is>
      </c>
      <c r="Y6" s="5" t="inlineStr">
        <is>
          <t>Unverified</t>
        </is>
      </c>
      <c r="Z6" s="5" t="inlineStr">
        <is>
          <t>Medium</t>
        </is>
      </c>
      <c r="AA6" s="5" t="inlineStr">
        <is>
          <t>Requires Verification</t>
        </is>
      </c>
      <c r="AB6" s="5" t="inlineStr">
        <is>
          <t>https://www.facebook.com/people/KPM-Vapes/61556161391449/</t>
        </is>
      </c>
    </row>
    <row r="7">
      <c r="A7" s="10" t="inlineStr">
        <is>
          <t>WY-0022</t>
        </is>
      </c>
      <c r="B7" s="10" t="inlineStr">
        <is>
          <t>SMKD-01</t>
        </is>
      </c>
      <c r="C7" s="10" t="inlineStr">
        <is>
          <t>SMKD</t>
        </is>
      </c>
      <c r="D7" s="10" t="inlineStr">
        <is>
          <t>SMKD</t>
        </is>
      </c>
      <c r="E7" s="10" t="inlineStr">
        <is>
          <t>Vape Shop</t>
        </is>
      </c>
      <c r="F7" s="10" t="inlineStr">
        <is>
          <t>Vape chain store</t>
        </is>
      </c>
      <c r="G7" s="10" t="inlineStr">
        <is>
          <t>Regional Chain</t>
        </is>
      </c>
      <c r="H7" s="10" t="inlineStr"/>
      <c r="I7" s="10" t="inlineStr">
        <is>
          <t>31-32 Market Street</t>
        </is>
      </c>
      <c r="J7" s="10" t="inlineStr">
        <is>
          <t>Halifax</t>
        </is>
      </c>
      <c r="K7" s="10" t="inlineStr">
        <is>
          <t>HX1 1DZ</t>
        </is>
      </c>
      <c r="L7" s="10" t="inlineStr"/>
      <c r="M7" s="10" t="inlineStr">
        <is>
          <t>info@smkd.com</t>
        </is>
      </c>
      <c r="N7" s="10" t="inlineStr"/>
      <c r="O7" s="10" t="inlineStr">
        <is>
          <t>https://smkd.com/vape-shop-locator/smkd-halifax-vape-shop-market-street/</t>
        </is>
      </c>
      <c r="P7" s="10" t="inlineStr">
        <is>
          <t>https://www.facebook.com/SmkdVapeShop/</t>
        </is>
      </c>
      <c r="Q7" s="10" t="inlineStr"/>
      <c r="R7" s="10" t="inlineStr"/>
      <c r="S7" s="10" t="inlineStr"/>
      <c r="T7" s="10" t="inlineStr">
        <is>
          <t>16161027</t>
        </is>
      </c>
      <c r="U7" s="10" t="inlineStr">
        <is>
          <t>Active</t>
        </is>
      </c>
      <c r="V7" s="10" t="inlineStr">
        <is>
          <t>High</t>
        </is>
      </c>
      <c r="W7" s="10" t="inlineStr">
        <is>
          <t>Multi-site retailer; Core relevant category; Public email available; Active website; Social presence</t>
        </is>
      </c>
      <c r="X7" s="10" t="inlineStr">
        <is>
          <t>Not Found</t>
        </is>
      </c>
      <c r="Y7" s="10" t="inlineStr">
        <is>
          <t>Website Found</t>
        </is>
      </c>
      <c r="Z7" s="10" t="inlineStr">
        <is>
          <t>Medium</t>
        </is>
      </c>
      <c r="AA7" s="10" t="inlineStr">
        <is>
          <t>Partially Verified</t>
        </is>
      </c>
      <c r="AB7" s="10" t="inlineStr">
        <is>
          <t>https://smkd.com/vape-shop-locator/smkd-halifax-vape-shop-market-street/</t>
        </is>
      </c>
    </row>
    <row r="8">
      <c r="A8" s="5" t="inlineStr">
        <is>
          <t>WY-0023</t>
        </is>
      </c>
      <c r="B8" s="5" t="inlineStr">
        <is>
          <t>SMKD-02</t>
        </is>
      </c>
      <c r="C8" s="5" t="inlineStr">
        <is>
          <t>SMKD</t>
        </is>
      </c>
      <c r="D8" s="5" t="inlineStr">
        <is>
          <t>SMKD</t>
        </is>
      </c>
      <c r="E8" s="5" t="inlineStr">
        <is>
          <t>Vape Shop</t>
        </is>
      </c>
      <c r="F8" s="5" t="inlineStr">
        <is>
          <t>Vape chain store with same-day local delivery</t>
        </is>
      </c>
      <c r="G8" s="5" t="inlineStr">
        <is>
          <t>Regional Chain</t>
        </is>
      </c>
      <c r="H8" s="5" t="inlineStr"/>
      <c r="I8" s="5" t="inlineStr"/>
      <c r="J8" s="5" t="inlineStr">
        <is>
          <t>Hebden Bridge</t>
        </is>
      </c>
      <c r="K8" s="5" t="inlineStr"/>
      <c r="L8" s="5" t="inlineStr">
        <is>
          <t>01274 270303</t>
        </is>
      </c>
      <c r="M8" s="5" t="inlineStr">
        <is>
          <t>info@smkd.com</t>
        </is>
      </c>
      <c r="N8" s="5" t="inlineStr"/>
      <c r="O8" s="5" t="inlineStr">
        <is>
          <t>https://smkd.com/vape-shop-locator/smkd-hebden-bridge-vape-shop-west-end/</t>
        </is>
      </c>
      <c r="P8" s="5" t="inlineStr">
        <is>
          <t>https://www.facebook.com/SmkdVapeShop/</t>
        </is>
      </c>
      <c r="Q8" s="5" t="inlineStr"/>
      <c r="R8" s="5" t="inlineStr"/>
      <c r="S8" s="5" t="inlineStr"/>
      <c r="T8" s="5" t="inlineStr">
        <is>
          <t>16161027</t>
        </is>
      </c>
      <c r="U8" s="5" t="inlineStr">
        <is>
          <t>Active</t>
        </is>
      </c>
      <c r="V8" s="5" t="inlineStr">
        <is>
          <t>High</t>
        </is>
      </c>
      <c r="W8" s="5" t="inlineStr">
        <is>
          <t>Multi-site retailer; Core relevant category; Public email available; Active website; Social presence</t>
        </is>
      </c>
      <c r="X8" s="5" t="inlineStr">
        <is>
          <t>Unverified</t>
        </is>
      </c>
      <c r="Y8" s="5" t="inlineStr">
        <is>
          <t>Publicly Listed</t>
        </is>
      </c>
      <c r="Z8" s="5" t="inlineStr">
        <is>
          <t>Medium</t>
        </is>
      </c>
      <c r="AA8" s="5" t="inlineStr">
        <is>
          <t>Partially Verified</t>
        </is>
      </c>
      <c r="AB8" s="5" t="inlineStr">
        <is>
          <t>https://smkd.com/vape-shop-locator/smkd-hebden-bridge-vape-shop-west-end/</t>
        </is>
      </c>
    </row>
    <row r="9">
      <c r="A9" s="10" t="inlineStr">
        <is>
          <t>WY-0024</t>
        </is>
      </c>
      <c r="B9" s="10" t="inlineStr">
        <is>
          <t>SMKD-03</t>
        </is>
      </c>
      <c r="C9" s="10" t="inlineStr">
        <is>
          <t>SMKD</t>
        </is>
      </c>
      <c r="D9" s="10" t="inlineStr">
        <is>
          <t>SMKD - E Cigarettes and Vape Shop (Wakefield)</t>
        </is>
      </c>
      <c r="E9" s="10" t="inlineStr">
        <is>
          <t>Vape Shop</t>
        </is>
      </c>
      <c r="F9" s="10" t="inlineStr">
        <is>
          <t>Vape hardware and e-liquid retailer</t>
        </is>
      </c>
      <c r="G9" s="10" t="inlineStr">
        <is>
          <t>Regional Chain</t>
        </is>
      </c>
      <c r="H9" s="10" t="inlineStr"/>
      <c r="I9" s="10" t="inlineStr">
        <is>
          <t>Ridings Shopping Centre</t>
        </is>
      </c>
      <c r="J9" s="10" t="inlineStr">
        <is>
          <t>Wakefield</t>
        </is>
      </c>
      <c r="K9" s="10" t="inlineStr">
        <is>
          <t>WF1 1DS</t>
        </is>
      </c>
      <c r="L9" s="10" t="inlineStr">
        <is>
          <t>01924 728100</t>
        </is>
      </c>
      <c r="M9" s="10" t="inlineStr">
        <is>
          <t>info@smkd.com</t>
        </is>
      </c>
      <c r="N9" s="10" t="inlineStr"/>
      <c r="O9" s="10" t="inlineStr">
        <is>
          <t>https://smkd.com</t>
        </is>
      </c>
      <c r="P9" s="10" t="inlineStr">
        <is>
          <t>https://www.facebook.com/SmkdVapeShop/</t>
        </is>
      </c>
      <c r="Q9" s="10" t="inlineStr"/>
      <c r="R9" s="10" t="inlineStr"/>
      <c r="S9" s="10" t="inlineStr"/>
      <c r="T9" s="10" t="inlineStr">
        <is>
          <t>16161027</t>
        </is>
      </c>
      <c r="U9" s="10" t="inlineStr">
        <is>
          <t>Active</t>
        </is>
      </c>
      <c r="V9" s="10" t="inlineStr">
        <is>
          <t>High</t>
        </is>
      </c>
      <c r="W9" s="10" t="inlineStr">
        <is>
          <t>Multi-site retailer; Core relevant category; Public email available; Active website; Social presence</t>
        </is>
      </c>
      <c r="X9" s="10" t="inlineStr">
        <is>
          <t>Verified directory</t>
        </is>
      </c>
      <c r="Y9" s="10" t="inlineStr">
        <is>
          <t>Unverified</t>
        </is>
      </c>
      <c r="Z9" s="10" t="inlineStr">
        <is>
          <t>Medium</t>
        </is>
      </c>
      <c r="AA9" s="10" t="inlineStr">
        <is>
          <t>Partially Verified</t>
        </is>
      </c>
      <c r="AB9" s="10" t="inlineStr">
        <is>
          <t>https://smkd.com/vape-shop-locator/wakefield-vape-shop-ridings-shopping-centre/</t>
        </is>
      </c>
    </row>
    <row r="10">
      <c r="A10" s="5" t="inlineStr">
        <is>
          <t>WY-0031</t>
        </is>
      </c>
      <c r="B10" s="5" t="inlineStr">
        <is>
          <t>THEVAPECEN-01</t>
        </is>
      </c>
      <c r="C10" s="5" t="inlineStr">
        <is>
          <t>The Vape Centre</t>
        </is>
      </c>
      <c r="D10" s="5" t="inlineStr">
        <is>
          <t>The Vape Centre (Wetherby)</t>
        </is>
      </c>
      <c r="E10" s="5" t="inlineStr">
        <is>
          <t>Vape Shop</t>
        </is>
      </c>
      <c r="F10" s="5" t="inlineStr"/>
      <c r="G10" s="5" t="inlineStr">
        <is>
          <t>Multi-Site Independent</t>
        </is>
      </c>
      <c r="H10" s="5" t="inlineStr">
        <is>
          <t>2</t>
        </is>
      </c>
      <c r="I10" s="5" t="inlineStr">
        <is>
          <t>16 Market Place</t>
        </is>
      </c>
      <c r="J10" s="5" t="inlineStr">
        <is>
          <t>Wetherby</t>
        </is>
      </c>
      <c r="K10" s="5" t="inlineStr">
        <is>
          <t>LS22 6NE</t>
        </is>
      </c>
      <c r="L10" s="5" t="inlineStr">
        <is>
          <t>07388 892397</t>
        </is>
      </c>
      <c r="M10" s="5" t="inlineStr"/>
      <c r="N10" s="5" t="inlineStr"/>
      <c r="O10" s="5" t="inlineStr">
        <is>
          <t>http://www.thevapecentre.co.uk/</t>
        </is>
      </c>
      <c r="P10" s="5" t="inlineStr"/>
      <c r="Q10" s="5" t="inlineStr"/>
      <c r="R10" s="5" t="inlineStr"/>
      <c r="S10" s="5" t="inlineStr"/>
      <c r="T10" s="5" t="inlineStr"/>
      <c r="U10" s="5" t="inlineStr"/>
      <c r="V10" s="5" t="inlineStr">
        <is>
          <t>High</t>
        </is>
      </c>
      <c r="W10" s="5" t="inlineStr">
        <is>
          <t>Multi-site retailer; Independent retailer; Core relevant category; Active website</t>
        </is>
      </c>
      <c r="X10" s="5" t="inlineStr">
        <is>
          <t>Verified directory</t>
        </is>
      </c>
      <c r="Y10" s="5" t="inlineStr">
        <is>
          <t>Website Found</t>
        </is>
      </c>
      <c r="Z10" s="5" t="inlineStr">
        <is>
          <t>Medium</t>
        </is>
      </c>
      <c r="AA10" s="5" t="inlineStr">
        <is>
          <t>Requires Verification</t>
        </is>
      </c>
      <c r="AB10" s="5" t="inlineStr">
        <is>
          <t>https://wetherbytowncouncil.gov.uk/our-businesses/vape-centre/</t>
        </is>
      </c>
    </row>
    <row r="11">
      <c r="A11" s="10" t="inlineStr">
        <is>
          <t>WY-0032</t>
        </is>
      </c>
      <c r="B11" s="10" t="inlineStr">
        <is>
          <t>TOTALLYWIC-01</t>
        </is>
      </c>
      <c r="C11" s="10" t="inlineStr">
        <is>
          <t>Totally Wicked</t>
        </is>
      </c>
      <c r="D11" s="10" t="inlineStr">
        <is>
          <t>Totally Wicked</t>
        </is>
      </c>
      <c r="E11" s="10" t="inlineStr">
        <is>
          <t>Vape Shop</t>
        </is>
      </c>
      <c r="F11" s="10" t="inlineStr">
        <is>
          <t>E-cigarette and e-liquid chain store</t>
        </is>
      </c>
      <c r="G11" s="10" t="inlineStr">
        <is>
          <t>National Chain</t>
        </is>
      </c>
      <c r="H11" s="10" t="inlineStr"/>
      <c r="I11" s="10" t="inlineStr">
        <is>
          <t>53-55 Bethel Street</t>
        </is>
      </c>
      <c r="J11" s="10" t="inlineStr">
        <is>
          <t>Brighouse</t>
        </is>
      </c>
      <c r="K11" s="10" t="inlineStr">
        <is>
          <t>HD6 1JR</t>
        </is>
      </c>
      <c r="L11" s="10" t="inlineStr">
        <is>
          <t>01484 769431</t>
        </is>
      </c>
      <c r="M11" s="10" t="inlineStr"/>
      <c r="N11" s="10" t="inlineStr"/>
      <c r="O11" s="10" t="inlineStr"/>
      <c r="P11" s="10" t="inlineStr"/>
      <c r="Q11" s="10" t="inlineStr"/>
      <c r="R11" s="10" t="inlineStr"/>
      <c r="S11" s="10" t="inlineStr"/>
      <c r="T11" s="10" t="inlineStr"/>
      <c r="U11" s="10" t="inlineStr"/>
      <c r="V11" s="10" t="inlineStr">
        <is>
          <t>Medium</t>
        </is>
      </c>
      <c r="W11" s="10" t="inlineStr">
        <is>
          <t>Multi-site retailer; Core relevant category</t>
        </is>
      </c>
      <c r="X11" s="10" t="inlineStr">
        <is>
          <t>Verified directory</t>
        </is>
      </c>
      <c r="Y11" s="10" t="inlineStr">
        <is>
          <t>Not Found</t>
        </is>
      </c>
      <c r="Z11" s="10" t="inlineStr">
        <is>
          <t>Medium</t>
        </is>
      </c>
      <c r="AA11" s="10" t="inlineStr">
        <is>
          <t>Requires Verification</t>
        </is>
      </c>
      <c r="AB11" s="10" t="inlineStr">
        <is>
          <t>https://brighouse.cylex-uk.co.uk/vape-shops/</t>
        </is>
      </c>
    </row>
    <row r="12">
      <c r="A12" s="5" t="inlineStr">
        <is>
          <t>WY-0033</t>
        </is>
      </c>
      <c r="B12" s="5" t="inlineStr">
        <is>
          <t>TOTALLYWIC-02</t>
        </is>
      </c>
      <c r="C12" s="5" t="inlineStr">
        <is>
          <t>Totally Wicked</t>
        </is>
      </c>
      <c r="D12" s="5" t="inlineStr">
        <is>
          <t>Totally Wicked</t>
        </is>
      </c>
      <c r="E12" s="5" t="inlineStr">
        <is>
          <t>Vape Shop</t>
        </is>
      </c>
      <c r="F12" s="5" t="inlineStr">
        <is>
          <t>E-cigarette and e-liquid chain store</t>
        </is>
      </c>
      <c r="G12" s="5" t="inlineStr">
        <is>
          <t>National Chain</t>
        </is>
      </c>
      <c r="H12" s="5" t="inlineStr"/>
      <c r="I12" s="5" t="inlineStr">
        <is>
          <t>10 Commercial Street</t>
        </is>
      </c>
      <c r="J12" s="5" t="inlineStr">
        <is>
          <t>Halifax</t>
        </is>
      </c>
      <c r="K12" s="5" t="inlineStr">
        <is>
          <t>HX1 1TA</t>
        </is>
      </c>
      <c r="L12" s="5" t="inlineStr">
        <is>
          <t>01422 320223</t>
        </is>
      </c>
      <c r="M12" s="5" t="inlineStr"/>
      <c r="N12" s="5" t="inlineStr"/>
      <c r="O12" s="5" t="inlineStr">
        <is>
          <t>https://www.totallywicked-eliquid.co.uk/stores/halifax-e-cigs-e-liquid-shop</t>
        </is>
      </c>
      <c r="P12" s="5" t="inlineStr"/>
      <c r="Q12" s="5" t="inlineStr"/>
      <c r="R12" s="5" t="inlineStr"/>
      <c r="S12" s="5" t="inlineStr"/>
      <c r="T12" s="5" t="inlineStr"/>
      <c r="U12" s="5" t="inlineStr"/>
      <c r="V12" s="5" t="inlineStr">
        <is>
          <t>Medium</t>
        </is>
      </c>
      <c r="W12" s="5" t="inlineStr">
        <is>
          <t>Multi-site retailer; Core relevant category; Active website</t>
        </is>
      </c>
      <c r="X12" s="5" t="inlineStr">
        <is>
          <t>Verified directory</t>
        </is>
      </c>
      <c r="Y12" s="5" t="inlineStr">
        <is>
          <t>Website Found</t>
        </is>
      </c>
      <c r="Z12" s="5" t="inlineStr">
        <is>
          <t>Medium</t>
        </is>
      </c>
      <c r="AA12" s="5" t="inlineStr">
        <is>
          <t>Requires Verification</t>
        </is>
      </c>
      <c r="AB12" s="5" t="inlineStr">
        <is>
          <t>https://www.totallywicked-eliquid.co.uk/stores/halifax-e-cigs-e-liquid-shop</t>
        </is>
      </c>
    </row>
    <row r="13">
      <c r="A13" s="10" t="inlineStr">
        <is>
          <t>WY-0036</t>
        </is>
      </c>
      <c r="B13" s="10" t="inlineStr">
        <is>
          <t>VAPARAMA-01</t>
        </is>
      </c>
      <c r="C13" s="10" t="inlineStr">
        <is>
          <t>Vaparama</t>
        </is>
      </c>
      <c r="D13" s="10" t="inlineStr">
        <is>
          <t>Vaparama (Featherstone)</t>
        </is>
      </c>
      <c r="E13" s="10" t="inlineStr">
        <is>
          <t>Vape Shop</t>
        </is>
      </c>
      <c r="F13" s="10" t="inlineStr">
        <is>
          <t>E-liquid specialist / vape retailer</t>
        </is>
      </c>
      <c r="G13" s="10" t="inlineStr">
        <is>
          <t>Regional Chain</t>
        </is>
      </c>
      <c r="H13" s="10" t="inlineStr">
        <is>
          <t>7</t>
        </is>
      </c>
      <c r="I13" s="10" t="inlineStr">
        <is>
          <t>73-75 Station Lane</t>
        </is>
      </c>
      <c r="J13" s="10" t="inlineStr">
        <is>
          <t>Featherstone</t>
        </is>
      </c>
      <c r="K13" s="10" t="inlineStr">
        <is>
          <t>WF7 5BJ</t>
        </is>
      </c>
      <c r="L13" s="10" t="inlineStr"/>
      <c r="M13" s="10" t="inlineStr"/>
      <c r="N13" s="10" t="inlineStr">
        <is>
          <t>shop@vaparama.co.uk</t>
        </is>
      </c>
      <c r="O13" s="10" t="inlineStr">
        <is>
          <t>https://www.vaparama.co.uk</t>
        </is>
      </c>
      <c r="P13" s="10" t="inlineStr">
        <is>
          <t>https://www.facebook.com/p/Vaparama-100063743672150/</t>
        </is>
      </c>
      <c r="Q13" s="10" t="inlineStr"/>
      <c r="R13" s="10" t="inlineStr"/>
      <c r="S13" s="10" t="inlineStr"/>
      <c r="T13" s="10" t="inlineStr">
        <is>
          <t>09736212</t>
        </is>
      </c>
      <c r="U13" s="10" t="inlineStr">
        <is>
          <t>Active</t>
        </is>
      </c>
      <c r="V13" s="10" t="inlineStr">
        <is>
          <t>High</t>
        </is>
      </c>
      <c r="W13" s="10" t="inlineStr">
        <is>
          <t>Multi-site retailer; Core relevant category; Public email available; Active website; Social presence</t>
        </is>
      </c>
      <c r="X13" s="10" t="inlineStr">
        <is>
          <t>Not Found</t>
        </is>
      </c>
      <c r="Y13" s="10" t="inlineStr">
        <is>
          <t>Publicly Listed</t>
        </is>
      </c>
      <c r="Z13" s="10" t="inlineStr">
        <is>
          <t>Medium</t>
        </is>
      </c>
      <c r="AA13" s="10" t="inlineStr">
        <is>
          <t>Partially Verified</t>
        </is>
      </c>
      <c r="AB13" s="10" t="inlineStr">
        <is>
          <t>https://www.vaparama.co.uk/contact/</t>
        </is>
      </c>
    </row>
    <row r="14">
      <c r="A14" s="5" t="inlineStr">
        <is>
          <t>WY-0037</t>
        </is>
      </c>
      <c r="B14" s="5" t="inlineStr">
        <is>
          <t>VAPARAMA-02</t>
        </is>
      </c>
      <c r="C14" s="5" t="inlineStr">
        <is>
          <t>Vaparama</t>
        </is>
      </c>
      <c r="D14" s="5" t="inlineStr">
        <is>
          <t>Vaparama (Pontefract)</t>
        </is>
      </c>
      <c r="E14" s="5" t="inlineStr">
        <is>
          <t>Vape Shop</t>
        </is>
      </c>
      <c r="F14" s="5" t="inlineStr">
        <is>
          <t>E-liquid specialist / vape retailer and wholesaler</t>
        </is>
      </c>
      <c r="G14" s="5" t="inlineStr">
        <is>
          <t>Regional Chain</t>
        </is>
      </c>
      <c r="H14" s="5" t="inlineStr">
        <is>
          <t>7</t>
        </is>
      </c>
      <c r="I14" s="5" t="inlineStr">
        <is>
          <t>13 Market Place</t>
        </is>
      </c>
      <c r="J14" s="5" t="inlineStr">
        <is>
          <t>Pontefract</t>
        </is>
      </c>
      <c r="K14" s="5" t="inlineStr">
        <is>
          <t>WF8 1AG</t>
        </is>
      </c>
      <c r="L14" s="5" t="inlineStr">
        <is>
          <t>01977 277170</t>
        </is>
      </c>
      <c r="M14" s="5" t="inlineStr">
        <is>
          <t>shop@vaparama.co.uk</t>
        </is>
      </c>
      <c r="N14" s="5" t="inlineStr"/>
      <c r="O14" s="5" t="inlineStr">
        <is>
          <t>https://www.vaparama.co.uk</t>
        </is>
      </c>
      <c r="P14" s="5" t="inlineStr">
        <is>
          <t>https://www.facebook.com/p/Vaparama-100063743672150/</t>
        </is>
      </c>
      <c r="Q14" s="5" t="inlineStr"/>
      <c r="R14" s="5" t="inlineStr"/>
      <c r="S14" s="5" t="inlineStr"/>
      <c r="T14" s="5" t="inlineStr">
        <is>
          <t>09736212</t>
        </is>
      </c>
      <c r="U14" s="5" t="inlineStr">
        <is>
          <t>Active</t>
        </is>
      </c>
      <c r="V14" s="5" t="inlineStr">
        <is>
          <t>High</t>
        </is>
      </c>
      <c r="W14" s="5" t="inlineStr">
        <is>
          <t>Multi-site retailer; Core relevant category; Public email available; Active website; Social presence</t>
        </is>
      </c>
      <c r="X14" s="5" t="inlineStr">
        <is>
          <t>Verified directory</t>
        </is>
      </c>
      <c r="Y14" s="5" t="inlineStr">
        <is>
          <t>Unverified</t>
        </is>
      </c>
      <c r="Z14" s="5" t="inlineStr">
        <is>
          <t>Medium</t>
        </is>
      </c>
      <c r="AA14" s="5" t="inlineStr">
        <is>
          <t>Partially Verified</t>
        </is>
      </c>
      <c r="AB14" s="5" t="inlineStr">
        <is>
          <t>https://find-and-update.company-information.service.gov.uk/company/09736212</t>
        </is>
      </c>
    </row>
    <row r="15">
      <c r="A15" s="10" t="inlineStr">
        <is>
          <t>WY-0038</t>
        </is>
      </c>
      <c r="B15" s="10" t="inlineStr">
        <is>
          <t>VAPARAMA-03</t>
        </is>
      </c>
      <c r="C15" s="10" t="inlineStr">
        <is>
          <t>Vaparama</t>
        </is>
      </c>
      <c r="D15" s="10" t="inlineStr">
        <is>
          <t>Vaparama (Wakefield)</t>
        </is>
      </c>
      <c r="E15" s="10" t="inlineStr">
        <is>
          <t>Vape Shop</t>
        </is>
      </c>
      <c r="F15" s="10" t="inlineStr">
        <is>
          <t>E-liquid specialist / vape retailer</t>
        </is>
      </c>
      <c r="G15" s="10" t="inlineStr">
        <is>
          <t>Regional Chain</t>
        </is>
      </c>
      <c r="H15" s="10" t="inlineStr">
        <is>
          <t>7</t>
        </is>
      </c>
      <c r="I15" s="10" t="inlineStr">
        <is>
          <t>Britannia House, 31 Warrengate</t>
        </is>
      </c>
      <c r="J15" s="10" t="inlineStr">
        <is>
          <t>Wakefield</t>
        </is>
      </c>
      <c r="K15" s="10" t="inlineStr"/>
      <c r="L15" s="10" t="inlineStr"/>
      <c r="M15" s="10" t="inlineStr"/>
      <c r="N15" s="10" t="inlineStr">
        <is>
          <t>shop@vaparama.co.uk</t>
        </is>
      </c>
      <c r="O15" s="10" t="inlineStr">
        <is>
          <t>https://www.vaparama.co.uk</t>
        </is>
      </c>
      <c r="P15" s="10" t="inlineStr">
        <is>
          <t>https://www.facebook.com/p/Vaparama-100063743672150/</t>
        </is>
      </c>
      <c r="Q15" s="10" t="inlineStr"/>
      <c r="R15" s="10" t="inlineStr"/>
      <c r="S15" s="10" t="inlineStr"/>
      <c r="T15" s="10" t="inlineStr">
        <is>
          <t>09736212</t>
        </is>
      </c>
      <c r="U15" s="10" t="inlineStr">
        <is>
          <t>Active</t>
        </is>
      </c>
      <c r="V15" s="10" t="inlineStr">
        <is>
          <t>High</t>
        </is>
      </c>
      <c r="W15" s="10" t="inlineStr">
        <is>
          <t>Multi-site retailer; Core relevant category; Public email available; Active website; Social presence</t>
        </is>
      </c>
      <c r="X15" s="10" t="inlineStr">
        <is>
          <t>Not Found</t>
        </is>
      </c>
      <c r="Y15" s="10" t="inlineStr">
        <is>
          <t>Publicly Listed</t>
        </is>
      </c>
      <c r="Z15" s="10" t="inlineStr">
        <is>
          <t>Medium</t>
        </is>
      </c>
      <c r="AA15" s="10" t="inlineStr">
        <is>
          <t>Partially Verified</t>
        </is>
      </c>
      <c r="AB15" s="10" t="inlineStr">
        <is>
          <t>https://www.vaparama.co.uk/contact/</t>
        </is>
      </c>
    </row>
    <row r="16">
      <c r="A16" s="5" t="inlineStr">
        <is>
          <t>WY-0039</t>
        </is>
      </c>
      <c r="B16" s="5" t="inlineStr">
        <is>
          <t>WOWVAPE-01</t>
        </is>
      </c>
      <c r="C16" s="5" t="inlineStr">
        <is>
          <t>WOW Vape</t>
        </is>
      </c>
      <c r="D16" s="5" t="inlineStr">
        <is>
          <t>WOW Vape (Castleford)</t>
        </is>
      </c>
      <c r="E16" s="5" t="inlineStr">
        <is>
          <t>Vape Shop</t>
        </is>
      </c>
      <c r="F16" s="5" t="inlineStr">
        <is>
          <t>Vape retailer</t>
        </is>
      </c>
      <c r="G16" s="5" t="inlineStr">
        <is>
          <t>Multi-Site Independent</t>
        </is>
      </c>
      <c r="H16" s="5" t="inlineStr">
        <is>
          <t>2</t>
        </is>
      </c>
      <c r="I16" s="5" t="inlineStr">
        <is>
          <t>45 Carlton Street</t>
        </is>
      </c>
      <c r="J16" s="5" t="inlineStr">
        <is>
          <t>Castleford</t>
        </is>
      </c>
      <c r="K16" s="5" t="inlineStr">
        <is>
          <t>WF10 1BA</t>
        </is>
      </c>
      <c r="L16" s="5" t="inlineStr">
        <is>
          <t>01977 516062</t>
        </is>
      </c>
      <c r="M16" s="5" t="inlineStr"/>
      <c r="N16" s="5" t="inlineStr"/>
      <c r="O16" s="5" t="inlineStr">
        <is>
          <t>https://wow-vape.co.uk</t>
        </is>
      </c>
      <c r="P16" s="5" t="inlineStr">
        <is>
          <t>https://www.facebook.com/wowvapecas/</t>
        </is>
      </c>
      <c r="Q16" s="5" t="inlineStr">
        <is>
          <t>https://www.instagram.com/wow_vape_castleford/</t>
        </is>
      </c>
      <c r="R16" s="5" t="inlineStr"/>
      <c r="S16" s="5" t="inlineStr"/>
      <c r="T16" s="5" t="inlineStr"/>
      <c r="U16" s="5" t="inlineStr"/>
      <c r="V16" s="5" t="inlineStr">
        <is>
          <t>High</t>
        </is>
      </c>
      <c r="W16" s="5" t="inlineStr">
        <is>
          <t>Multi-site retailer; Independent retailer; Core relevant category; Active website; Social presence</t>
        </is>
      </c>
      <c r="X16" s="5" t="inlineStr">
        <is>
          <t>Verified directory</t>
        </is>
      </c>
      <c r="Y16" s="5" t="inlineStr">
        <is>
          <t>Not Found</t>
        </is>
      </c>
      <c r="Z16" s="5" t="inlineStr">
        <is>
          <t>Medium</t>
        </is>
      </c>
      <c r="AA16" s="5" t="inlineStr">
        <is>
          <t>Requires Verification</t>
        </is>
      </c>
      <c r="AB16" s="5" t="inlineStr">
        <is>
          <t>https://www.facebook.com/wowvapecas/</t>
        </is>
      </c>
    </row>
    <row r="17">
      <c r="A17" s="10" t="inlineStr">
        <is>
          <t>WY-0040</t>
        </is>
      </c>
      <c r="B17" s="10" t="inlineStr">
        <is>
          <t>WOWVAPE-02</t>
        </is>
      </c>
      <c r="C17" s="10" t="inlineStr">
        <is>
          <t>WOW Vape</t>
        </is>
      </c>
      <c r="D17" s="10" t="inlineStr">
        <is>
          <t>WOW Vape (Wakefield)</t>
        </is>
      </c>
      <c r="E17" s="10" t="inlineStr">
        <is>
          <t>Vape Shop</t>
        </is>
      </c>
      <c r="F17" s="10" t="inlineStr">
        <is>
          <t>Vape retailer</t>
        </is>
      </c>
      <c r="G17" s="10" t="inlineStr">
        <is>
          <t>Multi-Site Independent</t>
        </is>
      </c>
      <c r="H17" s="10" t="inlineStr">
        <is>
          <t>2</t>
        </is>
      </c>
      <c r="I17" s="10" t="inlineStr"/>
      <c r="J17" s="10" t="inlineStr">
        <is>
          <t>Wakefield</t>
        </is>
      </c>
      <c r="K17" s="10" t="inlineStr"/>
      <c r="L17" s="10" t="inlineStr"/>
      <c r="M17" s="10" t="inlineStr"/>
      <c r="N17" s="10" t="inlineStr"/>
      <c r="O17" s="10" t="inlineStr"/>
      <c r="P17" s="10" t="inlineStr"/>
      <c r="Q17" s="10" t="inlineStr">
        <is>
          <t>https://www.instagram.com/wowvapewakefield/</t>
        </is>
      </c>
      <c r="R17" s="10" t="inlineStr"/>
      <c r="S17" s="10" t="inlineStr"/>
      <c r="T17" s="10" t="inlineStr"/>
      <c r="U17" s="10" t="inlineStr"/>
      <c r="V17" s="10" t="inlineStr">
        <is>
          <t>High</t>
        </is>
      </c>
      <c r="W17" s="10" t="inlineStr">
        <is>
          <t>Multi-site retailer; Independent retailer; Core relevant category; Social presence</t>
        </is>
      </c>
      <c r="X17" s="10" t="inlineStr">
        <is>
          <t>Not Found</t>
        </is>
      </c>
      <c r="Y17" s="10" t="inlineStr">
        <is>
          <t>Not Found</t>
        </is>
      </c>
      <c r="Z17" s="10" t="inlineStr">
        <is>
          <t>Low</t>
        </is>
      </c>
      <c r="AA17" s="10" t="inlineStr">
        <is>
          <t>Requires Verification</t>
        </is>
      </c>
      <c r="AB17" s="10" t="inlineStr">
        <is>
          <t>https://www.instagram.com/wowvapewakefield/</t>
        </is>
      </c>
    </row>
    <row r="18">
      <c r="A18" s="5" t="inlineStr">
        <is>
          <t>WY-0041</t>
        </is>
      </c>
      <c r="B18" s="5" t="inlineStr">
        <is>
          <t>WEAREVAPES-01</t>
        </is>
      </c>
      <c r="C18" s="5" t="inlineStr">
        <is>
          <t>We Are Vapes</t>
        </is>
      </c>
      <c r="D18" s="5" t="inlineStr">
        <is>
          <t>We Are Vapes</t>
        </is>
      </c>
      <c r="E18" s="5" t="inlineStr">
        <is>
          <t>Vape Shop</t>
        </is>
      </c>
      <c r="F18" s="5" t="inlineStr">
        <is>
          <t>Vape kits, e-liquids &amp; accessories</t>
        </is>
      </c>
      <c r="G18" s="5" t="inlineStr">
        <is>
          <t>Multi-Site Independent</t>
        </is>
      </c>
      <c r="H18" s="5" t="inlineStr">
        <is>
          <t>3</t>
        </is>
      </c>
      <c r="I18" s="5" t="inlineStr">
        <is>
          <t>287 Tong Street</t>
        </is>
      </c>
      <c r="J18" s="5" t="inlineStr">
        <is>
          <t>Bradford</t>
        </is>
      </c>
      <c r="K18" s="5" t="inlineStr">
        <is>
          <t>BD4 9QJ</t>
        </is>
      </c>
      <c r="L18" s="5" t="inlineStr">
        <is>
          <t>01274 270773</t>
        </is>
      </c>
      <c r="M18" s="5" t="inlineStr"/>
      <c r="N18" s="5" t="inlineStr"/>
      <c r="O18" s="5" t="inlineStr">
        <is>
          <t>https://www.wearevapes.com/</t>
        </is>
      </c>
      <c r="P18" s="5" t="inlineStr"/>
      <c r="Q18" s="5" t="inlineStr"/>
      <c r="R18" s="5" t="inlineStr"/>
      <c r="S18" s="5" t="inlineStr"/>
      <c r="T18" s="5" t="inlineStr"/>
      <c r="U18" s="5" t="inlineStr"/>
      <c r="V18" s="5" t="inlineStr">
        <is>
          <t>High</t>
        </is>
      </c>
      <c r="W18" s="5" t="inlineStr">
        <is>
          <t>Multi-site retailer; Independent retailer; Core relevant category; Active website</t>
        </is>
      </c>
      <c r="X18" s="5" t="inlineStr">
        <is>
          <t>Verified directory</t>
        </is>
      </c>
      <c r="Y18" s="5" t="inlineStr">
        <is>
          <t>Website Found</t>
        </is>
      </c>
      <c r="Z18" s="5" t="inlineStr">
        <is>
          <t>Medium</t>
        </is>
      </c>
      <c r="AA18" s="5" t="inlineStr">
        <is>
          <t>Requires Verification</t>
        </is>
      </c>
      <c r="AB18" s="5" t="inlineStr">
        <is>
          <t>https://www.wearevapes.com/</t>
        </is>
      </c>
    </row>
    <row r="19">
      <c r="A19" s="10" t="inlineStr">
        <is>
          <t>WY-0042</t>
        </is>
      </c>
      <c r="B19" s="10" t="inlineStr">
        <is>
          <t>WEAREVAPES-02</t>
        </is>
      </c>
      <c r="C19" s="10" t="inlineStr">
        <is>
          <t>We Are Vapes</t>
        </is>
      </c>
      <c r="D19" s="10" t="inlineStr">
        <is>
          <t>We Are Vapes</t>
        </is>
      </c>
      <c r="E19" s="10" t="inlineStr">
        <is>
          <t>Vape Shop</t>
        </is>
      </c>
      <c r="F19" s="10" t="inlineStr">
        <is>
          <t>Vape kits, e-liquids &amp; accessories</t>
        </is>
      </c>
      <c r="G19" s="10" t="inlineStr">
        <is>
          <t>Multi-Site Independent</t>
        </is>
      </c>
      <c r="H19" s="10" t="inlineStr">
        <is>
          <t>3</t>
        </is>
      </c>
      <c r="I19" s="10" t="inlineStr">
        <is>
          <t>220 High Street</t>
        </is>
      </c>
      <c r="J19" s="10" t="inlineStr">
        <is>
          <t>Bradford</t>
        </is>
      </c>
      <c r="K19" s="10" t="inlineStr"/>
      <c r="L19" s="10" t="inlineStr">
        <is>
          <t>01274 634327</t>
        </is>
      </c>
      <c r="M19" s="10" t="inlineStr"/>
      <c r="N19" s="10" t="inlineStr"/>
      <c r="O19" s="10" t="inlineStr">
        <is>
          <t>https://www.wearevapes.com/</t>
        </is>
      </c>
      <c r="P19" s="10" t="inlineStr"/>
      <c r="Q19" s="10" t="inlineStr"/>
      <c r="R19" s="10" t="inlineStr"/>
      <c r="S19" s="10" t="inlineStr"/>
      <c r="T19" s="10" t="inlineStr"/>
      <c r="U19" s="10" t="inlineStr"/>
      <c r="V19" s="10" t="inlineStr">
        <is>
          <t>High</t>
        </is>
      </c>
      <c r="W19" s="10" t="inlineStr">
        <is>
          <t>Multi-site retailer; Independent retailer; Core relevant category; Active website</t>
        </is>
      </c>
      <c r="X19" s="10" t="inlineStr">
        <is>
          <t>Verified directory</t>
        </is>
      </c>
      <c r="Y19" s="10" t="inlineStr">
        <is>
          <t>Website Found</t>
        </is>
      </c>
      <c r="Z19" s="10" t="inlineStr">
        <is>
          <t>Medium</t>
        </is>
      </c>
      <c r="AA19" s="10" t="inlineStr">
        <is>
          <t>Requires Verification</t>
        </is>
      </c>
      <c r="AB19" s="10" t="inlineStr">
        <is>
          <t>https://www.wearevapes.com/</t>
        </is>
      </c>
    </row>
    <row r="20">
      <c r="A20" s="5" t="inlineStr">
        <is>
          <t>WY-0043</t>
        </is>
      </c>
      <c r="B20" s="5" t="inlineStr">
        <is>
          <t>WEAREVAPES-03</t>
        </is>
      </c>
      <c r="C20" s="5" t="inlineStr">
        <is>
          <t>We Are Vapes</t>
        </is>
      </c>
      <c r="D20" s="5" t="inlineStr">
        <is>
          <t>We Are Vapes</t>
        </is>
      </c>
      <c r="E20" s="5" t="inlineStr">
        <is>
          <t>Vape Shop</t>
        </is>
      </c>
      <c r="F20" s="5" t="inlineStr">
        <is>
          <t>Vape kits, e-liquids &amp; accessories</t>
        </is>
      </c>
      <c r="G20" s="5" t="inlineStr">
        <is>
          <t>Multi-Site Independent</t>
        </is>
      </c>
      <c r="H20" s="5" t="inlineStr">
        <is>
          <t>3</t>
        </is>
      </c>
      <c r="I20" s="5" t="inlineStr">
        <is>
          <t>446 Killinghall Road</t>
        </is>
      </c>
      <c r="J20" s="5" t="inlineStr">
        <is>
          <t>Bradford</t>
        </is>
      </c>
      <c r="K20" s="5" t="inlineStr"/>
      <c r="L20" s="5" t="inlineStr"/>
      <c r="M20" s="5" t="inlineStr"/>
      <c r="N20" s="5" t="inlineStr"/>
      <c r="O20" s="5" t="inlineStr">
        <is>
          <t>https://www.wearevapes.com/</t>
        </is>
      </c>
      <c r="P20" s="5" t="inlineStr"/>
      <c r="Q20" s="5" t="inlineStr"/>
      <c r="R20" s="5" t="inlineStr"/>
      <c r="S20" s="5" t="inlineStr"/>
      <c r="T20" s="5" t="inlineStr"/>
      <c r="U20" s="5" t="inlineStr"/>
      <c r="V20" s="5" t="inlineStr">
        <is>
          <t>High</t>
        </is>
      </c>
      <c r="W20" s="5" t="inlineStr">
        <is>
          <t>Multi-site retailer; Independent retailer; Core relevant category; Active website</t>
        </is>
      </c>
      <c r="X20" s="5" t="inlineStr">
        <is>
          <t>Not Found</t>
        </is>
      </c>
      <c r="Y20" s="5" t="inlineStr">
        <is>
          <t>Website Found</t>
        </is>
      </c>
      <c r="Z20" s="5" t="inlineStr">
        <is>
          <t>Low</t>
        </is>
      </c>
      <c r="AA20" s="5" t="inlineStr">
        <is>
          <t>Requires Verification</t>
        </is>
      </c>
      <c r="AB20" s="5" t="inlineStr">
        <is>
          <t>https://www.wearevapes.com/</t>
        </is>
      </c>
    </row>
    <row r="21">
      <c r="A21" s="10" t="inlineStr">
        <is>
          <t>WY-0053</t>
        </is>
      </c>
      <c r="B21" s="10" t="inlineStr">
        <is>
          <t>WY-0053-01</t>
        </is>
      </c>
      <c r="C21" s="10" t="inlineStr"/>
      <c r="D21" s="10" t="inlineStr">
        <is>
          <t>Azeem's Vape Shop</t>
        </is>
      </c>
      <c r="E21" s="10" t="inlineStr">
        <is>
          <t>Vape Shop</t>
        </is>
      </c>
      <c r="F21" s="10" t="inlineStr">
        <is>
          <t>Vape shop with CBD, e-liquids, drinks</t>
        </is>
      </c>
      <c r="G21" s="10" t="inlineStr">
        <is>
          <t>Independent</t>
        </is>
      </c>
      <c r="H21" s="10" t="inlineStr">
        <is>
          <t>1</t>
        </is>
      </c>
      <c r="I21" s="10" t="inlineStr">
        <is>
          <t>130 Lawkholme Lane</t>
        </is>
      </c>
      <c r="J21" s="10" t="inlineStr">
        <is>
          <t>Keighley</t>
        </is>
      </c>
      <c r="K21" s="10" t="inlineStr">
        <is>
          <t>BD21 3LU</t>
        </is>
      </c>
      <c r="L21" s="10" t="inlineStr">
        <is>
          <t>01535 213920</t>
        </is>
      </c>
      <c r="M21" s="10" t="inlineStr">
        <is>
          <t>info@azeemsvapeshop.co.uk</t>
        </is>
      </c>
      <c r="N21" s="10" t="inlineStr"/>
      <c r="O21" s="10" t="inlineStr">
        <is>
          <t>https://azeemsvapeshop.co.uk/</t>
        </is>
      </c>
      <c r="P21" s="10" t="inlineStr">
        <is>
          <t>https://www.facebook.com/azeemskeighley1/</t>
        </is>
      </c>
      <c r="Q21" s="10" t="inlineStr">
        <is>
          <t>https://www.instagram.com/azeems_vape_shop/</t>
        </is>
      </c>
      <c r="R21" s="10" t="inlineStr"/>
      <c r="S21" s="10" t="inlineStr"/>
      <c r="T21" s="10" t="inlineStr">
        <is>
          <t>13574720</t>
        </is>
      </c>
      <c r="U21" s="10" t="inlineStr">
        <is>
          <t>Dissolved</t>
        </is>
      </c>
      <c r="V21" s="10" t="inlineStr">
        <is>
          <t>High</t>
        </is>
      </c>
      <c r="W21" s="10" t="inlineStr">
        <is>
          <t>Independent retailer; Core relevant category; Public email available; Active website; Social presence</t>
        </is>
      </c>
      <c r="X21" s="10" t="inlineStr">
        <is>
          <t>Verified directory</t>
        </is>
      </c>
      <c r="Y21" s="10" t="inlineStr">
        <is>
          <t>Website Found</t>
        </is>
      </c>
      <c r="Z21" s="10" t="inlineStr">
        <is>
          <t>Medium</t>
        </is>
      </c>
      <c r="AA21" s="10" t="inlineStr">
        <is>
          <t>Partially Verified</t>
        </is>
      </c>
      <c r="AB21" s="10" t="inlineStr">
        <is>
          <t>https://azeemsvapeshop.co.uk/contact/</t>
        </is>
      </c>
    </row>
    <row r="22">
      <c r="A22" s="5" t="inlineStr">
        <is>
          <t>WY-0054</t>
        </is>
      </c>
      <c r="B22" s="5" t="inlineStr">
        <is>
          <t>WY-0054-01</t>
        </is>
      </c>
      <c r="C22" s="5" t="inlineStr"/>
      <c r="D22" s="5" t="inlineStr">
        <is>
          <t>Azeem's Vape Shop</t>
        </is>
      </c>
      <c r="E22" s="5" t="inlineStr">
        <is>
          <t>Vape Shop</t>
        </is>
      </c>
      <c r="F22" s="5" t="inlineStr"/>
      <c r="G22" s="5" t="inlineStr">
        <is>
          <t>Independent</t>
        </is>
      </c>
      <c r="H22" s="5" t="inlineStr">
        <is>
          <t>1</t>
        </is>
      </c>
      <c r="I22" s="5" t="inlineStr"/>
      <c r="J22" s="5" t="inlineStr">
        <is>
          <t>Todmorden</t>
        </is>
      </c>
      <c r="K22" s="5" t="inlineStr"/>
      <c r="L22" s="5" t="inlineStr"/>
      <c r="M22" s="5" t="inlineStr"/>
      <c r="N22" s="5" t="inlineStr"/>
      <c r="O22" s="5" t="inlineStr"/>
      <c r="P22" s="5" t="inlineStr"/>
      <c r="Q22" s="5" t="inlineStr"/>
      <c r="R22" s="5" t="inlineStr"/>
      <c r="S22" s="5" t="inlineStr"/>
      <c r="T22" s="5" t="inlineStr"/>
      <c r="U22" s="5" t="inlineStr"/>
      <c r="V22" s="5" t="inlineStr">
        <is>
          <t>Medium</t>
        </is>
      </c>
      <c r="W22" s="5" t="inlineStr">
        <is>
          <t>Independent retailer; Core relevant category</t>
        </is>
      </c>
      <c r="X22" s="5" t="inlineStr">
        <is>
          <t>Not Found</t>
        </is>
      </c>
      <c r="Y22" s="5" t="inlineStr">
        <is>
          <t>Not Found</t>
        </is>
      </c>
      <c r="Z22" s="5" t="inlineStr">
        <is>
          <t>Low</t>
        </is>
      </c>
      <c r="AA22" s="5" t="inlineStr">
        <is>
          <t>Requires Verification</t>
        </is>
      </c>
      <c r="AB22" s="5" t="inlineStr">
        <is>
          <t>https://tobaccoshops.co.uk/05958051/Azeem%E2%80%99s_vape_shop</t>
        </is>
      </c>
    </row>
    <row r="23">
      <c r="A23" s="10" t="inlineStr">
        <is>
          <t>WY-0064</t>
        </is>
      </c>
      <c r="B23" s="10" t="inlineStr">
        <is>
          <t>WY-0064-01</t>
        </is>
      </c>
      <c r="C23" s="10" t="inlineStr"/>
      <c r="D23" s="10" t="inlineStr">
        <is>
          <t>Big D Vapes</t>
        </is>
      </c>
      <c r="E23" s="10" t="inlineStr">
        <is>
          <t>Vape Shop</t>
        </is>
      </c>
      <c r="F23" s="10" t="inlineStr">
        <is>
          <t>Vape shop and dry herb vape lounge</t>
        </is>
      </c>
      <c r="G23" s="10" t="inlineStr">
        <is>
          <t>Independent</t>
        </is>
      </c>
      <c r="H23" s="10" t="inlineStr">
        <is>
          <t>1</t>
        </is>
      </c>
      <c r="I23" s="10" t="inlineStr">
        <is>
          <t>1139 Manchester Road</t>
        </is>
      </c>
      <c r="J23" s="10" t="inlineStr">
        <is>
          <t>Slaithwaite</t>
        </is>
      </c>
      <c r="K23" s="10" t="inlineStr">
        <is>
          <t>HD7 5LU</t>
        </is>
      </c>
      <c r="L23" s="10" t="inlineStr">
        <is>
          <t>01484 843253</t>
        </is>
      </c>
      <c r="M23" s="10" t="inlineStr"/>
      <c r="N23" s="10" t="inlineStr"/>
      <c r="O23" s="10" t="inlineStr"/>
      <c r="P23" s="10" t="inlineStr">
        <is>
          <t>https://www.facebook.com/BigDVapesSlaithwaite</t>
        </is>
      </c>
      <c r="Q23" s="10" t="inlineStr"/>
      <c r="R23" s="10" t="inlineStr"/>
      <c r="S23" s="10" t="inlineStr"/>
      <c r="T23" s="10" t="inlineStr">
        <is>
          <t>12029439</t>
        </is>
      </c>
      <c r="U23" s="10" t="inlineStr"/>
      <c r="V23" s="10" t="inlineStr">
        <is>
          <t>Medium</t>
        </is>
      </c>
      <c r="W23" s="10" t="inlineStr">
        <is>
          <t>Independent retailer; Core relevant category; Social presence</t>
        </is>
      </c>
      <c r="X23" s="10" t="inlineStr">
        <is>
          <t>Verified directory</t>
        </is>
      </c>
      <c r="Y23" s="10" t="inlineStr">
        <is>
          <t>Not Found</t>
        </is>
      </c>
      <c r="Z23" s="10" t="inlineStr">
        <is>
          <t>Medium</t>
        </is>
      </c>
      <c r="AA23" s="10" t="inlineStr">
        <is>
          <t>Requires Verification</t>
        </is>
      </c>
      <c r="AB23" s="10" t="inlineStr">
        <is>
          <t>https://find-and-update.company-information.service.gov.uk/company/12029439</t>
        </is>
      </c>
    </row>
    <row r="24">
      <c r="A24" s="5" t="inlineStr">
        <is>
          <t>WY-0065</t>
        </is>
      </c>
      <c r="B24" s="5" t="inlineStr">
        <is>
          <t>WY-0065-01</t>
        </is>
      </c>
      <c r="C24" s="5" t="inlineStr"/>
      <c r="D24" s="5" t="inlineStr">
        <is>
          <t>Bingley Vape Shop</t>
        </is>
      </c>
      <c r="E24" s="5" t="inlineStr">
        <is>
          <t>Vape Shop</t>
        </is>
      </c>
      <c r="F24" s="5" t="inlineStr">
        <is>
          <t>Vape shop, e-cigs, smoking accessories, phone cases</t>
        </is>
      </c>
      <c r="G24" s="5" t="inlineStr">
        <is>
          <t>Independent</t>
        </is>
      </c>
      <c r="H24" s="5" t="inlineStr">
        <is>
          <t>1</t>
        </is>
      </c>
      <c r="I24" s="5" t="inlineStr">
        <is>
          <t>67-69 Main Street</t>
        </is>
      </c>
      <c r="J24" s="5" t="inlineStr">
        <is>
          <t>Bingley</t>
        </is>
      </c>
      <c r="K24" s="5" t="inlineStr">
        <is>
          <t>BD16 2JA</t>
        </is>
      </c>
      <c r="L24" s="5" t="inlineStr">
        <is>
          <t>01535 213290</t>
        </is>
      </c>
      <c r="M24" s="5" t="inlineStr"/>
      <c r="N24" s="5" t="inlineStr"/>
      <c r="O24" s="5" t="inlineStr"/>
      <c r="P24" s="5" t="inlineStr">
        <is>
          <t>https://www.facebook.com/BingleyVapeShop/</t>
        </is>
      </c>
      <c r="Q24" s="5" t="inlineStr"/>
      <c r="R24" s="5" t="inlineStr"/>
      <c r="S24" s="5" t="inlineStr"/>
      <c r="T24" s="5" t="inlineStr">
        <is>
          <t>11788618</t>
        </is>
      </c>
      <c r="U24" s="5" t="inlineStr"/>
      <c r="V24" s="5" t="inlineStr">
        <is>
          <t>Medium</t>
        </is>
      </c>
      <c r="W24" s="5" t="inlineStr">
        <is>
          <t>Independent retailer; Core relevant category; Social presence</t>
        </is>
      </c>
      <c r="X24" s="5" t="inlineStr">
        <is>
          <t>Unverified</t>
        </is>
      </c>
      <c r="Y24" s="5" t="inlineStr">
        <is>
          <t>Not Found</t>
        </is>
      </c>
      <c r="Z24" s="5" t="inlineStr">
        <is>
          <t>Medium</t>
        </is>
      </c>
      <c r="AA24" s="5" t="inlineStr">
        <is>
          <t>Partially Verified</t>
        </is>
      </c>
      <c r="AB24" s="5" t="inlineStr">
        <is>
          <t>https://find-and-update.company-information.service.gov.uk/company/11788618</t>
        </is>
      </c>
    </row>
    <row r="25">
      <c r="A25" s="10" t="inlineStr">
        <is>
          <t>WY-0078</t>
        </is>
      </c>
      <c r="B25" s="10" t="inlineStr">
        <is>
          <t>WY-0078-01</t>
        </is>
      </c>
      <c r="C25" s="10" t="inlineStr"/>
      <c r="D25" s="10" t="inlineStr">
        <is>
          <t>Crazycloudzzz</t>
        </is>
      </c>
      <c r="E25" s="10" t="inlineStr">
        <is>
          <t>Vape Shop</t>
        </is>
      </c>
      <c r="F25" s="10" t="inlineStr"/>
      <c r="G25" s="10" t="inlineStr">
        <is>
          <t>Independent</t>
        </is>
      </c>
      <c r="H25" s="10" t="inlineStr">
        <is>
          <t>1</t>
        </is>
      </c>
      <c r="I25" s="10" t="inlineStr">
        <is>
          <t>20 Bull Green</t>
        </is>
      </c>
      <c r="J25" s="10" t="inlineStr">
        <is>
          <t>Halifax</t>
        </is>
      </c>
      <c r="K25" s="10" t="inlineStr">
        <is>
          <t>HX1 5AB</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Independent retailer; Core relevant category</t>
        </is>
      </c>
      <c r="X25" s="10" t="inlineStr">
        <is>
          <t>Not Found</t>
        </is>
      </c>
      <c r="Y25" s="10" t="inlineStr">
        <is>
          <t>Not Found</t>
        </is>
      </c>
      <c r="Z25" s="10" t="inlineStr">
        <is>
          <t>Low</t>
        </is>
      </c>
      <c r="AA25" s="10" t="inlineStr">
        <is>
          <t>Requires Verification</t>
        </is>
      </c>
      <c r="AB25" s="10" t="inlineStr">
        <is>
          <t>https://www.yell.com/s/tobacconists-halifax.html</t>
        </is>
      </c>
    </row>
    <row r="26">
      <c r="A26" s="5" t="inlineStr">
        <is>
          <t>WY-0081</t>
        </is>
      </c>
      <c r="B26" s="5" t="inlineStr">
        <is>
          <t>WY-0081-01</t>
        </is>
      </c>
      <c r="C26" s="5" t="inlineStr"/>
      <c r="D26" s="5" t="inlineStr">
        <is>
          <t>ECigarette Outlet</t>
        </is>
      </c>
      <c r="E26" s="5" t="inlineStr">
        <is>
          <t>Vape Shop</t>
        </is>
      </c>
      <c r="F26" s="5" t="inlineStr">
        <is>
          <t>E-cigarette retailer</t>
        </is>
      </c>
      <c r="G26" s="5" t="inlineStr">
        <is>
          <t>Independent</t>
        </is>
      </c>
      <c r="H26" s="5" t="inlineStr">
        <is>
          <t>1</t>
        </is>
      </c>
      <c r="I26" s="5" t="inlineStr">
        <is>
          <t>27 Kirkgate</t>
        </is>
      </c>
      <c r="J26" s="5" t="inlineStr">
        <is>
          <t>Shipley</t>
        </is>
      </c>
      <c r="K26" s="5" t="inlineStr">
        <is>
          <t>BD18 3QW</t>
        </is>
      </c>
      <c r="L26" s="5" t="inlineStr"/>
      <c r="M26" s="5" t="inlineStr"/>
      <c r="N26" s="5" t="inlineStr"/>
      <c r="O26" s="5" t="inlineStr"/>
      <c r="P26" s="5" t="inlineStr"/>
      <c r="Q26" s="5" t="inlineStr"/>
      <c r="R26" s="5" t="inlineStr"/>
      <c r="S26" s="5" t="inlineStr"/>
      <c r="T26" s="5" t="inlineStr"/>
      <c r="U26" s="5" t="inlineStr"/>
      <c r="V26" s="5" t="inlineStr">
        <is>
          <t>Medium</t>
        </is>
      </c>
      <c r="W26" s="5" t="inlineStr">
        <is>
          <t>Independent retailer; Core relevant category</t>
        </is>
      </c>
      <c r="X26" s="5" t="inlineStr">
        <is>
          <t>Not Found</t>
        </is>
      </c>
      <c r="Y26" s="5" t="inlineStr">
        <is>
          <t>Not Found</t>
        </is>
      </c>
      <c r="Z26" s="5" t="inlineStr">
        <is>
          <t>Medium</t>
        </is>
      </c>
      <c r="AA26" s="5" t="inlineStr">
        <is>
          <t>Requires Verification</t>
        </is>
      </c>
      <c r="AB26" s="5" t="inlineStr">
        <is>
          <t>https://ecigdirectory.co.uk/vape-shop/listing/ecigarette-outlet-shipley</t>
        </is>
      </c>
    </row>
    <row r="27">
      <c r="A27" s="10" t="inlineStr">
        <is>
          <t>WY-0082</t>
        </is>
      </c>
      <c r="B27" s="10" t="inlineStr">
        <is>
          <t>WY-0082-01</t>
        </is>
      </c>
      <c r="C27" s="10" t="inlineStr"/>
      <c r="D27" s="10" t="inlineStr">
        <is>
          <t>Ecig N Vape</t>
        </is>
      </c>
      <c r="E27" s="10" t="inlineStr">
        <is>
          <t>Vape Shop</t>
        </is>
      </c>
      <c r="F27" s="10" t="inlineStr">
        <is>
          <t>Vape retailer</t>
        </is>
      </c>
      <c r="G27" s="10" t="inlineStr">
        <is>
          <t>Independent</t>
        </is>
      </c>
      <c r="H27" s="10" t="inlineStr">
        <is>
          <t>1</t>
        </is>
      </c>
      <c r="I27" s="10" t="inlineStr">
        <is>
          <t>49 Market Street</t>
        </is>
      </c>
      <c r="J27" s="10" t="inlineStr">
        <is>
          <t>Heckmondwike</t>
        </is>
      </c>
      <c r="K27" s="10" t="inlineStr">
        <is>
          <t>WF16 0EU</t>
        </is>
      </c>
      <c r="L27" s="10" t="inlineStr">
        <is>
          <t>01924 402342</t>
        </is>
      </c>
      <c r="M27" s="10" t="inlineStr"/>
      <c r="N27" s="10" t="inlineStr"/>
      <c r="O27" s="10" t="inlineStr"/>
      <c r="P27" s="10" t="inlineStr"/>
      <c r="Q27" s="10" t="inlineStr"/>
      <c r="R27" s="10" t="inlineStr"/>
      <c r="S27" s="10" t="inlineStr"/>
      <c r="T27" s="10" t="inlineStr"/>
      <c r="U27" s="10" t="inlineStr"/>
      <c r="V27" s="10" t="inlineStr">
        <is>
          <t>Medium</t>
        </is>
      </c>
      <c r="W27" s="10" t="inlineStr">
        <is>
          <t>Independent retailer; Core relevant category</t>
        </is>
      </c>
      <c r="X27" s="10" t="inlineStr">
        <is>
          <t>Verified directory</t>
        </is>
      </c>
      <c r="Y27" s="10" t="inlineStr">
        <is>
          <t>Not Found</t>
        </is>
      </c>
      <c r="Z27" s="10" t="inlineStr">
        <is>
          <t>Medium</t>
        </is>
      </c>
      <c r="AA27" s="10" t="inlineStr">
        <is>
          <t>Requires Verification</t>
        </is>
      </c>
      <c r="AB27" s="10" t="inlineStr">
        <is>
          <t>https://heckmondwike.cylex-uk.co.uk/company/ecig-n-vape-26993170.html</t>
        </is>
      </c>
    </row>
    <row r="28">
      <c r="A28" s="5" t="inlineStr">
        <is>
          <t>WY-0083</t>
        </is>
      </c>
      <c r="B28" s="5" t="inlineStr">
        <is>
          <t>WY-0083-01</t>
        </is>
      </c>
      <c r="C28" s="5" t="inlineStr"/>
      <c r="D28" s="5" t="inlineStr">
        <is>
          <t>Emporium Vapez</t>
        </is>
      </c>
      <c r="E28" s="5" t="inlineStr">
        <is>
          <t>Vape Shop</t>
        </is>
      </c>
      <c r="F28" s="5" t="inlineStr">
        <is>
          <t>Vape retailer</t>
        </is>
      </c>
      <c r="G28" s="5" t="inlineStr">
        <is>
          <t>Independent</t>
        </is>
      </c>
      <c r="H28" s="5" t="inlineStr">
        <is>
          <t>1</t>
        </is>
      </c>
      <c r="I28" s="5" t="inlineStr">
        <is>
          <t>21 Crackenedge Lane</t>
        </is>
      </c>
      <c r="J28" s="5" t="inlineStr">
        <is>
          <t>Dewsbury</t>
        </is>
      </c>
      <c r="K28" s="5" t="inlineStr">
        <is>
          <t>WF13 1PU</t>
        </is>
      </c>
      <c r="L28" s="5" t="inlineStr">
        <is>
          <t>07375 706970</t>
        </is>
      </c>
      <c r="M28" s="5" t="inlineStr"/>
      <c r="N28" s="5" t="inlineStr"/>
      <c r="O28" s="5" t="inlineStr"/>
      <c r="P28" s="5" t="inlineStr"/>
      <c r="Q28" s="5" t="inlineStr"/>
      <c r="R28" s="5" t="inlineStr"/>
      <c r="S28" s="5" t="inlineStr"/>
      <c r="T28" s="5" t="inlineStr"/>
      <c r="U28" s="5" t="inlineStr"/>
      <c r="V28" s="5" t="inlineStr">
        <is>
          <t>Medium</t>
        </is>
      </c>
      <c r="W28" s="5" t="inlineStr">
        <is>
          <t>Independent retailer; Core relevant category</t>
        </is>
      </c>
      <c r="X28" s="5" t="inlineStr">
        <is>
          <t>Verified directory</t>
        </is>
      </c>
      <c r="Y28" s="5" t="inlineStr">
        <is>
          <t>Not Found</t>
        </is>
      </c>
      <c r="Z28" s="5" t="inlineStr">
        <is>
          <t>Medium</t>
        </is>
      </c>
      <c r="AA28" s="5" t="inlineStr">
        <is>
          <t>Requires Verification</t>
        </is>
      </c>
      <c r="AB28" s="5" t="inlineStr">
        <is>
          <t>https://www.yelp.com/biz/emporium-vapez-dewsbury</t>
        </is>
      </c>
    </row>
    <row r="29">
      <c r="A29" s="10" t="inlineStr">
        <is>
          <t>WY-0085</t>
        </is>
      </c>
      <c r="B29" s="10" t="inlineStr">
        <is>
          <t>WY-0085-01</t>
        </is>
      </c>
      <c r="C29" s="10" t="inlineStr"/>
      <c r="D29" s="10" t="inlineStr">
        <is>
          <t>Forever Vapes</t>
        </is>
      </c>
      <c r="E29" s="10" t="inlineStr">
        <is>
          <t>Vape Shop</t>
        </is>
      </c>
      <c r="F29" s="10" t="inlineStr">
        <is>
          <t>Vape retailer</t>
        </is>
      </c>
      <c r="G29" s="10" t="inlineStr">
        <is>
          <t>Independent</t>
        </is>
      </c>
      <c r="H29" s="10" t="inlineStr">
        <is>
          <t>1</t>
        </is>
      </c>
      <c r="I29" s="10" t="inlineStr">
        <is>
          <t>Market Street</t>
        </is>
      </c>
      <c r="J29" s="10" t="inlineStr">
        <is>
          <t>Heckmondwike</t>
        </is>
      </c>
      <c r="K29" s="10" t="inlineStr">
        <is>
          <t>WF16 0JU</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Independent retailer; Core relevant category</t>
        </is>
      </c>
      <c r="X29" s="10" t="inlineStr">
        <is>
          <t>Not Found</t>
        </is>
      </c>
      <c r="Y29" s="10" t="inlineStr">
        <is>
          <t>Not Found</t>
        </is>
      </c>
      <c r="Z29" s="10" t="inlineStr">
        <is>
          <t>Low</t>
        </is>
      </c>
      <c r="AA29" s="10" t="inlineStr">
        <is>
          <t>Requires Verification</t>
        </is>
      </c>
      <c r="AB29" s="10" t="inlineStr">
        <is>
          <t>https://vapeshops.puffingbird.com/yorkshire-and-the-humber/heckmondwike/forever-vapes-ltd</t>
        </is>
      </c>
    </row>
    <row r="30">
      <c r="A30" s="5" t="inlineStr">
        <is>
          <t>WY-0088</t>
        </is>
      </c>
      <c r="B30" s="5" t="inlineStr">
        <is>
          <t>WY-0088-01</t>
        </is>
      </c>
      <c r="C30" s="5" t="inlineStr"/>
      <c r="D30" s="5" t="inlineStr">
        <is>
          <t>Get Plugged</t>
        </is>
      </c>
      <c r="E30" s="5" t="inlineStr">
        <is>
          <t>Vape Shop</t>
        </is>
      </c>
      <c r="F30" s="5" t="inlineStr">
        <is>
          <t>Vape shop and convenience snacks</t>
        </is>
      </c>
      <c r="G30" s="5" t="inlineStr">
        <is>
          <t>Independent</t>
        </is>
      </c>
      <c r="H30" s="5" t="inlineStr">
        <is>
          <t>1</t>
        </is>
      </c>
      <c r="I30" s="5" t="inlineStr">
        <is>
          <t>Bradford Road</t>
        </is>
      </c>
      <c r="J30" s="5" t="inlineStr">
        <is>
          <t>Huddersfield</t>
        </is>
      </c>
      <c r="K30" s="5" t="inlineStr"/>
      <c r="L30" s="5" t="inlineStr"/>
      <c r="M30" s="5" t="inlineStr"/>
      <c r="N30" s="5" t="inlineStr"/>
      <c r="O30" s="5" t="inlineStr">
        <is>
          <t>https://getplugged.co.uk/</t>
        </is>
      </c>
      <c r="P30" s="5" t="inlineStr">
        <is>
          <t>https://www.facebook.com/p/Get-Plugged-61559687350403/</t>
        </is>
      </c>
      <c r="Q30" s="5" t="inlineStr"/>
      <c r="R30" s="5" t="inlineStr"/>
      <c r="S30" s="5" t="inlineStr"/>
      <c r="T30" s="5" t="inlineStr"/>
      <c r="U30" s="5" t="inlineStr"/>
      <c r="V30" s="5" t="inlineStr">
        <is>
          <t>Medium</t>
        </is>
      </c>
      <c r="W30" s="5" t="inlineStr">
        <is>
          <t>Independent retailer; Core relevant category; Active website; Social presence</t>
        </is>
      </c>
      <c r="X30" s="5" t="inlineStr">
        <is>
          <t>Not Found</t>
        </is>
      </c>
      <c r="Y30" s="5" t="inlineStr">
        <is>
          <t>Website Found</t>
        </is>
      </c>
      <c r="Z30" s="5" t="inlineStr">
        <is>
          <t>Medium</t>
        </is>
      </c>
      <c r="AA30" s="5" t="inlineStr">
        <is>
          <t>Requires Verification</t>
        </is>
      </c>
      <c r="AB30" s="5" t="inlineStr">
        <is>
          <t>https://getplugged.co.uk/</t>
        </is>
      </c>
    </row>
    <row r="31">
      <c r="A31" s="10" t="inlineStr">
        <is>
          <t>WY-0097</t>
        </is>
      </c>
      <c r="B31" s="10" t="inlineStr">
        <is>
          <t>WY-0097-01</t>
        </is>
      </c>
      <c r="C31" s="10" t="inlineStr"/>
      <c r="D31" s="10" t="inlineStr">
        <is>
          <t>House of Vapour</t>
        </is>
      </c>
      <c r="E31" s="10" t="inlineStr">
        <is>
          <t>Vape Shop</t>
        </is>
      </c>
      <c r="F31" s="10" t="inlineStr">
        <is>
          <t>Premium e-cigarette products</t>
        </is>
      </c>
      <c r="G31" s="10" t="inlineStr">
        <is>
          <t>Independent</t>
        </is>
      </c>
      <c r="H31" s="10" t="inlineStr">
        <is>
          <t>1</t>
        </is>
      </c>
      <c r="I31" s="10" t="inlineStr">
        <is>
          <t>Barnsley Road</t>
        </is>
      </c>
      <c r="J31" s="10" t="inlineStr">
        <is>
          <t>South Elmsall</t>
        </is>
      </c>
      <c r="K31" s="10" t="inlineStr">
        <is>
          <t>WF9 2AL</t>
        </is>
      </c>
      <c r="L31" s="10" t="inlineStr">
        <is>
          <t>01977 647969</t>
        </is>
      </c>
      <c r="M31" s="10" t="inlineStr"/>
      <c r="N31" s="10" t="inlineStr"/>
      <c r="O31" s="10" t="inlineStr">
        <is>
          <t>https://www.houseofvapour.net</t>
        </is>
      </c>
      <c r="P31" s="10" t="inlineStr"/>
      <c r="Q31" s="10" t="inlineStr"/>
      <c r="R31" s="10" t="inlineStr"/>
      <c r="S31" s="10" t="inlineStr"/>
      <c r="T31" s="10" t="inlineStr"/>
      <c r="U31" s="10" t="inlineStr"/>
      <c r="V31" s="10" t="inlineStr">
        <is>
          <t>Medium</t>
        </is>
      </c>
      <c r="W31" s="10" t="inlineStr">
        <is>
          <t>Independent retailer; Core relevant category; Active website</t>
        </is>
      </c>
      <c r="X31" s="10" t="inlineStr">
        <is>
          <t>Verified directory</t>
        </is>
      </c>
      <c r="Y31" s="10" t="inlineStr">
        <is>
          <t>Website Found</t>
        </is>
      </c>
      <c r="Z31" s="10" t="inlineStr">
        <is>
          <t>Medium</t>
        </is>
      </c>
      <c r="AA31" s="10" t="inlineStr">
        <is>
          <t>Requires Verification</t>
        </is>
      </c>
      <c r="AB31" s="10" t="inlineStr">
        <is>
          <t>https://www.houseofvapour.net/</t>
        </is>
      </c>
    </row>
    <row r="32">
      <c r="A32" s="5" t="inlineStr">
        <is>
          <t>WY-0110</t>
        </is>
      </c>
      <c r="B32" s="5" t="inlineStr">
        <is>
          <t>WY-0110-01</t>
        </is>
      </c>
      <c r="C32" s="5" t="inlineStr"/>
      <c r="D32" s="5" t="inlineStr">
        <is>
          <t>Liquid Mafia The King of Vapes</t>
        </is>
      </c>
      <c r="E32" s="5" t="inlineStr">
        <is>
          <t>Vape Shop</t>
        </is>
      </c>
      <c r="F32" s="5" t="inlineStr">
        <is>
          <t>Vape retailer</t>
        </is>
      </c>
      <c r="G32" s="5" t="inlineStr">
        <is>
          <t>Independent</t>
        </is>
      </c>
      <c r="H32" s="5" t="inlineStr">
        <is>
          <t>1</t>
        </is>
      </c>
      <c r="I32" s="5" t="inlineStr">
        <is>
          <t>506 Huddersfield Road</t>
        </is>
      </c>
      <c r="J32" s="5" t="inlineStr">
        <is>
          <t>Dewsbury</t>
        </is>
      </c>
      <c r="K32" s="5" t="inlineStr">
        <is>
          <t>WF13 3ET</t>
        </is>
      </c>
      <c r="L32" s="5" t="inlineStr">
        <is>
          <t>07512 340800</t>
        </is>
      </c>
      <c r="M32" s="5" t="inlineStr"/>
      <c r="N32" s="5" t="inlineStr"/>
      <c r="O32" s="5" t="inlineStr"/>
      <c r="P32" s="5" t="inlineStr"/>
      <c r="Q32" s="5" t="inlineStr">
        <is>
          <t>https://www.instagram.com/liquidmafiaofficial/</t>
        </is>
      </c>
      <c r="R32" s="5" t="inlineStr"/>
      <c r="S32" s="5" t="inlineStr"/>
      <c r="T32" s="5" t="inlineStr"/>
      <c r="U32" s="5" t="inlineStr"/>
      <c r="V32" s="5" t="inlineStr">
        <is>
          <t>Medium</t>
        </is>
      </c>
      <c r="W32" s="5" t="inlineStr">
        <is>
          <t>Independent retailer; Core relevant category; Social presence</t>
        </is>
      </c>
      <c r="X32" s="5" t="inlineStr">
        <is>
          <t>Verified directory</t>
        </is>
      </c>
      <c r="Y32" s="5" t="inlineStr">
        <is>
          <t>Not Found</t>
        </is>
      </c>
      <c r="Z32" s="5" t="inlineStr">
        <is>
          <t>Medium</t>
        </is>
      </c>
      <c r="AA32" s="5" t="inlineStr">
        <is>
          <t>Requires Verification</t>
        </is>
      </c>
      <c r="AB32" s="5" t="inlineStr">
        <is>
          <t>https://www.instagram.com/liquidmafiaofficial/</t>
        </is>
      </c>
    </row>
    <row r="33">
      <c r="A33" s="10" t="inlineStr">
        <is>
          <t>WY-0121</t>
        </is>
      </c>
      <c r="B33" s="10" t="inlineStr">
        <is>
          <t>WY-0121-01</t>
        </is>
      </c>
      <c r="C33" s="10" t="inlineStr"/>
      <c r="D33" s="10" t="inlineStr">
        <is>
          <t>Mister Motivaper</t>
        </is>
      </c>
      <c r="E33" s="10" t="inlineStr">
        <is>
          <t>Vape Shop</t>
        </is>
      </c>
      <c r="F33" s="10" t="inlineStr">
        <is>
          <t>Vape retailer</t>
        </is>
      </c>
      <c r="G33" s="10" t="inlineStr">
        <is>
          <t>Independent</t>
        </is>
      </c>
      <c r="H33" s="10" t="inlineStr">
        <is>
          <t>1</t>
        </is>
      </c>
      <c r="I33" s="10" t="inlineStr">
        <is>
          <t>7 Horse Fair</t>
        </is>
      </c>
      <c r="J33" s="10" t="inlineStr">
        <is>
          <t>Pontefract</t>
        </is>
      </c>
      <c r="K33" s="10" t="inlineStr"/>
      <c r="L33" s="10" t="inlineStr">
        <is>
          <t>01274 987430</t>
        </is>
      </c>
      <c r="M33" s="10" t="inlineStr"/>
      <c r="N33" s="10" t="inlineStr"/>
      <c r="O33" s="10" t="inlineStr"/>
      <c r="P33" s="10" t="inlineStr"/>
      <c r="Q33" s="10" t="inlineStr"/>
      <c r="R33" s="10" t="inlineStr"/>
      <c r="S33" s="10" t="inlineStr"/>
      <c r="T33" s="10" t="inlineStr"/>
      <c r="U33" s="10" t="inlineStr"/>
      <c r="V33" s="10" t="inlineStr">
        <is>
          <t>Medium</t>
        </is>
      </c>
      <c r="W33" s="10" t="inlineStr">
        <is>
          <t>Independent retailer; Core relevant category</t>
        </is>
      </c>
      <c r="X33" s="10" t="inlineStr">
        <is>
          <t>Verified directory</t>
        </is>
      </c>
      <c r="Y33" s="10" t="inlineStr">
        <is>
          <t>Not Found</t>
        </is>
      </c>
      <c r="Z33" s="10" t="inlineStr">
        <is>
          <t>Low</t>
        </is>
      </c>
      <c r="AA33" s="10" t="inlineStr">
        <is>
          <t>Requires Verification</t>
        </is>
      </c>
      <c r="AB33" s="10" t="inlineStr">
        <is>
          <t>https://ecigdirectory.co.uk/vape-shop/listing/mister-motivaper-pontefract</t>
        </is>
      </c>
    </row>
    <row r="34">
      <c r="A34" s="5" t="inlineStr">
        <is>
          <t>WY-0123</t>
        </is>
      </c>
      <c r="B34" s="5" t="inlineStr">
        <is>
          <t>WY-0123-01</t>
        </is>
      </c>
      <c r="C34" s="5" t="inlineStr"/>
      <c r="D34" s="5" t="inlineStr">
        <is>
          <t>Mount Vapes</t>
        </is>
      </c>
      <c r="E34" s="5" t="inlineStr">
        <is>
          <t>Vape Shop</t>
        </is>
      </c>
      <c r="F34" s="5" t="inlineStr"/>
      <c r="G34" s="5" t="inlineStr">
        <is>
          <t>Independent</t>
        </is>
      </c>
      <c r="H34" s="5" t="inlineStr">
        <is>
          <t>1</t>
        </is>
      </c>
      <c r="I34" s="5" t="inlineStr"/>
      <c r="J34" s="5" t="inlineStr">
        <is>
          <t>Halifax</t>
        </is>
      </c>
      <c r="K34" s="5" t="inlineStr">
        <is>
          <t>HX3 6EE</t>
        </is>
      </c>
      <c r="L34" s="5" t="inlineStr">
        <is>
          <t>07843 846154</t>
        </is>
      </c>
      <c r="M34" s="5" t="inlineStr"/>
      <c r="N34" s="5" t="inlineStr"/>
      <c r="O34" s="5" t="inlineStr">
        <is>
          <t>https://mountvapes.co.uk/</t>
        </is>
      </c>
      <c r="P34" s="5" t="inlineStr">
        <is>
          <t>https://www.facebook.com/MountVapes/</t>
        </is>
      </c>
      <c r="Q34" s="5" t="inlineStr"/>
      <c r="R34" s="5" t="inlineStr"/>
      <c r="S34" s="5" t="inlineStr"/>
      <c r="T34" s="5" t="inlineStr"/>
      <c r="U34" s="5" t="inlineStr"/>
      <c r="V34" s="5" t="inlineStr">
        <is>
          <t>Medium</t>
        </is>
      </c>
      <c r="W34" s="5" t="inlineStr">
        <is>
          <t>Independent retailer; Core relevant category; Active website; Social presence</t>
        </is>
      </c>
      <c r="X34" s="5" t="inlineStr">
        <is>
          <t>Verified directory</t>
        </is>
      </c>
      <c r="Y34" s="5" t="inlineStr">
        <is>
          <t>Website Found</t>
        </is>
      </c>
      <c r="Z34" s="5" t="inlineStr">
        <is>
          <t>Medium</t>
        </is>
      </c>
      <c r="AA34" s="5" t="inlineStr">
        <is>
          <t>Requires Verification</t>
        </is>
      </c>
      <c r="AB34" s="5" t="inlineStr">
        <is>
          <t>https://mountvapes.co.uk/</t>
        </is>
      </c>
    </row>
    <row r="35">
      <c r="A35" s="10" t="inlineStr">
        <is>
          <t>WY-0131</t>
        </is>
      </c>
      <c r="B35" s="10" t="inlineStr">
        <is>
          <t>WY-0131-01</t>
        </is>
      </c>
      <c r="C35" s="10" t="inlineStr"/>
      <c r="D35" s="10" t="inlineStr">
        <is>
          <t>Phantom Vape Store</t>
        </is>
      </c>
      <c r="E35" s="10" t="inlineStr">
        <is>
          <t>Vape Shop</t>
        </is>
      </c>
      <c r="F35" s="10" t="inlineStr">
        <is>
          <t>Pods, kits, e-liquids and accessories</t>
        </is>
      </c>
      <c r="G35" s="10" t="inlineStr">
        <is>
          <t>Independent</t>
        </is>
      </c>
      <c r="H35" s="10" t="inlineStr">
        <is>
          <t>1</t>
        </is>
      </c>
      <c r="I35" s="10" t="inlineStr">
        <is>
          <t>17 Slaithwaite Road</t>
        </is>
      </c>
      <c r="J35" s="10" t="inlineStr">
        <is>
          <t>Dewsbury</t>
        </is>
      </c>
      <c r="K35" s="10" t="inlineStr">
        <is>
          <t>WF12 9DJ</t>
        </is>
      </c>
      <c r="L35" s="10" t="inlineStr"/>
      <c r="M35" s="10" t="inlineStr"/>
      <c r="N35" s="10" t="inlineStr"/>
      <c r="O35" s="10" t="inlineStr">
        <is>
          <t>https://www.phantomvapes.co.uk/</t>
        </is>
      </c>
      <c r="P35" s="10" t="inlineStr">
        <is>
          <t>https://www.facebook.com/61578393599194/</t>
        </is>
      </c>
      <c r="Q35" s="10" t="inlineStr"/>
      <c r="R35" s="10" t="inlineStr"/>
      <c r="S35" s="10" t="inlineStr"/>
      <c r="T35" s="10" t="inlineStr"/>
      <c r="U35" s="10" t="inlineStr"/>
      <c r="V35" s="10" t="inlineStr">
        <is>
          <t>Medium</t>
        </is>
      </c>
      <c r="W35" s="10" t="inlineStr">
        <is>
          <t>Independent retailer; Core relevant category; Active website; Social presence</t>
        </is>
      </c>
      <c r="X35" s="10" t="inlineStr">
        <is>
          <t>Not Found</t>
        </is>
      </c>
      <c r="Y35" s="10" t="inlineStr">
        <is>
          <t>Website Found</t>
        </is>
      </c>
      <c r="Z35" s="10" t="inlineStr">
        <is>
          <t>Medium</t>
        </is>
      </c>
      <c r="AA35" s="10" t="inlineStr">
        <is>
          <t>Requires Verification</t>
        </is>
      </c>
      <c r="AB35" s="10" t="inlineStr">
        <is>
          <t>https://www.phantomvapes.co.uk/vape-shop-dewsbury</t>
        </is>
      </c>
    </row>
    <row r="36">
      <c r="A36" s="5" t="inlineStr">
        <is>
          <t>WY-0138</t>
        </is>
      </c>
      <c r="B36" s="5" t="inlineStr">
        <is>
          <t>WY-0138-01</t>
        </is>
      </c>
      <c r="C36" s="5" t="inlineStr"/>
      <c r="D36" s="5" t="inlineStr">
        <is>
          <t>Revo Vapes</t>
        </is>
      </c>
      <c r="E36" s="5" t="inlineStr">
        <is>
          <t>Vape Shop</t>
        </is>
      </c>
      <c r="F36" s="5" t="inlineStr"/>
      <c r="G36" s="5" t="inlineStr">
        <is>
          <t>Independent</t>
        </is>
      </c>
      <c r="H36" s="5" t="inlineStr">
        <is>
          <t>1</t>
        </is>
      </c>
      <c r="I36" s="5" t="inlineStr">
        <is>
          <t>Unit 1a, 91 Queen Street</t>
        </is>
      </c>
      <c r="J36" s="5" t="inlineStr">
        <is>
          <t>Morley</t>
        </is>
      </c>
      <c r="K36" s="5" t="inlineStr">
        <is>
          <t>LS27 8DW</t>
        </is>
      </c>
      <c r="L36" s="5" t="inlineStr"/>
      <c r="M36" s="5" t="inlineStr"/>
      <c r="N36" s="5" t="inlineStr"/>
      <c r="O36" s="5" t="inlineStr"/>
      <c r="P36" s="5" t="inlineStr"/>
      <c r="Q36" s="5" t="inlineStr"/>
      <c r="R36" s="5" t="inlineStr"/>
      <c r="S36" s="5" t="inlineStr"/>
      <c r="T36" s="5" t="inlineStr"/>
      <c r="U36" s="5" t="inlineStr"/>
      <c r="V36" s="5" t="inlineStr">
        <is>
          <t>Medium</t>
        </is>
      </c>
      <c r="W36" s="5" t="inlineStr">
        <is>
          <t>Independent retailer; Core relevant category</t>
        </is>
      </c>
      <c r="X36" s="5" t="inlineStr">
        <is>
          <t>Not Found</t>
        </is>
      </c>
      <c r="Y36" s="5" t="inlineStr">
        <is>
          <t>Not Found</t>
        </is>
      </c>
      <c r="Z36" s="5" t="inlineStr">
        <is>
          <t>Low</t>
        </is>
      </c>
      <c r="AA36" s="5" t="inlineStr">
        <is>
          <t>Requires Verification</t>
        </is>
      </c>
      <c r="AB36" s="5" t="inlineStr">
        <is>
          <t>https://revo-vapes.wheree.com/</t>
        </is>
      </c>
    </row>
    <row r="37">
      <c r="A37" s="10" t="inlineStr">
        <is>
          <t>WY-0140</t>
        </is>
      </c>
      <c r="B37" s="10" t="inlineStr">
        <is>
          <t>WY-0140-01</t>
        </is>
      </c>
      <c r="C37" s="10" t="inlineStr"/>
      <c r="D37" s="10" t="inlineStr">
        <is>
          <t>SMKD</t>
        </is>
      </c>
      <c r="E37" s="10" t="inlineStr">
        <is>
          <t>Vape Shop</t>
        </is>
      </c>
      <c r="F37" s="10" t="inlineStr">
        <is>
          <t>Online vape retailer with same-day West Yorkshire delivery (former multi-store chain)</t>
        </is>
      </c>
      <c r="G37" s="10" t="inlineStr">
        <is>
          <t>Independent</t>
        </is>
      </c>
      <c r="H37" s="10" t="inlineStr">
        <is>
          <t>1</t>
        </is>
      </c>
      <c r="I37" s="10" t="inlineStr">
        <is>
          <t>Unit 7, Bradford Chamber Business Park</t>
        </is>
      </c>
      <c r="J37" s="10" t="inlineStr">
        <is>
          <t>Bradford</t>
        </is>
      </c>
      <c r="K37" s="10" t="inlineStr">
        <is>
          <t>BD4 8BX</t>
        </is>
      </c>
      <c r="L37" s="10" t="inlineStr">
        <is>
          <t>01274 270303</t>
        </is>
      </c>
      <c r="M37" s="10" t="inlineStr">
        <is>
          <t>info@smkd.com</t>
        </is>
      </c>
      <c r="N37" s="10" t="inlineStr"/>
      <c r="O37" s="10" t="inlineStr">
        <is>
          <t>https://smkd.com/</t>
        </is>
      </c>
      <c r="P37" s="10" t="inlineStr">
        <is>
          <t>https://www.facebook.com/SmkdVapeShop/</t>
        </is>
      </c>
      <c r="Q37" s="10" t="inlineStr"/>
      <c r="R37" s="10" t="inlineStr"/>
      <c r="S37" s="10" t="inlineStr"/>
      <c r="T37" s="10" t="inlineStr"/>
      <c r="U37" s="10" t="inlineStr"/>
      <c r="V37" s="10" t="inlineStr">
        <is>
          <t>High</t>
        </is>
      </c>
      <c r="W37" s="10" t="inlineStr">
        <is>
          <t>Independent retailer; Core relevant category; Public email available; Active website; Social presence; Phone verified on official website</t>
        </is>
      </c>
      <c r="X37" s="10" t="inlineStr">
        <is>
          <t>Verified on official website</t>
        </is>
      </c>
      <c r="Y37" s="10" t="inlineStr">
        <is>
          <t>Publicly Listed</t>
        </is>
      </c>
      <c r="Z37" s="10" t="inlineStr">
        <is>
          <t>Medium</t>
        </is>
      </c>
      <c r="AA37" s="10" t="inlineStr">
        <is>
          <t>Partially Verified</t>
        </is>
      </c>
      <c r="AB37" s="10" t="inlineStr">
        <is>
          <t>https://smkd.com/vape-shop-locator/</t>
        </is>
      </c>
    </row>
    <row r="38">
      <c r="A38" s="5" t="inlineStr">
        <is>
          <t>WY-0149</t>
        </is>
      </c>
      <c r="B38" s="5" t="inlineStr">
        <is>
          <t>WY-0149-01</t>
        </is>
      </c>
      <c r="C38" s="5" t="inlineStr"/>
      <c r="D38" s="5" t="inlineStr">
        <is>
          <t>Smokers D'Lite</t>
        </is>
      </c>
      <c r="E38" s="5" t="inlineStr">
        <is>
          <t>Vape Shop</t>
        </is>
      </c>
      <c r="F38" s="5" t="inlineStr">
        <is>
          <t>Vape and smoking accessories</t>
        </is>
      </c>
      <c r="G38" s="5" t="inlineStr">
        <is>
          <t>Independent</t>
        </is>
      </c>
      <c r="H38" s="5" t="inlineStr">
        <is>
          <t>1</t>
        </is>
      </c>
      <c r="I38" s="5" t="inlineStr">
        <is>
          <t>20 Thorntons Arcade</t>
        </is>
      </c>
      <c r="J38" s="5" t="inlineStr">
        <is>
          <t>Leeds</t>
        </is>
      </c>
      <c r="K38" s="5" t="inlineStr">
        <is>
          <t>LS1 6LQ</t>
        </is>
      </c>
      <c r="L38" s="5" t="inlineStr"/>
      <c r="M38" s="5" t="inlineStr"/>
      <c r="N38" s="5" t="inlineStr"/>
      <c r="O38" s="5" t="inlineStr"/>
      <c r="P38" s="5" t="inlineStr"/>
      <c r="Q38" s="5" t="inlineStr"/>
      <c r="R38" s="5" t="inlineStr"/>
      <c r="S38" s="5" t="inlineStr"/>
      <c r="T38" s="5" t="inlineStr"/>
      <c r="U38" s="5" t="inlineStr"/>
      <c r="V38" s="5" t="inlineStr">
        <is>
          <t>Medium</t>
        </is>
      </c>
      <c r="W38" s="5" t="inlineStr">
        <is>
          <t>Independent retailer; Core relevant category</t>
        </is>
      </c>
      <c r="X38" s="5" t="inlineStr">
        <is>
          <t>Not Found</t>
        </is>
      </c>
      <c r="Y38" s="5" t="inlineStr">
        <is>
          <t>Not Found</t>
        </is>
      </c>
      <c r="Z38" s="5" t="inlineStr">
        <is>
          <t>Low</t>
        </is>
      </c>
      <c r="AA38" s="5" t="inlineStr">
        <is>
          <t>Requires Verification</t>
        </is>
      </c>
      <c r="AB38" s="5" t="inlineStr">
        <is>
          <t>https://ecigdirectory.co.uk/vape-shop-leeds/</t>
        </is>
      </c>
    </row>
    <row r="39">
      <c r="A39" s="10" t="inlineStr">
        <is>
          <t>WY-0161</t>
        </is>
      </c>
      <c r="B39" s="10" t="inlineStr">
        <is>
          <t>WY-0161-01</t>
        </is>
      </c>
      <c r="C39" s="10" t="inlineStr"/>
      <c r="D39" s="10" t="inlineStr">
        <is>
          <t>The Vape Hub</t>
        </is>
      </c>
      <c r="E39" s="10" t="inlineStr">
        <is>
          <t>Vape Shop</t>
        </is>
      </c>
      <c r="F39" s="10" t="inlineStr">
        <is>
          <t>Local vape shop</t>
        </is>
      </c>
      <c r="G39" s="10" t="inlineStr">
        <is>
          <t>Independent</t>
        </is>
      </c>
      <c r="H39" s="10" t="inlineStr">
        <is>
          <t>1</t>
        </is>
      </c>
      <c r="I39" s="10" t="inlineStr">
        <is>
          <t>105b Cooper Lane</t>
        </is>
      </c>
      <c r="J39" s="10" t="inlineStr">
        <is>
          <t>Bradford</t>
        </is>
      </c>
      <c r="K39" s="10" t="inlineStr">
        <is>
          <t>BD6 3PB</t>
        </is>
      </c>
      <c r="L39" s="10" t="inlineStr">
        <is>
          <t>01274 785496</t>
        </is>
      </c>
      <c r="M39" s="10" t="inlineStr"/>
      <c r="N39" s="10" t="inlineStr"/>
      <c r="O39" s="10" t="inlineStr"/>
      <c r="P39" s="10" t="inlineStr">
        <is>
          <t>https://www.facebook.com/tvhbradford/</t>
        </is>
      </c>
      <c r="Q39" s="10" t="inlineStr"/>
      <c r="R39" s="10" t="inlineStr"/>
      <c r="S39" s="10" t="inlineStr"/>
      <c r="T39" s="10" t="inlineStr"/>
      <c r="U39" s="10" t="inlineStr"/>
      <c r="V39" s="10" t="inlineStr">
        <is>
          <t>Medium</t>
        </is>
      </c>
      <c r="W39" s="10" t="inlineStr">
        <is>
          <t>Independent retailer; Core relevant category; Social presence</t>
        </is>
      </c>
      <c r="X39" s="10" t="inlineStr">
        <is>
          <t>Verified directory</t>
        </is>
      </c>
      <c r="Y39" s="10" t="inlineStr">
        <is>
          <t>Not Found</t>
        </is>
      </c>
      <c r="Z39" s="10" t="inlineStr">
        <is>
          <t>Medium</t>
        </is>
      </c>
      <c r="AA39" s="10" t="inlineStr">
        <is>
          <t>Requires Verification</t>
        </is>
      </c>
      <c r="AB39" s="10" t="inlineStr">
        <is>
          <t>https://www.yell.com/biz/the-vape-hub-bradford-10128282/</t>
        </is>
      </c>
    </row>
    <row r="40">
      <c r="A40" s="5" t="inlineStr">
        <is>
          <t>WY-0162</t>
        </is>
      </c>
      <c r="B40" s="5" t="inlineStr">
        <is>
          <t>WY-0162-01</t>
        </is>
      </c>
      <c r="C40" s="5" t="inlineStr"/>
      <c r="D40" s="5" t="inlineStr">
        <is>
          <t>The Vape Shop Wakefield</t>
        </is>
      </c>
      <c r="E40" s="5" t="inlineStr">
        <is>
          <t>Vape Shop</t>
        </is>
      </c>
      <c r="F40" s="5" t="inlineStr">
        <is>
          <t>E-cigarettes and e-liquids (American and British ranges)</t>
        </is>
      </c>
      <c r="G40" s="5" t="inlineStr">
        <is>
          <t>Independent</t>
        </is>
      </c>
      <c r="H40" s="5" t="inlineStr">
        <is>
          <t>1</t>
        </is>
      </c>
      <c r="I40" s="5" t="inlineStr">
        <is>
          <t>Horbury Road</t>
        </is>
      </c>
      <c r="J40" s="5" t="inlineStr">
        <is>
          <t>Wakefield</t>
        </is>
      </c>
      <c r="K40" s="5" t="inlineStr"/>
      <c r="L40" s="5" t="inlineStr"/>
      <c r="M40" s="5" t="inlineStr"/>
      <c r="N40" s="5" t="inlineStr"/>
      <c r="O40" s="5" t="inlineStr"/>
      <c r="P40" s="5" t="inlineStr">
        <is>
          <t>https://www.facebook.com/vapeshopwakefield.uk/</t>
        </is>
      </c>
      <c r="Q40" s="5" t="inlineStr"/>
      <c r="R40" s="5" t="inlineStr"/>
      <c r="S40" s="5" t="inlineStr"/>
      <c r="T40" s="5" t="inlineStr"/>
      <c r="U40" s="5" t="inlineStr"/>
      <c r="V40" s="5" t="inlineStr">
        <is>
          <t>Medium</t>
        </is>
      </c>
      <c r="W40" s="5" t="inlineStr">
        <is>
          <t>Independent retailer; Core relevant category; Social presence</t>
        </is>
      </c>
      <c r="X40" s="5" t="inlineStr">
        <is>
          <t>Not Found</t>
        </is>
      </c>
      <c r="Y40" s="5" t="inlineStr">
        <is>
          <t>Not Found</t>
        </is>
      </c>
      <c r="Z40" s="5" t="inlineStr">
        <is>
          <t>Low</t>
        </is>
      </c>
      <c r="AA40" s="5" t="inlineStr">
        <is>
          <t>Requires Verification</t>
        </is>
      </c>
      <c r="AB40" s="5" t="inlineStr">
        <is>
          <t>https://www.facebook.com/vapeshopwakefield.uk/</t>
        </is>
      </c>
    </row>
    <row r="41">
      <c r="A41" s="10" t="inlineStr">
        <is>
          <t>WY-0163</t>
        </is>
      </c>
      <c r="B41" s="10" t="inlineStr">
        <is>
          <t>WY-0163-01</t>
        </is>
      </c>
      <c r="C41" s="10" t="inlineStr"/>
      <c r="D41" s="10" t="inlineStr">
        <is>
          <t>The Vintage Vapour Co</t>
        </is>
      </c>
      <c r="E41" s="10" t="inlineStr">
        <is>
          <t>Vape Shop</t>
        </is>
      </c>
      <c r="F41" s="10" t="inlineStr">
        <is>
          <t>Vape retailer</t>
        </is>
      </c>
      <c r="G41" s="10" t="inlineStr">
        <is>
          <t>Independent</t>
        </is>
      </c>
      <c r="H41" s="10" t="inlineStr">
        <is>
          <t>1</t>
        </is>
      </c>
      <c r="I41" s="10" t="inlineStr">
        <is>
          <t>12 Town End</t>
        </is>
      </c>
      <c r="J41" s="10" t="inlineStr">
        <is>
          <t>Ossett</t>
        </is>
      </c>
      <c r="K41" s="10" t="inlineStr">
        <is>
          <t>WF5 8BJ</t>
        </is>
      </c>
      <c r="L41" s="10" t="inlineStr"/>
      <c r="M41" s="10" t="inlineStr"/>
      <c r="N41" s="10" t="inlineStr"/>
      <c r="O41" s="10" t="inlineStr"/>
      <c r="P41" s="10" t="inlineStr"/>
      <c r="Q41" s="10" t="inlineStr"/>
      <c r="R41" s="10" t="inlineStr"/>
      <c r="S41" s="10" t="inlineStr"/>
      <c r="T41" s="10" t="inlineStr"/>
      <c r="U41" s="10" t="inlineStr"/>
      <c r="V41" s="10" t="inlineStr">
        <is>
          <t>Medium</t>
        </is>
      </c>
      <c r="W41" s="10" t="inlineStr">
        <is>
          <t>Independent retailer; Core relevant category</t>
        </is>
      </c>
      <c r="X41" s="10" t="inlineStr">
        <is>
          <t>Not Found</t>
        </is>
      </c>
      <c r="Y41" s="10" t="inlineStr">
        <is>
          <t>Not Found</t>
        </is>
      </c>
      <c r="Z41" s="10" t="inlineStr">
        <is>
          <t>Low</t>
        </is>
      </c>
      <c r="AA41" s="10" t="inlineStr">
        <is>
          <t>Requires Verification</t>
        </is>
      </c>
      <c r="AB41" s="10" t="inlineStr">
        <is>
          <t>https://vapegeezer.co.uk/vape-shop-directory/locations/west-yorkshire/</t>
        </is>
      </c>
    </row>
    <row r="42">
      <c r="A42" s="5" t="inlineStr">
        <is>
          <t>WY-0166</t>
        </is>
      </c>
      <c r="B42" s="5" t="inlineStr">
        <is>
          <t>WY-0166-01</t>
        </is>
      </c>
      <c r="C42" s="5" t="inlineStr"/>
      <c r="D42" s="5" t="inlineStr">
        <is>
          <t>Told Vape Co</t>
        </is>
      </c>
      <c r="E42" s="5" t="inlineStr">
        <is>
          <t>Vape Shop</t>
        </is>
      </c>
      <c r="F42" s="5" t="inlineStr">
        <is>
          <t>Vape retailer</t>
        </is>
      </c>
      <c r="G42" s="5" t="inlineStr">
        <is>
          <t>Independent</t>
        </is>
      </c>
      <c r="H42" s="5" t="inlineStr">
        <is>
          <t>1</t>
        </is>
      </c>
      <c r="I42" s="5" t="inlineStr">
        <is>
          <t>29 Queen Street</t>
        </is>
      </c>
      <c r="J42" s="5" t="inlineStr">
        <is>
          <t>Horbury</t>
        </is>
      </c>
      <c r="K42" s="5" t="inlineStr">
        <is>
          <t>WF4 6LP</t>
        </is>
      </c>
      <c r="L42" s="5" t="inlineStr"/>
      <c r="M42" s="5" t="inlineStr"/>
      <c r="N42" s="5" t="inlineStr"/>
      <c r="O42" s="5" t="inlineStr"/>
      <c r="P42" s="5" t="inlineStr"/>
      <c r="Q42" s="5" t="inlineStr"/>
      <c r="R42" s="5" t="inlineStr"/>
      <c r="S42" s="5" t="inlineStr"/>
      <c r="T42" s="5" t="inlineStr"/>
      <c r="U42" s="5" t="inlineStr"/>
      <c r="V42" s="5" t="inlineStr">
        <is>
          <t>Medium</t>
        </is>
      </c>
      <c r="W42" s="5" t="inlineStr">
        <is>
          <t>Independent retailer; Core relevant category</t>
        </is>
      </c>
      <c r="X42" s="5" t="inlineStr">
        <is>
          <t>Not Found</t>
        </is>
      </c>
      <c r="Y42" s="5" t="inlineStr">
        <is>
          <t>Not Found</t>
        </is>
      </c>
      <c r="Z42" s="5" t="inlineStr">
        <is>
          <t>Medium</t>
        </is>
      </c>
      <c r="AA42" s="5" t="inlineStr">
        <is>
          <t>Requires Verification</t>
        </is>
      </c>
      <c r="AB42" s="5" t="inlineStr">
        <is>
          <t>https://ecigdirectory.co.uk/vape-shop/listing/told-vape-co</t>
        </is>
      </c>
    </row>
    <row r="43">
      <c r="A43" s="10" t="inlineStr">
        <is>
          <t>WY-0171</t>
        </is>
      </c>
      <c r="B43" s="10" t="inlineStr">
        <is>
          <t>WY-0171-01</t>
        </is>
      </c>
      <c r="C43" s="10" t="inlineStr"/>
      <c r="D43" s="10" t="inlineStr">
        <is>
          <t>VAPE (Heckmondwike)</t>
        </is>
      </c>
      <c r="E43" s="10" t="inlineStr">
        <is>
          <t>Vape Shop</t>
        </is>
      </c>
      <c r="F43" s="10" t="inlineStr">
        <is>
          <t>Vape retailer</t>
        </is>
      </c>
      <c r="G43" s="10" t="inlineStr">
        <is>
          <t>Independent</t>
        </is>
      </c>
      <c r="H43" s="10" t="inlineStr">
        <is>
          <t>1</t>
        </is>
      </c>
      <c r="I43" s="10" t="inlineStr">
        <is>
          <t>36 Market Street</t>
        </is>
      </c>
      <c r="J43" s="10" t="inlineStr">
        <is>
          <t>Heckmondwike</t>
        </is>
      </c>
      <c r="K43" s="10" t="inlineStr">
        <is>
          <t>WF16 0JG</t>
        </is>
      </c>
      <c r="L43" s="10" t="inlineStr">
        <is>
          <t>01924 650140</t>
        </is>
      </c>
      <c r="M43" s="10" t="inlineStr"/>
      <c r="N43" s="10" t="inlineStr"/>
      <c r="O43" s="10" t="inlineStr"/>
      <c r="P43" s="10" t="inlineStr"/>
      <c r="Q43" s="10" t="inlineStr"/>
      <c r="R43" s="10" t="inlineStr"/>
      <c r="S43" s="10" t="inlineStr"/>
      <c r="T43" s="10" t="inlineStr"/>
      <c r="U43" s="10" t="inlineStr"/>
      <c r="V43" s="10" t="inlineStr">
        <is>
          <t>Medium</t>
        </is>
      </c>
      <c r="W43" s="10" t="inlineStr">
        <is>
          <t>Independent retailer; Core relevant category</t>
        </is>
      </c>
      <c r="X43" s="10" t="inlineStr">
        <is>
          <t>Verified directory</t>
        </is>
      </c>
      <c r="Y43" s="10" t="inlineStr">
        <is>
          <t>Not Found</t>
        </is>
      </c>
      <c r="Z43" s="10" t="inlineStr">
        <is>
          <t>Medium</t>
        </is>
      </c>
      <c r="AA43" s="10" t="inlineStr">
        <is>
          <t>Requires Verification</t>
        </is>
      </c>
      <c r="AB43" s="10" t="inlineStr">
        <is>
          <t>https://ecigdirectory.co.uk/vape-shop/listing/vape-heckmondwike</t>
        </is>
      </c>
    </row>
    <row r="44">
      <c r="A44" s="5" t="inlineStr">
        <is>
          <t>WY-0172</t>
        </is>
      </c>
      <c r="B44" s="5" t="inlineStr">
        <is>
          <t>WY-0172-01</t>
        </is>
      </c>
      <c r="C44" s="5" t="inlineStr"/>
      <c r="D44" s="5" t="inlineStr">
        <is>
          <t>Vape Dream</t>
        </is>
      </c>
      <c r="E44" s="5" t="inlineStr">
        <is>
          <t>Vape Shop</t>
        </is>
      </c>
      <c r="F44" s="5" t="inlineStr">
        <is>
          <t>Vape retailer</t>
        </is>
      </c>
      <c r="G44" s="5" t="inlineStr">
        <is>
          <t>Independent</t>
        </is>
      </c>
      <c r="H44" s="5" t="inlineStr">
        <is>
          <t>1</t>
        </is>
      </c>
      <c r="I44" s="5" t="inlineStr"/>
      <c r="J44" s="5" t="inlineStr">
        <is>
          <t>Dewsbury</t>
        </is>
      </c>
      <c r="K44" s="5" t="inlineStr"/>
      <c r="L44" s="5" t="inlineStr"/>
      <c r="M44" s="5" t="inlineStr"/>
      <c r="N44" s="5" t="inlineStr"/>
      <c r="O44" s="5" t="inlineStr"/>
      <c r="P44" s="5" t="inlineStr">
        <is>
          <t>https://www.facebook.com/p/Vape-Dream-Vape-Shop-61558567906935/</t>
        </is>
      </c>
      <c r="Q44" s="5" t="inlineStr"/>
      <c r="R44" s="5" t="inlineStr"/>
      <c r="S44" s="5" t="inlineStr"/>
      <c r="T44" s="5" t="inlineStr"/>
      <c r="U44" s="5" t="inlineStr"/>
      <c r="V44" s="5" t="inlineStr">
        <is>
          <t>Medium</t>
        </is>
      </c>
      <c r="W44" s="5" t="inlineStr">
        <is>
          <t>Independent retailer; Core relevant category; Social presence</t>
        </is>
      </c>
      <c r="X44" s="5" t="inlineStr">
        <is>
          <t>Not Found</t>
        </is>
      </c>
      <c r="Y44" s="5" t="inlineStr">
        <is>
          <t>Not Found</t>
        </is>
      </c>
      <c r="Z44" s="5" t="inlineStr">
        <is>
          <t>Low</t>
        </is>
      </c>
      <c r="AA44" s="5" t="inlineStr">
        <is>
          <t>Requires Verification</t>
        </is>
      </c>
      <c r="AB44" s="5" t="inlineStr">
        <is>
          <t>https://www.facebook.com/p/Vape-Dream-Vape-Shop-61558567906935/</t>
        </is>
      </c>
    </row>
    <row r="45">
      <c r="A45" s="10" t="inlineStr">
        <is>
          <t>WY-0173</t>
        </is>
      </c>
      <c r="B45" s="10" t="inlineStr">
        <is>
          <t>WY-0173-01</t>
        </is>
      </c>
      <c r="C45" s="10" t="inlineStr"/>
      <c r="D45" s="10" t="inlineStr">
        <is>
          <t>Vape N Go</t>
        </is>
      </c>
      <c r="E45" s="10" t="inlineStr">
        <is>
          <t>Vape Shop</t>
        </is>
      </c>
      <c r="F45" s="10" t="inlineStr"/>
      <c r="G45" s="10" t="inlineStr">
        <is>
          <t>Independent</t>
        </is>
      </c>
      <c r="H45" s="10" t="inlineStr">
        <is>
          <t>1</t>
        </is>
      </c>
      <c r="I45" s="10" t="inlineStr">
        <is>
          <t>14 The Square</t>
        </is>
      </c>
      <c r="J45" s="10" t="inlineStr">
        <is>
          <t>Halifax</t>
        </is>
      </c>
      <c r="K45" s="10" t="inlineStr">
        <is>
          <t>HX1 1RU</t>
        </is>
      </c>
      <c r="L45" s="10" t="inlineStr"/>
      <c r="M45" s="10" t="inlineStr"/>
      <c r="N45" s="10" t="inlineStr"/>
      <c r="O45" s="10" t="inlineStr"/>
      <c r="P45" s="10" t="inlineStr"/>
      <c r="Q45" s="10" t="inlineStr"/>
      <c r="R45" s="10" t="inlineStr"/>
      <c r="S45" s="10" t="inlineStr"/>
      <c r="T45" s="10" t="inlineStr"/>
      <c r="U45" s="10" t="inlineStr"/>
      <c r="V45" s="10" t="inlineStr">
        <is>
          <t>Medium</t>
        </is>
      </c>
      <c r="W45" s="10" t="inlineStr">
        <is>
          <t>Independent retailer; Core relevant category</t>
        </is>
      </c>
      <c r="X45" s="10" t="inlineStr">
        <is>
          <t>Not Found</t>
        </is>
      </c>
      <c r="Y45" s="10" t="inlineStr">
        <is>
          <t>Not Found</t>
        </is>
      </c>
      <c r="Z45" s="10" t="inlineStr">
        <is>
          <t>Low</t>
        </is>
      </c>
      <c r="AA45" s="10" t="inlineStr">
        <is>
          <t>Requires Verification</t>
        </is>
      </c>
      <c r="AB45" s="10" t="inlineStr">
        <is>
          <t>https://www.yell.com/s/tobacconists-halifax.html</t>
        </is>
      </c>
    </row>
    <row r="46">
      <c r="A46" s="5" t="inlineStr">
        <is>
          <t>WY-0174</t>
        </is>
      </c>
      <c r="B46" s="5" t="inlineStr">
        <is>
          <t>WY-0174-01</t>
        </is>
      </c>
      <c r="C46" s="5" t="inlineStr"/>
      <c r="D46" s="5" t="inlineStr">
        <is>
          <t>Vape Nation UK</t>
        </is>
      </c>
      <c r="E46" s="5" t="inlineStr">
        <is>
          <t>Vape Shop</t>
        </is>
      </c>
      <c r="F46" s="5" t="inlineStr">
        <is>
          <t>E-cigarette / e-liquid retailer</t>
        </is>
      </c>
      <c r="G46" s="5" t="inlineStr">
        <is>
          <t>Independent</t>
        </is>
      </c>
      <c r="H46" s="5" t="inlineStr">
        <is>
          <t>1</t>
        </is>
      </c>
      <c r="I46" s="5" t="inlineStr">
        <is>
          <t>31 New Street</t>
        </is>
      </c>
      <c r="J46" s="5" t="inlineStr">
        <is>
          <t>Huddersfield</t>
        </is>
      </c>
      <c r="K46" s="5" t="inlineStr">
        <is>
          <t>HD1 2AZ</t>
        </is>
      </c>
      <c r="L46" s="5" t="inlineStr">
        <is>
          <t>07809 655738</t>
        </is>
      </c>
      <c r="M46" s="5" t="inlineStr">
        <is>
          <t>info@vapenationeshop.co.uk</t>
        </is>
      </c>
      <c r="N46" s="5" t="inlineStr"/>
      <c r="O46" s="5" t="inlineStr">
        <is>
          <t>https://vapenationeshop.co.uk/</t>
        </is>
      </c>
      <c r="P46" s="5" t="inlineStr"/>
      <c r="Q46" s="5" t="inlineStr"/>
      <c r="R46" s="5" t="inlineStr"/>
      <c r="S46" s="5" t="inlineStr"/>
      <c r="T46" s="5" t="inlineStr"/>
      <c r="U46" s="5" t="inlineStr"/>
      <c r="V46" s="5" t="inlineStr">
        <is>
          <t>Medium</t>
        </is>
      </c>
      <c r="W46" s="5" t="inlineStr">
        <is>
          <t>Independent retailer; Core relevant category; Public email available; Active website</t>
        </is>
      </c>
      <c r="X46" s="5" t="inlineStr">
        <is>
          <t>Verified directory</t>
        </is>
      </c>
      <c r="Y46" s="5" t="inlineStr">
        <is>
          <t>Website Found</t>
        </is>
      </c>
      <c r="Z46" s="5" t="inlineStr">
        <is>
          <t>Medium</t>
        </is>
      </c>
      <c r="AA46" s="5" t="inlineStr">
        <is>
          <t>Partially Verified</t>
        </is>
      </c>
      <c r="AB46" s="5" t="inlineStr">
        <is>
          <t>https://vapenationeshop.co.uk/contact-us/</t>
        </is>
      </c>
    </row>
    <row r="47">
      <c r="A47" s="10" t="inlineStr">
        <is>
          <t>WY-0175</t>
        </is>
      </c>
      <c r="B47" s="10" t="inlineStr">
        <is>
          <t>WY-0175-01</t>
        </is>
      </c>
      <c r="C47" s="10" t="inlineStr"/>
      <c r="D47" s="10" t="inlineStr">
        <is>
          <t>Vape Road</t>
        </is>
      </c>
      <c r="E47" s="10" t="inlineStr">
        <is>
          <t>Vape Shop</t>
        </is>
      </c>
      <c r="F47" s="10" t="inlineStr"/>
      <c r="G47" s="10" t="inlineStr">
        <is>
          <t>Independent</t>
        </is>
      </c>
      <c r="H47" s="10" t="inlineStr">
        <is>
          <t>1</t>
        </is>
      </c>
      <c r="I47" s="10" t="inlineStr">
        <is>
          <t>66 Commercial Street</t>
        </is>
      </c>
      <c r="J47" s="10" t="inlineStr">
        <is>
          <t>Brighouse</t>
        </is>
      </c>
      <c r="K47" s="10" t="inlineStr">
        <is>
          <t>HD6 1AQ</t>
        </is>
      </c>
      <c r="L47" s="10" t="inlineStr">
        <is>
          <t>01484 917785</t>
        </is>
      </c>
      <c r="M47" s="10" t="inlineStr"/>
      <c r="N47" s="10" t="inlineStr"/>
      <c r="O47" s="10" t="inlineStr"/>
      <c r="P47" s="10" t="inlineStr"/>
      <c r="Q47" s="10" t="inlineStr"/>
      <c r="R47" s="10" t="inlineStr"/>
      <c r="S47" s="10" t="inlineStr"/>
      <c r="T47" s="10" t="inlineStr"/>
      <c r="U47" s="10" t="inlineStr"/>
      <c r="V47" s="10" t="inlineStr">
        <is>
          <t>Medium</t>
        </is>
      </c>
      <c r="W47" s="10" t="inlineStr">
        <is>
          <t>Independent retailer; Core relevant category</t>
        </is>
      </c>
      <c r="X47" s="10" t="inlineStr">
        <is>
          <t>Verified directory</t>
        </is>
      </c>
      <c r="Y47" s="10" t="inlineStr">
        <is>
          <t>Not Found</t>
        </is>
      </c>
      <c r="Z47" s="10" t="inlineStr">
        <is>
          <t>Medium</t>
        </is>
      </c>
      <c r="AA47" s="10" t="inlineStr">
        <is>
          <t>Requires Verification</t>
        </is>
      </c>
      <c r="AB47" s="10" t="inlineStr">
        <is>
          <t>https://brighouse.cylex-uk.co.uk/company/vape-road-27599481.html</t>
        </is>
      </c>
    </row>
    <row r="48">
      <c r="A48" s="5" t="inlineStr">
        <is>
          <t>WY-0176</t>
        </is>
      </c>
      <c r="B48" s="5" t="inlineStr">
        <is>
          <t>WY-0176-01</t>
        </is>
      </c>
      <c r="C48" s="5" t="inlineStr"/>
      <c r="D48" s="5" t="inlineStr">
        <is>
          <t>Vape Road Cleckheaton</t>
        </is>
      </c>
      <c r="E48" s="5" t="inlineStr">
        <is>
          <t>Vape Shop</t>
        </is>
      </c>
      <c r="F48" s="5" t="inlineStr">
        <is>
          <t>Vape retailer</t>
        </is>
      </c>
      <c r="G48" s="5" t="inlineStr">
        <is>
          <t>Independent</t>
        </is>
      </c>
      <c r="H48" s="5" t="inlineStr">
        <is>
          <t>1</t>
        </is>
      </c>
      <c r="I48" s="5" t="inlineStr">
        <is>
          <t>Railway Street</t>
        </is>
      </c>
      <c r="J48" s="5" t="inlineStr">
        <is>
          <t>Cleckheaton</t>
        </is>
      </c>
      <c r="K48" s="5" t="inlineStr"/>
      <c r="L48" s="5" t="inlineStr"/>
      <c r="M48" s="5" t="inlineStr"/>
      <c r="N48" s="5" t="inlineStr"/>
      <c r="O48" s="5" t="inlineStr"/>
      <c r="P48" s="5" t="inlineStr"/>
      <c r="Q48" s="5" t="inlineStr"/>
      <c r="R48" s="5" t="inlineStr"/>
      <c r="S48" s="5" t="inlineStr"/>
      <c r="T48" s="5" t="inlineStr"/>
      <c r="U48" s="5" t="inlineStr"/>
      <c r="V48" s="5" t="inlineStr">
        <is>
          <t>Medium</t>
        </is>
      </c>
      <c r="W48" s="5" t="inlineStr">
        <is>
          <t>Independent retailer; Core relevant category</t>
        </is>
      </c>
      <c r="X48" s="5" t="inlineStr">
        <is>
          <t>Not Found</t>
        </is>
      </c>
      <c r="Y48" s="5" t="inlineStr">
        <is>
          <t>Not Found</t>
        </is>
      </c>
      <c r="Z48" s="5" t="inlineStr">
        <is>
          <t>Low</t>
        </is>
      </c>
      <c r="AA48" s="5" t="inlineStr">
        <is>
          <t>Requires Verification</t>
        </is>
      </c>
      <c r="AB48" s="5" t="inlineStr">
        <is>
          <t>https://cleckheaton.cylex-uk.co.uk/company/vape-road-cleckheaton-26986187.html</t>
        </is>
      </c>
    </row>
    <row r="49">
      <c r="A49" s="10" t="inlineStr">
        <is>
          <t>WY-0177</t>
        </is>
      </c>
      <c r="B49" s="10" t="inlineStr">
        <is>
          <t>WY-0177-01</t>
        </is>
      </c>
      <c r="C49" s="10" t="inlineStr"/>
      <c r="D49" s="10" t="inlineStr">
        <is>
          <t>Vape Suite</t>
        </is>
      </c>
      <c r="E49" s="10" t="inlineStr">
        <is>
          <t>Vape Shop</t>
        </is>
      </c>
      <c r="F49" s="10" t="inlineStr">
        <is>
          <t>E-cigarette / e-liquid / disposables retailer</t>
        </is>
      </c>
      <c r="G49" s="10" t="inlineStr">
        <is>
          <t>Independent</t>
        </is>
      </c>
      <c r="H49" s="10" t="inlineStr">
        <is>
          <t>1</t>
        </is>
      </c>
      <c r="I49" s="10" t="inlineStr">
        <is>
          <t>7 King Street</t>
        </is>
      </c>
      <c r="J49" s="10" t="inlineStr">
        <is>
          <t>Huddersfield</t>
        </is>
      </c>
      <c r="K49" s="10" t="inlineStr">
        <is>
          <t>HD1 2QD</t>
        </is>
      </c>
      <c r="L49" s="10" t="inlineStr">
        <is>
          <t>01484 312366</t>
        </is>
      </c>
      <c r="M49" s="10" t="inlineStr"/>
      <c r="N49" s="10" t="inlineStr"/>
      <c r="O49" s="10" t="inlineStr"/>
      <c r="P49" s="10" t="inlineStr"/>
      <c r="Q49" s="10" t="inlineStr"/>
      <c r="R49" s="10" t="inlineStr"/>
      <c r="S49" s="10" t="inlineStr"/>
      <c r="T49" s="10" t="inlineStr">
        <is>
          <t>13476013</t>
        </is>
      </c>
      <c r="U49" s="10" t="inlineStr"/>
      <c r="V49" s="10" t="inlineStr">
        <is>
          <t>Medium</t>
        </is>
      </c>
      <c r="W49" s="10" t="inlineStr">
        <is>
          <t>Independent retailer; Core relevant category</t>
        </is>
      </c>
      <c r="X49" s="10" t="inlineStr">
        <is>
          <t>Verified directory</t>
        </is>
      </c>
      <c r="Y49" s="10" t="inlineStr">
        <is>
          <t>Not Found</t>
        </is>
      </c>
      <c r="Z49" s="10" t="inlineStr">
        <is>
          <t>Medium</t>
        </is>
      </c>
      <c r="AA49" s="10" t="inlineStr">
        <is>
          <t>Requires Verification</t>
        </is>
      </c>
      <c r="AB49" s="10" t="inlineStr">
        <is>
          <t>https://find-and-update.company-information.service.gov.uk/company/13476013</t>
        </is>
      </c>
    </row>
    <row r="50">
      <c r="A50" s="5" t="inlineStr">
        <is>
          <t>WY-0179</t>
        </is>
      </c>
      <c r="B50" s="5" t="inlineStr">
        <is>
          <t>WY-0179-01</t>
        </is>
      </c>
      <c r="C50" s="5" t="inlineStr"/>
      <c r="D50" s="5" t="inlineStr">
        <is>
          <t>VapeShop Leeds</t>
        </is>
      </c>
      <c r="E50" s="5" t="inlineStr">
        <is>
          <t>Vape Shop</t>
        </is>
      </c>
      <c r="F50" s="5" t="inlineStr">
        <is>
          <t>E-cigarette specialist</t>
        </is>
      </c>
      <c r="G50" s="5" t="inlineStr">
        <is>
          <t>Independent</t>
        </is>
      </c>
      <c r="H50" s="5" t="inlineStr">
        <is>
          <t>1</t>
        </is>
      </c>
      <c r="I50" s="5" t="inlineStr">
        <is>
          <t>229 Selby Road</t>
        </is>
      </c>
      <c r="J50" s="5" t="inlineStr">
        <is>
          <t>Leeds</t>
        </is>
      </c>
      <c r="K50" s="5" t="inlineStr">
        <is>
          <t>LS15 7HW</t>
        </is>
      </c>
      <c r="L50" s="5" t="inlineStr"/>
      <c r="M50" s="5" t="inlineStr"/>
      <c r="N50" s="5" t="inlineStr"/>
      <c r="O50" s="5" t="inlineStr"/>
      <c r="P50" s="5" t="inlineStr"/>
      <c r="Q50" s="5" t="inlineStr"/>
      <c r="R50" s="5" t="inlineStr"/>
      <c r="S50" s="5" t="inlineStr"/>
      <c r="T50" s="5" t="inlineStr"/>
      <c r="U50" s="5" t="inlineStr"/>
      <c r="V50" s="5" t="inlineStr">
        <is>
          <t>Medium</t>
        </is>
      </c>
      <c r="W50" s="5" t="inlineStr">
        <is>
          <t>Independent retailer; Core relevant category</t>
        </is>
      </c>
      <c r="X50" s="5" t="inlineStr">
        <is>
          <t>Not Found</t>
        </is>
      </c>
      <c r="Y50" s="5" t="inlineStr">
        <is>
          <t>Not Found</t>
        </is>
      </c>
      <c r="Z50" s="5" t="inlineStr">
        <is>
          <t>Low</t>
        </is>
      </c>
      <c r="AA50" s="5" t="inlineStr">
        <is>
          <t>Requires Verification</t>
        </is>
      </c>
      <c r="AB50" s="5" t="inlineStr">
        <is>
          <t>https://ecigdirectory.co.uk/vape-shop/listing/vapeshop-leeds</t>
        </is>
      </c>
    </row>
    <row r="51">
      <c r="A51" s="10" t="inlineStr">
        <is>
          <t>WY-0180</t>
        </is>
      </c>
      <c r="B51" s="10" t="inlineStr">
        <is>
          <t>WY-0180-01</t>
        </is>
      </c>
      <c r="C51" s="10" t="inlineStr"/>
      <c r="D51" s="10" t="inlineStr">
        <is>
          <t>Vaperites</t>
        </is>
      </c>
      <c r="E51" s="10" t="inlineStr">
        <is>
          <t>Vape Shop</t>
        </is>
      </c>
      <c r="F51" s="10" t="inlineStr">
        <is>
          <t>Vape retailer and wholesaler</t>
        </is>
      </c>
      <c r="G51" s="10" t="inlineStr">
        <is>
          <t>Independent</t>
        </is>
      </c>
      <c r="H51" s="10" t="inlineStr">
        <is>
          <t>1</t>
        </is>
      </c>
      <c r="I51" s="10" t="inlineStr">
        <is>
          <t>9 Horse Fair</t>
        </is>
      </c>
      <c r="J51" s="10" t="inlineStr">
        <is>
          <t>Pontefract</t>
        </is>
      </c>
      <c r="K51" s="10" t="inlineStr">
        <is>
          <t>WF8 1PE</t>
        </is>
      </c>
      <c r="L51" s="10" t="inlineStr">
        <is>
          <t>01977 278484</t>
        </is>
      </c>
      <c r="M51" s="10" t="inlineStr">
        <is>
          <t>vaperite@gmail.com</t>
        </is>
      </c>
      <c r="N51" s="10" t="inlineStr"/>
      <c r="O51" s="10" t="inlineStr">
        <is>
          <t>https://vaperites.co.uk</t>
        </is>
      </c>
      <c r="P51" s="10" t="inlineStr">
        <is>
          <t>https://www.facebook.com/TheVapePeople/</t>
        </is>
      </c>
      <c r="Q51" s="10" t="inlineStr"/>
      <c r="R51" s="10" t="inlineStr"/>
      <c r="S51" s="10" t="inlineStr"/>
      <c r="T51" s="10" t="inlineStr"/>
      <c r="U51" s="10" t="inlineStr"/>
      <c r="V51" s="10" t="inlineStr">
        <is>
          <t>High</t>
        </is>
      </c>
      <c r="W51" s="10" t="inlineStr">
        <is>
          <t>Independent retailer; Core relevant category; Public email available; Active website; Social presence</t>
        </is>
      </c>
      <c r="X51" s="10" t="inlineStr">
        <is>
          <t>Verified directory</t>
        </is>
      </c>
      <c r="Y51" s="10" t="inlineStr">
        <is>
          <t>Unverified</t>
        </is>
      </c>
      <c r="Z51" s="10" t="inlineStr">
        <is>
          <t>Medium</t>
        </is>
      </c>
      <c r="AA51" s="10" t="inlineStr">
        <is>
          <t>Requires Verification</t>
        </is>
      </c>
      <c r="AB51" s="10" t="inlineStr">
        <is>
          <t>https://www.facebook.com/TheVapePeople/posts/new-opening-times9-horsefair-pontefract-wf8-1pe/417671657263981/</t>
        </is>
      </c>
    </row>
    <row r="52">
      <c r="A52" s="5" t="inlineStr">
        <is>
          <t>WY-0181</t>
        </is>
      </c>
      <c r="B52" s="5" t="inlineStr">
        <is>
          <t>WY-0181-01</t>
        </is>
      </c>
      <c r="C52" s="5" t="inlineStr"/>
      <c r="D52" s="5" t="inlineStr">
        <is>
          <t>Vapestation</t>
        </is>
      </c>
      <c r="E52" s="5" t="inlineStr">
        <is>
          <t>Vape Shop</t>
        </is>
      </c>
      <c r="F52" s="5" t="inlineStr">
        <is>
          <t>E-liquid and hardware specialist</t>
        </is>
      </c>
      <c r="G52" s="5" t="inlineStr">
        <is>
          <t>Independent</t>
        </is>
      </c>
      <c r="H52" s="5" t="inlineStr">
        <is>
          <t>1</t>
        </is>
      </c>
      <c r="I52" s="5" t="inlineStr">
        <is>
          <t>39a Horton Street</t>
        </is>
      </c>
      <c r="J52" s="5" t="inlineStr">
        <is>
          <t>Halifax</t>
        </is>
      </c>
      <c r="K52" s="5" t="inlineStr">
        <is>
          <t>HX1 1QE</t>
        </is>
      </c>
      <c r="L52" s="5" t="inlineStr">
        <is>
          <t>01422 365557</t>
        </is>
      </c>
      <c r="M52" s="5" t="inlineStr"/>
      <c r="N52" s="5" t="inlineStr"/>
      <c r="O52" s="5" t="inlineStr"/>
      <c r="P52" s="5" t="inlineStr"/>
      <c r="Q52" s="5" t="inlineStr"/>
      <c r="R52" s="5" t="inlineStr"/>
      <c r="S52" s="5" t="inlineStr"/>
      <c r="T52" s="5" t="inlineStr"/>
      <c r="U52" s="5" t="inlineStr"/>
      <c r="V52" s="5" t="inlineStr">
        <is>
          <t>Medium</t>
        </is>
      </c>
      <c r="W52" s="5" t="inlineStr">
        <is>
          <t>Independent retailer; Core relevant category; Social presence</t>
        </is>
      </c>
      <c r="X52" s="5" t="inlineStr">
        <is>
          <t>Verified directory</t>
        </is>
      </c>
      <c r="Y52" s="5" t="inlineStr">
        <is>
          <t>Not Found</t>
        </is>
      </c>
      <c r="Z52" s="5" t="inlineStr">
        <is>
          <t>Medium</t>
        </is>
      </c>
      <c r="AA52" s="5" t="inlineStr">
        <is>
          <t>Requires Verification</t>
        </is>
      </c>
      <c r="AB52" s="5" t="inlineStr">
        <is>
          <t>https://www.yell.com/biz/vape-station-halifax-8116342/</t>
        </is>
      </c>
    </row>
    <row r="53">
      <c r="A53" s="10" t="inlineStr">
        <is>
          <t>WY-0182</t>
        </is>
      </c>
      <c r="B53" s="10" t="inlineStr">
        <is>
          <t>WY-0182-01</t>
        </is>
      </c>
      <c r="C53" s="10" t="inlineStr"/>
      <c r="D53" s="10" t="inlineStr">
        <is>
          <t>Vaping Bar Normanton</t>
        </is>
      </c>
      <c r="E53" s="10" t="inlineStr">
        <is>
          <t>Vape Shop</t>
        </is>
      </c>
      <c r="F53" s="10" t="inlineStr">
        <is>
          <t>Vape retailer</t>
        </is>
      </c>
      <c r="G53" s="10" t="inlineStr">
        <is>
          <t>Independent</t>
        </is>
      </c>
      <c r="H53" s="10" t="inlineStr">
        <is>
          <t>1</t>
        </is>
      </c>
      <c r="I53" s="10" t="inlineStr"/>
      <c r="J53" s="10" t="inlineStr">
        <is>
          <t>Normanton</t>
        </is>
      </c>
      <c r="K53" s="10" t="inlineStr"/>
      <c r="L53" s="10" t="inlineStr"/>
      <c r="M53" s="10" t="inlineStr"/>
      <c r="N53" s="10" t="inlineStr"/>
      <c r="O53" s="10" t="inlineStr"/>
      <c r="P53" s="10" t="inlineStr">
        <is>
          <t>https://www.facebook.com/p/Vaping-Bar-Normanton-100063635944918/</t>
        </is>
      </c>
      <c r="Q53" s="10" t="inlineStr"/>
      <c r="R53" s="10" t="inlineStr"/>
      <c r="S53" s="10" t="inlineStr"/>
      <c r="T53" s="10" t="inlineStr"/>
      <c r="U53" s="10" t="inlineStr"/>
      <c r="V53" s="10" t="inlineStr">
        <is>
          <t>Medium</t>
        </is>
      </c>
      <c r="W53" s="10" t="inlineStr">
        <is>
          <t>Independent retailer; Core relevant category; Social presence</t>
        </is>
      </c>
      <c r="X53" s="10" t="inlineStr">
        <is>
          <t>Not Found</t>
        </is>
      </c>
      <c r="Y53" s="10" t="inlineStr">
        <is>
          <t>Not Found</t>
        </is>
      </c>
      <c r="Z53" s="10" t="inlineStr">
        <is>
          <t>Low</t>
        </is>
      </c>
      <c r="AA53" s="10" t="inlineStr">
        <is>
          <t>Requires Verification</t>
        </is>
      </c>
      <c r="AB53" s="10" t="inlineStr">
        <is>
          <t>https://www.facebook.com/p/Vaping-Bar-Normanton-100063635944918/</t>
        </is>
      </c>
    </row>
    <row r="54">
      <c r="A54" s="5" t="inlineStr">
        <is>
          <t>WY-0183</t>
        </is>
      </c>
      <c r="B54" s="5" t="inlineStr">
        <is>
          <t>WY-0183-01</t>
        </is>
      </c>
      <c r="C54" s="5" t="inlineStr"/>
      <c r="D54" s="5" t="inlineStr">
        <is>
          <t>Vaporized Meanwood</t>
        </is>
      </c>
      <c r="E54" s="5" t="inlineStr">
        <is>
          <t>Vape Shop</t>
        </is>
      </c>
      <c r="F54" s="5" t="inlineStr">
        <is>
          <t>E-cigarette and e-liquid shop</t>
        </is>
      </c>
      <c r="G54" s="5" t="inlineStr">
        <is>
          <t>Unknown</t>
        </is>
      </c>
      <c r="H54" s="5" t="inlineStr">
        <is>
          <t>1</t>
        </is>
      </c>
      <c r="I54" s="5" t="inlineStr">
        <is>
          <t>16 Stonegate Road</t>
        </is>
      </c>
      <c r="J54" s="5" t="inlineStr">
        <is>
          <t>Leeds</t>
        </is>
      </c>
      <c r="K54" s="5" t="inlineStr">
        <is>
          <t>LS6 4HY</t>
        </is>
      </c>
      <c r="L54" s="5" t="inlineStr">
        <is>
          <t>0113 274 8997</t>
        </is>
      </c>
      <c r="M54" s="5" t="inlineStr"/>
      <c r="N54" s="5" t="inlineStr"/>
      <c r="O54" s="5" t="inlineStr"/>
      <c r="P54" s="5" t="inlineStr"/>
      <c r="Q54" s="5" t="inlineStr"/>
      <c r="R54" s="5" t="inlineStr"/>
      <c r="S54" s="5" t="inlineStr"/>
      <c r="T54" s="5" t="inlineStr"/>
      <c r="U54" s="5" t="inlineStr"/>
      <c r="V54" s="5" t="inlineStr">
        <is>
          <t>Low</t>
        </is>
      </c>
      <c r="W54" s="5" t="inlineStr">
        <is>
          <t>Core relevant category</t>
        </is>
      </c>
      <c r="X54" s="5" t="inlineStr">
        <is>
          <t>Verified directory</t>
        </is>
      </c>
      <c r="Y54" s="5" t="inlineStr">
        <is>
          <t>Not Found</t>
        </is>
      </c>
      <c r="Z54" s="5" t="inlineStr">
        <is>
          <t>Low</t>
        </is>
      </c>
      <c r="AA54" s="5" t="inlineStr">
        <is>
          <t>Requires Verification</t>
        </is>
      </c>
      <c r="AB54" s="5" t="inlineStr">
        <is>
          <t>https://ecigdirectory.co.uk/vape-shop/listing/vaporized-meanwood-leeds</t>
        </is>
      </c>
    </row>
    <row r="55">
      <c r="A55" s="10" t="inlineStr">
        <is>
          <t>WY-0184</t>
        </is>
      </c>
      <c r="B55" s="10" t="inlineStr">
        <is>
          <t>WY-0184-01</t>
        </is>
      </c>
      <c r="C55" s="10" t="inlineStr"/>
      <c r="D55" s="10" t="inlineStr">
        <is>
          <t>Vapour Parlour</t>
        </is>
      </c>
      <c r="E55" s="10" t="inlineStr">
        <is>
          <t>Vape Shop</t>
        </is>
      </c>
      <c r="F55" s="10" t="inlineStr">
        <is>
          <t>Vape retailer</t>
        </is>
      </c>
      <c r="G55" s="10" t="inlineStr">
        <is>
          <t>Independent</t>
        </is>
      </c>
      <c r="H55" s="10" t="inlineStr">
        <is>
          <t>1</t>
        </is>
      </c>
      <c r="I55" s="10" t="inlineStr">
        <is>
          <t>83 Kirkby Road</t>
        </is>
      </c>
      <c r="J55" s="10" t="inlineStr">
        <is>
          <t>Hemsworth</t>
        </is>
      </c>
      <c r="K55" s="10" t="inlineStr"/>
      <c r="L55" s="10" t="inlineStr"/>
      <c r="M55" s="10" t="inlineStr"/>
      <c r="N55" s="10" t="inlineStr"/>
      <c r="O55" s="10" t="inlineStr"/>
      <c r="P55" s="10" t="inlineStr"/>
      <c r="Q55" s="10" t="inlineStr"/>
      <c r="R55" s="10" t="inlineStr"/>
      <c r="S55" s="10" t="inlineStr"/>
      <c r="T55" s="10" t="inlineStr"/>
      <c r="U55" s="10" t="inlineStr"/>
      <c r="V55" s="10" t="inlineStr">
        <is>
          <t>Medium</t>
        </is>
      </c>
      <c r="W55" s="10" t="inlineStr">
        <is>
          <t>Independent retailer; Core relevant category</t>
        </is>
      </c>
      <c r="X55" s="10" t="inlineStr">
        <is>
          <t>Not Found</t>
        </is>
      </c>
      <c r="Y55" s="10" t="inlineStr">
        <is>
          <t>Not Found</t>
        </is>
      </c>
      <c r="Z55" s="10" t="inlineStr">
        <is>
          <t>Low</t>
        </is>
      </c>
      <c r="AA55" s="10" t="inlineStr">
        <is>
          <t>Requires Verification</t>
        </is>
      </c>
      <c r="AB55" s="10" t="inlineStr">
        <is>
          <t>https://ecigdirectory.co.uk/vape-shop/listing/vapour-parlour</t>
        </is>
      </c>
    </row>
    <row r="56">
      <c r="A56" s="5" t="inlineStr">
        <is>
          <t>WY-0191</t>
        </is>
      </c>
      <c r="B56" s="5" t="inlineStr">
        <is>
          <t>WY-0191-01</t>
        </is>
      </c>
      <c r="C56" s="5" t="inlineStr"/>
      <c r="D56" s="5" t="inlineStr">
        <is>
          <t>Zesty Vape</t>
        </is>
      </c>
      <c r="E56" s="5" t="inlineStr">
        <is>
          <t>Vape Shop</t>
        </is>
      </c>
      <c r="F56" s="5" t="inlineStr"/>
      <c r="G56" s="5" t="inlineStr">
        <is>
          <t>Independent</t>
        </is>
      </c>
      <c r="H56" s="5" t="inlineStr">
        <is>
          <t>1</t>
        </is>
      </c>
      <c r="I56" s="5" t="inlineStr">
        <is>
          <t>108 Commercial Street</t>
        </is>
      </c>
      <c r="J56" s="5" t="inlineStr">
        <is>
          <t>Brighouse</t>
        </is>
      </c>
      <c r="K56" s="5" t="inlineStr">
        <is>
          <t>HD6 1AQ</t>
        </is>
      </c>
      <c r="L56" s="5" t="inlineStr">
        <is>
          <t>01484 722183</t>
        </is>
      </c>
      <c r="M56" s="5" t="inlineStr"/>
      <c r="N56" s="5" t="inlineStr"/>
      <c r="O56" s="5" t="inlineStr"/>
      <c r="P56" s="5" t="inlineStr"/>
      <c r="Q56" s="5" t="inlineStr"/>
      <c r="R56" s="5" t="inlineStr"/>
      <c r="S56" s="5" t="inlineStr"/>
      <c r="T56" s="5" t="inlineStr"/>
      <c r="U56" s="5" t="inlineStr"/>
      <c r="V56" s="5" t="inlineStr">
        <is>
          <t>Medium</t>
        </is>
      </c>
      <c r="W56" s="5" t="inlineStr">
        <is>
          <t>Independent retailer; Core relevant category</t>
        </is>
      </c>
      <c r="X56" s="5" t="inlineStr">
        <is>
          <t>Verified directory</t>
        </is>
      </c>
      <c r="Y56" s="5" t="inlineStr">
        <is>
          <t>Not Found</t>
        </is>
      </c>
      <c r="Z56" s="5" t="inlineStr">
        <is>
          <t>Medium</t>
        </is>
      </c>
      <c r="AA56" s="5" t="inlineStr">
        <is>
          <t>Requires Verification</t>
        </is>
      </c>
      <c r="AB56" s="5" t="inlineStr">
        <is>
          <t>https://brighouse.cylex-uk.co.uk/vape-shops/</t>
        </is>
      </c>
    </row>
    <row r="57">
      <c r="A57" s="10" t="inlineStr">
        <is>
          <t>WY-0192</t>
        </is>
      </c>
      <c r="B57" s="10" t="inlineStr">
        <is>
          <t>WY-0192-01</t>
        </is>
      </c>
      <c r="C57" s="10" t="inlineStr"/>
      <c r="D57" s="10" t="inlineStr">
        <is>
          <t>eVape Outlet</t>
        </is>
      </c>
      <c r="E57" s="10" t="inlineStr">
        <is>
          <t>Vape Shop</t>
        </is>
      </c>
      <c r="F57" s="10" t="inlineStr">
        <is>
          <t>Vape shop</t>
        </is>
      </c>
      <c r="G57" s="10" t="inlineStr">
        <is>
          <t>Independent</t>
        </is>
      </c>
      <c r="H57" s="10" t="inlineStr">
        <is>
          <t>1</t>
        </is>
      </c>
      <c r="I57" s="10" t="inlineStr"/>
      <c r="J57" s="10" t="inlineStr">
        <is>
          <t>Keighley</t>
        </is>
      </c>
      <c r="K57" s="10" t="inlineStr"/>
      <c r="L57" s="10" t="inlineStr"/>
      <c r="M57" s="10" t="inlineStr"/>
      <c r="N57" s="10" t="inlineStr"/>
      <c r="O57" s="10" t="inlineStr"/>
      <c r="P57" s="10" t="inlineStr"/>
      <c r="Q57" s="10" t="inlineStr"/>
      <c r="R57" s="10" t="inlineStr"/>
      <c r="S57" s="10" t="inlineStr"/>
      <c r="T57" s="10" t="inlineStr"/>
      <c r="U57" s="10" t="inlineStr"/>
      <c r="V57" s="10" t="inlineStr">
        <is>
          <t>Medium</t>
        </is>
      </c>
      <c r="W57" s="10" t="inlineStr">
        <is>
          <t>Independent retailer; Core relevant category</t>
        </is>
      </c>
      <c r="X57" s="10" t="inlineStr">
        <is>
          <t>Not Found</t>
        </is>
      </c>
      <c r="Y57" s="10" t="inlineStr">
        <is>
          <t>Not Found</t>
        </is>
      </c>
      <c r="Z57" s="10" t="inlineStr">
        <is>
          <t>Low</t>
        </is>
      </c>
      <c r="AA57" s="10" t="inlineStr">
        <is>
          <t>Requires Verification</t>
        </is>
      </c>
      <c r="AB57" s="10" t="inlineStr">
        <is>
          <t>https://keighley.cylex-uk.co.uk/company/evape-outlet-27656791.html</t>
        </is>
      </c>
    </row>
    <row r="58">
      <c r="A58" s="5" t="inlineStr">
        <is>
          <t>WY-0193</t>
        </is>
      </c>
      <c r="B58" s="5" t="inlineStr">
        <is>
          <t>WY-0193-01</t>
        </is>
      </c>
      <c r="C58" s="5" t="inlineStr"/>
      <c r="D58" s="5" t="inlineStr">
        <is>
          <t>iVape Lounge</t>
        </is>
      </c>
      <c r="E58" s="5" t="inlineStr">
        <is>
          <t>Vape Shop</t>
        </is>
      </c>
      <c r="F58" s="5" t="inlineStr"/>
      <c r="G58" s="5" t="inlineStr">
        <is>
          <t>Independent</t>
        </is>
      </c>
      <c r="H58" s="5" t="inlineStr">
        <is>
          <t>1</t>
        </is>
      </c>
      <c r="I58" s="5" t="inlineStr">
        <is>
          <t>53 Halifax Road</t>
        </is>
      </c>
      <c r="J58" s="5" t="inlineStr">
        <is>
          <t>Todmorden</t>
        </is>
      </c>
      <c r="K58" s="5" t="inlineStr">
        <is>
          <t>OL14 5BB</t>
        </is>
      </c>
      <c r="L58" s="5" t="inlineStr"/>
      <c r="M58" s="5" t="inlineStr"/>
      <c r="N58" s="5" t="inlineStr"/>
      <c r="O58" s="5" t="inlineStr"/>
      <c r="P58" s="5" t="inlineStr"/>
      <c r="Q58" s="5" t="inlineStr"/>
      <c r="R58" s="5" t="inlineStr"/>
      <c r="S58" s="5" t="inlineStr"/>
      <c r="T58" s="5" t="inlineStr"/>
      <c r="U58" s="5" t="inlineStr"/>
      <c r="V58" s="5" t="inlineStr">
        <is>
          <t>Medium</t>
        </is>
      </c>
      <c r="W58" s="5" t="inlineStr">
        <is>
          <t>Independent retailer; Core relevant category</t>
        </is>
      </c>
      <c r="X58" s="5" t="inlineStr">
        <is>
          <t>Not Found</t>
        </is>
      </c>
      <c r="Y58" s="5" t="inlineStr">
        <is>
          <t>Not Found</t>
        </is>
      </c>
      <c r="Z58" s="5" t="inlineStr">
        <is>
          <t>Low</t>
        </is>
      </c>
      <c r="AA58" s="5" t="inlineStr">
        <is>
          <t>Requires Verification</t>
        </is>
      </c>
      <c r="AB58" s="5" t="inlineStr">
        <is>
          <t>https://ivape-lounge-todmorden-vape-shop.wheree.com/</t>
        </is>
      </c>
    </row>
  </sheetData>
  <autoFilter ref="A1:AB5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9"/>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45" customWidth="1" min="4" max="4"/>
    <col width="19" customWidth="1" min="5" max="5"/>
    <col width="45" customWidth="1" min="6" max="6"/>
    <col width="26" customWidth="1" min="7" max="7"/>
    <col width="21" customWidth="1" min="8" max="8"/>
    <col width="45" customWidth="1" min="9" max="9"/>
    <col width="16" customWidth="1" min="10" max="10"/>
    <col width="10" customWidth="1" min="11" max="11"/>
    <col width="15" customWidth="1" min="12" max="12"/>
    <col width="22" customWidth="1" min="13" max="13"/>
    <col width="13" customWidth="1" min="14" max="14"/>
    <col width="45" customWidth="1" min="15" max="15"/>
    <col width="45" customWidth="1" min="16" max="16"/>
    <col width="11"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WY-0014</t>
        </is>
      </c>
      <c r="B2" s="5" t="inlineStr">
        <is>
          <t>GTNEWS-01</t>
        </is>
      </c>
      <c r="C2" s="5" t="inlineStr">
        <is>
          <t>GT News</t>
        </is>
      </c>
      <c r="D2" s="5" t="inlineStr">
        <is>
          <t>GT News (White Rose Shopping Centre)</t>
        </is>
      </c>
      <c r="E2" s="5" t="inlineStr">
        <is>
          <t>Newsagent</t>
        </is>
      </c>
      <c r="F2" s="5" t="inlineStr">
        <is>
          <t>Shopping-centre newsagent and convenience kiosk</t>
        </is>
      </c>
      <c r="G2" s="5" t="inlineStr">
        <is>
          <t>Multi-Site Independent</t>
        </is>
      </c>
      <c r="H2" s="5" t="inlineStr">
        <is>
          <t>2</t>
        </is>
      </c>
      <c r="I2" s="5" t="inlineStr">
        <is>
          <t>Unit 28E Lower Level, White Rose Shopping Centre</t>
        </is>
      </c>
      <c r="J2" s="5" t="inlineStr">
        <is>
          <t>Leeds</t>
        </is>
      </c>
      <c r="K2" s="5" t="inlineStr">
        <is>
          <t>LS11 8LU</t>
        </is>
      </c>
      <c r="L2" s="5" t="inlineStr">
        <is>
          <t>0113 228 6446</t>
        </is>
      </c>
      <c r="M2" s="5" t="inlineStr"/>
      <c r="N2" s="5" t="inlineStr"/>
      <c r="O2" s="5" t="inlineStr">
        <is>
          <t>http://www.gtnews.co.uk/</t>
        </is>
      </c>
      <c r="P2" s="5" t="inlineStr"/>
      <c r="Q2" s="5" t="inlineStr"/>
      <c r="R2" s="5" t="inlineStr"/>
      <c r="S2" s="5" t="inlineStr"/>
      <c r="T2" s="5" t="inlineStr"/>
      <c r="U2" s="5" t="inlineStr"/>
      <c r="V2" s="5" t="inlineStr">
        <is>
          <t>Medium</t>
        </is>
      </c>
      <c r="W2" s="5" t="inlineStr">
        <is>
          <t>Multi-site retailer; Independent retailer; Relevant category; Active website</t>
        </is>
      </c>
      <c r="X2" s="5" t="inlineStr">
        <is>
          <t>Verified directory</t>
        </is>
      </c>
      <c r="Y2" s="5" t="inlineStr">
        <is>
          <t>Website Found</t>
        </is>
      </c>
      <c r="Z2" s="5" t="inlineStr">
        <is>
          <t>Medium</t>
        </is>
      </c>
      <c r="AA2" s="5" t="inlineStr">
        <is>
          <t>Requires Verification</t>
        </is>
      </c>
      <c r="AB2" s="5" t="inlineStr">
        <is>
          <t>https://www.leedsonline.co.uk/info/17974/</t>
        </is>
      </c>
    </row>
    <row r="3">
      <c r="A3" s="10" t="inlineStr">
        <is>
          <t>WY-0020</t>
        </is>
      </c>
      <c r="B3" s="10" t="inlineStr">
        <is>
          <t>MULLACO-02</t>
        </is>
      </c>
      <c r="C3" s="10" t="inlineStr">
        <is>
          <t>Mullaco</t>
        </is>
      </c>
      <c r="D3" s="10" t="inlineStr">
        <is>
          <t>Mullaco Minimarket (Dewsbury)</t>
        </is>
      </c>
      <c r="E3" s="10" t="inlineStr">
        <is>
          <t>Convenience Store</t>
        </is>
      </c>
      <c r="F3" s="10" t="inlineStr">
        <is>
          <t>World foods minimarket</t>
        </is>
      </c>
      <c r="G3" s="10" t="inlineStr">
        <is>
          <t>Regional Chain</t>
        </is>
      </c>
      <c r="H3" s="10" t="inlineStr">
        <is>
          <t>3</t>
        </is>
      </c>
      <c r="I3" s="10" t="inlineStr"/>
      <c r="J3" s="10" t="inlineStr">
        <is>
          <t>Dewsbury</t>
        </is>
      </c>
      <c r="K3" s="10" t="inlineStr">
        <is>
          <t>WF12 9LX</t>
        </is>
      </c>
      <c r="L3" s="10" t="inlineStr"/>
      <c r="M3" s="10" t="inlineStr"/>
      <c r="N3" s="10" t="inlineStr"/>
      <c r="O3" s="10" t="inlineStr">
        <is>
          <t>https://mullaco.co.uk/</t>
        </is>
      </c>
      <c r="P3" s="10" t="inlineStr">
        <is>
          <t>https://www.facebook.com/mullaco.supermarket/</t>
        </is>
      </c>
      <c r="Q3" s="10" t="inlineStr"/>
      <c r="R3" s="10" t="inlineStr"/>
      <c r="S3" s="10" t="inlineStr"/>
      <c r="T3" s="10" t="inlineStr"/>
      <c r="U3" s="10" t="inlineStr"/>
      <c r="V3" s="10" t="inlineStr">
        <is>
          <t>Medium</t>
        </is>
      </c>
      <c r="W3" s="10" t="inlineStr">
        <is>
          <t>Multi-site retailer; Relevant category; Active website; Social presence</t>
        </is>
      </c>
      <c r="X3" s="10" t="inlineStr">
        <is>
          <t>Not Found</t>
        </is>
      </c>
      <c r="Y3" s="10" t="inlineStr">
        <is>
          <t>Website Found</t>
        </is>
      </c>
      <c r="Z3" s="10" t="inlineStr">
        <is>
          <t>Medium</t>
        </is>
      </c>
      <c r="AA3" s="10" t="inlineStr">
        <is>
          <t>Requires Verification</t>
        </is>
      </c>
      <c r="AB3" s="10" t="inlineStr">
        <is>
          <t>https://www.facebook.com/mullaco.supermarket/</t>
        </is>
      </c>
    </row>
    <row r="4">
      <c r="A4" s="5" t="inlineStr">
        <is>
          <t>WY-0048</t>
        </is>
      </c>
      <c r="B4" s="5" t="inlineStr">
        <is>
          <t>WY-0048-01</t>
        </is>
      </c>
      <c r="C4" s="5" t="inlineStr"/>
      <c r="D4" s="5" t="inlineStr">
        <is>
          <t>AV &amp; JI Stores</t>
        </is>
      </c>
      <c r="E4" s="5" t="inlineStr">
        <is>
          <t>Convenience Store</t>
        </is>
      </c>
      <c r="F4" s="5" t="inlineStr">
        <is>
          <t>Premier symbol group convenience store and off-licence</t>
        </is>
      </c>
      <c r="G4" s="5" t="inlineStr">
        <is>
          <t>Franchise / Symbol Group</t>
        </is>
      </c>
      <c r="H4" s="5" t="inlineStr">
        <is>
          <t>1</t>
        </is>
      </c>
      <c r="I4" s="5" t="inlineStr">
        <is>
          <t>12 Albert Road</t>
        </is>
      </c>
      <c r="J4" s="5" t="inlineStr">
        <is>
          <t>Sowerby Bridge</t>
        </is>
      </c>
      <c r="K4" s="5" t="inlineStr">
        <is>
          <t>HX6 2PA</t>
        </is>
      </c>
      <c r="L4" s="5" t="inlineStr"/>
      <c r="M4" s="5" t="inlineStr"/>
      <c r="N4" s="5" t="inlineStr"/>
      <c r="O4" s="5" t="inlineStr"/>
      <c r="P4" s="5" t="inlineStr">
        <is>
          <t>https://www.facebook.com/people/Premier-AV-JI-Stores/61567311514140/</t>
        </is>
      </c>
      <c r="Q4" s="5" t="inlineStr"/>
      <c r="R4" s="5" t="inlineStr"/>
      <c r="S4" s="5" t="inlineStr"/>
      <c r="T4" s="5" t="inlineStr"/>
      <c r="U4" s="5" t="inlineStr"/>
      <c r="V4" s="5" t="inlineStr">
        <is>
          <t>Medium</t>
        </is>
      </c>
      <c r="W4" s="5" t="inlineStr">
        <is>
          <t>Independent retailer; Relevant category; Social presence</t>
        </is>
      </c>
      <c r="X4" s="5" t="inlineStr">
        <is>
          <t>Not Found</t>
        </is>
      </c>
      <c r="Y4" s="5" t="inlineStr">
        <is>
          <t>Not Found</t>
        </is>
      </c>
      <c r="Z4" s="5" t="inlineStr">
        <is>
          <t>Medium</t>
        </is>
      </c>
      <c r="AA4" s="5" t="inlineStr">
        <is>
          <t>Requires Verification</t>
        </is>
      </c>
      <c r="AB4" s="5" t="inlineStr">
        <is>
          <t>https://www.facebook.com/people/Premier-AV-JI-Stores/61567311514140/</t>
        </is>
      </c>
    </row>
    <row r="5">
      <c r="A5" s="10" t="inlineStr">
        <is>
          <t>WY-0050</t>
        </is>
      </c>
      <c r="B5" s="10" t="inlineStr">
        <is>
          <t>WY-0050-01</t>
        </is>
      </c>
      <c r="C5" s="10" t="inlineStr"/>
      <c r="D5" s="10" t="inlineStr">
        <is>
          <t>Anwarsons Newsagency</t>
        </is>
      </c>
      <c r="E5" s="10" t="inlineStr">
        <is>
          <t>Newsagent</t>
        </is>
      </c>
      <c r="F5" s="10" t="inlineStr">
        <is>
          <t>Newsagent and tobacconist</t>
        </is>
      </c>
      <c r="G5" s="10" t="inlineStr">
        <is>
          <t>Independent</t>
        </is>
      </c>
      <c r="H5" s="10" t="inlineStr">
        <is>
          <t>1</t>
        </is>
      </c>
      <c r="I5" s="10" t="inlineStr">
        <is>
          <t>41 Bethel Street</t>
        </is>
      </c>
      <c r="J5" s="10" t="inlineStr">
        <is>
          <t>Brighouse</t>
        </is>
      </c>
      <c r="K5" s="10" t="inlineStr">
        <is>
          <t>HD6 1JR</t>
        </is>
      </c>
      <c r="L5" s="10" t="inlineStr">
        <is>
          <t>01484 717622</t>
        </is>
      </c>
      <c r="M5" s="10" t="inlineStr"/>
      <c r="N5" s="10" t="inlineStr"/>
      <c r="O5" s="10" t="inlineStr"/>
      <c r="P5" s="10" t="inlineStr"/>
      <c r="Q5" s="10" t="inlineStr"/>
      <c r="R5" s="10" t="inlineStr"/>
      <c r="S5" s="10" t="inlineStr"/>
      <c r="T5" s="10" t="inlineStr"/>
      <c r="U5" s="10" t="inlineStr"/>
      <c r="V5" s="10" t="inlineStr">
        <is>
          <t>Low</t>
        </is>
      </c>
      <c r="W5" s="10" t="inlineStr">
        <is>
          <t>Independent retailer; Relevant category</t>
        </is>
      </c>
      <c r="X5" s="10" t="inlineStr">
        <is>
          <t>Verified directory</t>
        </is>
      </c>
      <c r="Y5" s="10" t="inlineStr">
        <is>
          <t>Not Found</t>
        </is>
      </c>
      <c r="Z5" s="10" t="inlineStr">
        <is>
          <t>Medium</t>
        </is>
      </c>
      <c r="AA5" s="10" t="inlineStr">
        <is>
          <t>Requires Verification</t>
        </is>
      </c>
      <c r="AB5" s="10" t="inlineStr">
        <is>
          <t>https://thomsonlocal.com/search/Newsagents/Wyke-West-Yorkshire/Anwarsons-Newsagency/2652959/01484717622</t>
        </is>
      </c>
    </row>
    <row r="6">
      <c r="A6" s="5" t="inlineStr">
        <is>
          <t>WY-0051</t>
        </is>
      </c>
      <c r="B6" s="5" t="inlineStr">
        <is>
          <t>WY-0051-01</t>
        </is>
      </c>
      <c r="C6" s="5" t="inlineStr"/>
      <c r="D6" s="5" t="inlineStr">
        <is>
          <t>Armley Ridge Road Convenience Store &amp; Off-Licence</t>
        </is>
      </c>
      <c r="E6" s="5" t="inlineStr">
        <is>
          <t>Convenience Store</t>
        </is>
      </c>
      <c r="F6" s="5" t="inlineStr">
        <is>
          <t>Convenience store with off-licence</t>
        </is>
      </c>
      <c r="G6" s="5" t="inlineStr">
        <is>
          <t>Independent</t>
        </is>
      </c>
      <c r="H6" s="5" t="inlineStr">
        <is>
          <t>1</t>
        </is>
      </c>
      <c r="I6" s="5" t="inlineStr">
        <is>
          <t>Armley Ridge Road</t>
        </is>
      </c>
      <c r="J6" s="5" t="inlineStr">
        <is>
          <t>Leeds</t>
        </is>
      </c>
      <c r="K6" s="5" t="inlineStr"/>
      <c r="L6" s="5" t="inlineStr"/>
      <c r="M6" s="5" t="inlineStr"/>
      <c r="N6" s="5" t="inlineStr"/>
      <c r="O6" s="5" t="inlineStr"/>
      <c r="P6" s="5" t="inlineStr">
        <is>
          <t>https://www.facebook.com/NoProblemArmley/</t>
        </is>
      </c>
      <c r="Q6" s="5" t="inlineStr"/>
      <c r="R6" s="5" t="inlineStr"/>
      <c r="S6" s="5" t="inlineStr"/>
      <c r="T6" s="5" t="inlineStr"/>
      <c r="U6" s="5" t="inlineStr"/>
      <c r="V6" s="5" t="inlineStr">
        <is>
          <t>Medium</t>
        </is>
      </c>
      <c r="W6" s="5" t="inlineStr">
        <is>
          <t>Independent retailer; Relevant category; Social presence</t>
        </is>
      </c>
      <c r="X6" s="5" t="inlineStr">
        <is>
          <t>Not Found</t>
        </is>
      </c>
      <c r="Y6" s="5" t="inlineStr">
        <is>
          <t>Not Found</t>
        </is>
      </c>
      <c r="Z6" s="5" t="inlineStr">
        <is>
          <t>Low</t>
        </is>
      </c>
      <c r="AA6" s="5" t="inlineStr">
        <is>
          <t>Requires Verification</t>
        </is>
      </c>
      <c r="AB6" s="5" t="inlineStr">
        <is>
          <t>https://www.facebook.com/NoProblemArmley/</t>
        </is>
      </c>
    </row>
    <row r="7">
      <c r="A7" s="10" t="inlineStr">
        <is>
          <t>WY-0056</t>
        </is>
      </c>
      <c r="B7" s="10" t="inlineStr">
        <is>
          <t>WY-0056-01</t>
        </is>
      </c>
      <c r="C7" s="10" t="inlineStr"/>
      <c r="D7" s="10" t="inlineStr">
        <is>
          <t>Baildon Green Convenience Store</t>
        </is>
      </c>
      <c r="E7" s="10" t="inlineStr">
        <is>
          <t>Convenience Store</t>
        </is>
      </c>
      <c r="F7" s="10" t="inlineStr">
        <is>
          <t>Neighbourhood convenience store</t>
        </is>
      </c>
      <c r="G7" s="10" t="inlineStr">
        <is>
          <t>Independent</t>
        </is>
      </c>
      <c r="H7" s="10" t="inlineStr">
        <is>
          <t>1</t>
        </is>
      </c>
      <c r="I7" s="10" t="inlineStr">
        <is>
          <t>Cliffe Lane West</t>
        </is>
      </c>
      <c r="J7" s="10" t="inlineStr">
        <is>
          <t>Shipley</t>
        </is>
      </c>
      <c r="K7" s="10" t="inlineStr"/>
      <c r="L7" s="10" t="inlineStr"/>
      <c r="M7" s="10" t="inlineStr"/>
      <c r="N7" s="10" t="inlineStr"/>
      <c r="O7" s="10" t="inlineStr"/>
      <c r="P7" s="10" t="inlineStr"/>
      <c r="Q7" s="10" t="inlineStr"/>
      <c r="R7" s="10" t="inlineStr"/>
      <c r="S7" s="10" t="inlineStr"/>
      <c r="T7" s="10" t="inlineStr"/>
      <c r="U7" s="10" t="inlineStr"/>
      <c r="V7" s="10" t="inlineStr">
        <is>
          <t>Low</t>
        </is>
      </c>
      <c r="W7" s="10" t="inlineStr">
        <is>
          <t>Independent retailer; Relevant category</t>
        </is>
      </c>
      <c r="X7" s="10" t="inlineStr">
        <is>
          <t>Not Found</t>
        </is>
      </c>
      <c r="Y7" s="10" t="inlineStr">
        <is>
          <t>Not Found</t>
        </is>
      </c>
      <c r="Z7" s="10" t="inlineStr">
        <is>
          <t>Low</t>
        </is>
      </c>
      <c r="AA7" s="10" t="inlineStr">
        <is>
          <t>Requires Verification</t>
        </is>
      </c>
      <c r="AB7" s="10" t="inlineStr">
        <is>
          <t>https://www.yorkshire.com/shipley/shopping/corner-shops/baildon-green-convenience-store</t>
        </is>
      </c>
    </row>
    <row r="8">
      <c r="A8" s="5" t="inlineStr">
        <is>
          <t>WY-0070</t>
        </is>
      </c>
      <c r="B8" s="5" t="inlineStr">
        <is>
          <t>WY-0070-01</t>
        </is>
      </c>
      <c r="C8" s="5" t="inlineStr"/>
      <c r="D8" s="5" t="inlineStr">
        <is>
          <t>Brooks News</t>
        </is>
      </c>
      <c r="E8" s="5" t="inlineStr">
        <is>
          <t>Newsagent</t>
        </is>
      </c>
      <c r="F8" s="5" t="inlineStr"/>
      <c r="G8" s="5" t="inlineStr">
        <is>
          <t>Independent</t>
        </is>
      </c>
      <c r="H8" s="5" t="inlineStr">
        <is>
          <t>1</t>
        </is>
      </c>
      <c r="I8" s="5" t="inlineStr">
        <is>
          <t>19 Church Lane</t>
        </is>
      </c>
      <c r="J8" s="5" t="inlineStr">
        <is>
          <t>Pudsey</t>
        </is>
      </c>
      <c r="K8" s="5" t="inlineStr">
        <is>
          <t>LS28 7LD</t>
        </is>
      </c>
      <c r="L8" s="5" t="inlineStr">
        <is>
          <t>0113 257 3382</t>
        </is>
      </c>
      <c r="M8" s="5" t="inlineStr"/>
      <c r="N8" s="5" t="inlineStr"/>
      <c r="O8" s="5" t="inlineStr"/>
      <c r="P8" s="5" t="inlineStr"/>
      <c r="Q8" s="5" t="inlineStr"/>
      <c r="R8" s="5" t="inlineStr"/>
      <c r="S8" s="5" t="inlineStr"/>
      <c r="T8" s="5" t="inlineStr"/>
      <c r="U8" s="5" t="inlineStr"/>
      <c r="V8" s="5" t="inlineStr">
        <is>
          <t>Low</t>
        </is>
      </c>
      <c r="W8" s="5" t="inlineStr">
        <is>
          <t>Independent retailer; Relevant category</t>
        </is>
      </c>
      <c r="X8" s="5" t="inlineStr">
        <is>
          <t>Verified directory</t>
        </is>
      </c>
      <c r="Y8" s="5" t="inlineStr">
        <is>
          <t>Not Found</t>
        </is>
      </c>
      <c r="Z8" s="5" t="inlineStr">
        <is>
          <t>Medium</t>
        </is>
      </c>
      <c r="AA8" s="5" t="inlineStr">
        <is>
          <t>Requires Verification</t>
        </is>
      </c>
      <c r="AB8" s="5" t="inlineStr">
        <is>
          <t>https://www.thomsonlocal.com/search/newsagents/morley-west-yorkshire</t>
        </is>
      </c>
    </row>
    <row r="9">
      <c r="A9" s="10" t="inlineStr">
        <is>
          <t>WY-0072</t>
        </is>
      </c>
      <c r="B9" s="10" t="inlineStr">
        <is>
          <t>WY-0072-01</t>
        </is>
      </c>
      <c r="C9" s="10" t="inlineStr"/>
      <c r="D9" s="10" t="inlineStr">
        <is>
          <t>Carlton Self Service</t>
        </is>
      </c>
      <c r="E9" s="10" t="inlineStr">
        <is>
          <t>Newsagent</t>
        </is>
      </c>
      <c r="F9" s="10" t="inlineStr">
        <is>
          <t>Newsagent and self-service store</t>
        </is>
      </c>
      <c r="G9" s="10" t="inlineStr">
        <is>
          <t>Independent</t>
        </is>
      </c>
      <c r="H9" s="10" t="inlineStr">
        <is>
          <t>1</t>
        </is>
      </c>
      <c r="I9" s="10" t="inlineStr">
        <is>
          <t>6-8 Swanhill Lane</t>
        </is>
      </c>
      <c r="J9" s="10" t="inlineStr">
        <is>
          <t>Pontefract</t>
        </is>
      </c>
      <c r="K9" s="10" t="inlineStr">
        <is>
          <t>WF8 2SE</t>
        </is>
      </c>
      <c r="L9" s="10" t="inlineStr">
        <is>
          <t>01977 780317</t>
        </is>
      </c>
      <c r="M9" s="10" t="inlineStr"/>
      <c r="N9" s="10" t="inlineStr"/>
      <c r="O9" s="10" t="inlineStr"/>
      <c r="P9" s="10" t="inlineStr"/>
      <c r="Q9" s="10" t="inlineStr"/>
      <c r="R9" s="10" t="inlineStr"/>
      <c r="S9" s="10" t="inlineStr"/>
      <c r="T9" s="10" t="inlineStr"/>
      <c r="U9" s="10" t="inlineStr"/>
      <c r="V9" s="10" t="inlineStr">
        <is>
          <t>Low</t>
        </is>
      </c>
      <c r="W9" s="10" t="inlineStr">
        <is>
          <t>Independent retailer; Relevant category</t>
        </is>
      </c>
      <c r="X9" s="10" t="inlineStr">
        <is>
          <t>Verified directory</t>
        </is>
      </c>
      <c r="Y9" s="10" t="inlineStr">
        <is>
          <t>Not Found</t>
        </is>
      </c>
      <c r="Z9" s="10" t="inlineStr">
        <is>
          <t>Medium</t>
        </is>
      </c>
      <c r="AA9" s="10" t="inlineStr">
        <is>
          <t>Requires Verification</t>
        </is>
      </c>
      <c r="AB9" s="10" t="inlineStr">
        <is>
          <t>https://www.thomsonlocal.com/search/newsagents/wakefield-pontefract-castleford/carlton-self-service/1650013/01977780317</t>
        </is>
      </c>
    </row>
    <row r="10">
      <c r="A10" s="5" t="inlineStr">
        <is>
          <t>WY-0075</t>
        </is>
      </c>
      <c r="B10" s="5" t="inlineStr">
        <is>
          <t>WY-0075-01</t>
        </is>
      </c>
      <c r="C10" s="5" t="inlineStr"/>
      <c r="D10" s="5" t="inlineStr">
        <is>
          <t>Charlesworths</t>
        </is>
      </c>
      <c r="E10" s="5" t="inlineStr">
        <is>
          <t>Newsagent</t>
        </is>
      </c>
      <c r="F10" s="5" t="inlineStr">
        <is>
          <t>Newsagent, stationer, toys and confectionery</t>
        </is>
      </c>
      <c r="G10" s="5" t="inlineStr">
        <is>
          <t>Independent</t>
        </is>
      </c>
      <c r="H10" s="5" t="inlineStr">
        <is>
          <t>1</t>
        </is>
      </c>
      <c r="I10" s="5" t="inlineStr">
        <is>
          <t>27 Victoria Street</t>
        </is>
      </c>
      <c r="J10" s="5" t="inlineStr">
        <is>
          <t>Holmfirth</t>
        </is>
      </c>
      <c r="K10" s="5" t="inlineStr">
        <is>
          <t>HD9 7DF</t>
        </is>
      </c>
      <c r="L10" s="5" t="inlineStr">
        <is>
          <t>01484 681111</t>
        </is>
      </c>
      <c r="M10" s="5" t="inlineStr"/>
      <c r="N10" s="5" t="inlineStr"/>
      <c r="O10" s="5" t="inlineStr"/>
      <c r="P10" s="5" t="inlineStr"/>
      <c r="Q10" s="5" t="inlineStr"/>
      <c r="R10" s="5" t="inlineStr"/>
      <c r="S10" s="5" t="inlineStr"/>
      <c r="T10" s="5" t="inlineStr"/>
      <c r="U10" s="5" t="inlineStr"/>
      <c r="V10" s="5" t="inlineStr">
        <is>
          <t>Low</t>
        </is>
      </c>
      <c r="W10" s="5" t="inlineStr">
        <is>
          <t>Independent retailer; Relevant category</t>
        </is>
      </c>
      <c r="X10" s="5" t="inlineStr">
        <is>
          <t>Verified directory</t>
        </is>
      </c>
      <c r="Y10" s="5" t="inlineStr">
        <is>
          <t>Not Found</t>
        </is>
      </c>
      <c r="Z10" s="5" t="inlineStr">
        <is>
          <t>Medium</t>
        </is>
      </c>
      <c r="AA10" s="5" t="inlineStr">
        <is>
          <t>Requires Verification</t>
        </is>
      </c>
      <c r="AB10" s="5" t="inlineStr">
        <is>
          <t>https://myindex.co.uk/charlesworths.htm</t>
        </is>
      </c>
    </row>
    <row r="11">
      <c r="A11" s="10" t="inlineStr">
        <is>
          <t>WY-0076</t>
        </is>
      </c>
      <c r="B11" s="10" t="inlineStr">
        <is>
          <t>WY-0076-01</t>
        </is>
      </c>
      <c r="C11" s="10" t="inlineStr"/>
      <c r="D11" s="10" t="inlineStr">
        <is>
          <t>Costcutter Wibsey</t>
        </is>
      </c>
      <c r="E11" s="10" t="inlineStr">
        <is>
          <t>Convenience Store</t>
        </is>
      </c>
      <c r="F11" s="10" t="inlineStr">
        <is>
          <t>Symbol-group convenience store</t>
        </is>
      </c>
      <c r="G11" s="10" t="inlineStr">
        <is>
          <t>Franchise / Symbol Group</t>
        </is>
      </c>
      <c r="H11" s="10" t="inlineStr">
        <is>
          <t>1</t>
        </is>
      </c>
      <c r="I11" s="10" t="inlineStr">
        <is>
          <t>48 Holroyd Hill</t>
        </is>
      </c>
      <c r="J11" s="10" t="inlineStr">
        <is>
          <t>Bradford</t>
        </is>
      </c>
      <c r="K11" s="10" t="inlineStr">
        <is>
          <t>BD6 1PQ</t>
        </is>
      </c>
      <c r="L11" s="10" t="inlineStr">
        <is>
          <t>01274 723454</t>
        </is>
      </c>
      <c r="M11" s="10" t="inlineStr"/>
      <c r="N11" s="10" t="inlineStr"/>
      <c r="O11" s="10" t="inlineStr">
        <is>
          <t>https://store-locator.costcutter.co.uk/costcutter-b8ba71542351</t>
        </is>
      </c>
      <c r="P11" s="10" t="inlineStr"/>
      <c r="Q11" s="10" t="inlineStr"/>
      <c r="R11" s="10" t="inlineStr"/>
      <c r="S11" s="10" t="inlineStr"/>
      <c r="T11" s="10" t="inlineStr"/>
      <c r="U11" s="10" t="inlineStr"/>
      <c r="V11" s="10" t="inlineStr">
        <is>
          <t>Medium</t>
        </is>
      </c>
      <c r="W11" s="10" t="inlineStr">
        <is>
          <t>Independent retailer; Relevant category; Active website</t>
        </is>
      </c>
      <c r="X11" s="10" t="inlineStr">
        <is>
          <t>Verified directory</t>
        </is>
      </c>
      <c r="Y11" s="10" t="inlineStr">
        <is>
          <t>Not Found</t>
        </is>
      </c>
      <c r="Z11" s="10" t="inlineStr">
        <is>
          <t>Medium</t>
        </is>
      </c>
      <c r="AA11" s="10" t="inlineStr">
        <is>
          <t>Requires Verification</t>
        </is>
      </c>
      <c r="AB11" s="10" t="inlineStr">
        <is>
          <t>https://www.yorkshire.com/wibsey/shopping/corner-shops/costcutter-15</t>
        </is>
      </c>
    </row>
    <row r="12">
      <c r="A12" s="5" t="inlineStr">
        <is>
          <t>WY-0080</t>
        </is>
      </c>
      <c r="B12" s="5" t="inlineStr">
        <is>
          <t>WY-0080-01</t>
        </is>
      </c>
      <c r="C12" s="5" t="inlineStr"/>
      <c r="D12" s="5" t="inlineStr">
        <is>
          <t>Dhillon's Newsagents</t>
        </is>
      </c>
      <c r="E12" s="5" t="inlineStr">
        <is>
          <t>Newsagent</t>
        </is>
      </c>
      <c r="F12" s="5" t="inlineStr"/>
      <c r="G12" s="5" t="inlineStr">
        <is>
          <t>Independent</t>
        </is>
      </c>
      <c r="H12" s="5" t="inlineStr">
        <is>
          <t>1</t>
        </is>
      </c>
      <c r="I12" s="5" t="inlineStr">
        <is>
          <t>151 Broad Lane</t>
        </is>
      </c>
      <c r="J12" s="5" t="inlineStr">
        <is>
          <t>Leeds</t>
        </is>
      </c>
      <c r="K12" s="5" t="inlineStr">
        <is>
          <t>LS13 2JJ</t>
        </is>
      </c>
      <c r="L12" s="5" t="inlineStr">
        <is>
          <t>0113 257 8085</t>
        </is>
      </c>
      <c r="M12" s="5" t="inlineStr"/>
      <c r="N12" s="5" t="inlineStr"/>
      <c r="O12" s="5" t="inlineStr"/>
      <c r="P12" s="5" t="inlineStr"/>
      <c r="Q12" s="5" t="inlineStr"/>
      <c r="R12" s="5" t="inlineStr"/>
      <c r="S12" s="5" t="inlineStr"/>
      <c r="T12" s="5" t="inlineStr"/>
      <c r="U12" s="5" t="inlineStr"/>
      <c r="V12" s="5" t="inlineStr">
        <is>
          <t>Low</t>
        </is>
      </c>
      <c r="W12" s="5" t="inlineStr">
        <is>
          <t>Independent retailer; Relevant category</t>
        </is>
      </c>
      <c r="X12" s="5" t="inlineStr">
        <is>
          <t>Verified directory</t>
        </is>
      </c>
      <c r="Y12" s="5" t="inlineStr">
        <is>
          <t>Not Found</t>
        </is>
      </c>
      <c r="Z12" s="5" t="inlineStr">
        <is>
          <t>Medium</t>
        </is>
      </c>
      <c r="AA12" s="5" t="inlineStr">
        <is>
          <t>Requires Verification</t>
        </is>
      </c>
      <c r="AB12" s="5" t="inlineStr">
        <is>
          <t>https://findit.yorkshireeveningpost.co.uk/search/leeds/newsagent</t>
        </is>
      </c>
    </row>
    <row r="13">
      <c r="A13" s="10" t="inlineStr">
        <is>
          <t>WY-0087</t>
        </is>
      </c>
      <c r="B13" s="10" t="inlineStr">
        <is>
          <t>WY-0087-01</t>
        </is>
      </c>
      <c r="C13" s="10" t="inlineStr"/>
      <c r="D13" s="10" t="inlineStr">
        <is>
          <t>Freshco UK</t>
        </is>
      </c>
      <c r="E13" s="10" t="inlineStr">
        <is>
          <t>Convenience Store</t>
        </is>
      </c>
      <c r="F13" s="10" t="inlineStr">
        <is>
          <t>Grocery store with halal meat</t>
        </is>
      </c>
      <c r="G13" s="10" t="inlineStr">
        <is>
          <t>Independent</t>
        </is>
      </c>
      <c r="H13" s="10" t="inlineStr">
        <is>
          <t>1</t>
        </is>
      </c>
      <c r="I13" s="10" t="inlineStr"/>
      <c r="J13" s="10" t="inlineStr">
        <is>
          <t>Bradford</t>
        </is>
      </c>
      <c r="K13" s="10" t="inlineStr"/>
      <c r="L13" s="10" t="inlineStr"/>
      <c r="M13" s="10" t="inlineStr"/>
      <c r="N13" s="10" t="inlineStr"/>
      <c r="O13" s="10" t="inlineStr"/>
      <c r="P13" s="10" t="inlineStr"/>
      <c r="Q13" s="10" t="inlineStr"/>
      <c r="R13" s="10" t="inlineStr"/>
      <c r="S13" s="10" t="inlineStr"/>
      <c r="T13" s="10" t="inlineStr"/>
      <c r="U13" s="10" t="inlineStr"/>
      <c r="V13" s="10" t="inlineStr">
        <is>
          <t>Low</t>
        </is>
      </c>
      <c r="W13" s="10" t="inlineStr">
        <is>
          <t>Independent retailer; Relevant category</t>
        </is>
      </c>
      <c r="X13" s="10" t="inlineStr">
        <is>
          <t>Not Found</t>
        </is>
      </c>
      <c r="Y13" s="10" t="inlineStr">
        <is>
          <t>Not Found</t>
        </is>
      </c>
      <c r="Z13" s="10" t="inlineStr">
        <is>
          <t>Low</t>
        </is>
      </c>
      <c r="AA13" s="10" t="inlineStr">
        <is>
          <t>Requires Verification</t>
        </is>
      </c>
      <c r="AB13" s="10" t="inlineStr">
        <is>
          <t>https://freshco-uk-ltd.wheree.com/</t>
        </is>
      </c>
    </row>
    <row r="14">
      <c r="A14" s="5" t="inlineStr">
        <is>
          <t>WY-0089</t>
        </is>
      </c>
      <c r="B14" s="5" t="inlineStr">
        <is>
          <t>WY-0089-01</t>
        </is>
      </c>
      <c r="C14" s="5" t="inlineStr"/>
      <c r="D14" s="5" t="inlineStr">
        <is>
          <t>Gibraltar Mini Mart</t>
        </is>
      </c>
      <c r="E14" s="5" t="inlineStr">
        <is>
          <t>Convenience Store</t>
        </is>
      </c>
      <c r="F14" s="5" t="inlineStr">
        <is>
          <t>Convenience store with vapes and mobile accessories</t>
        </is>
      </c>
      <c r="G14" s="5" t="inlineStr">
        <is>
          <t>Independent</t>
        </is>
      </c>
      <c r="H14" s="5" t="inlineStr">
        <is>
          <t>1</t>
        </is>
      </c>
      <c r="I14" s="5" t="inlineStr">
        <is>
          <t>101 Hopwood Lane</t>
        </is>
      </c>
      <c r="J14" s="5" t="inlineStr">
        <is>
          <t>Halifax</t>
        </is>
      </c>
      <c r="K14" s="5" t="inlineStr"/>
      <c r="L14" s="5" t="inlineStr"/>
      <c r="M14" s="5" t="inlineStr"/>
      <c r="N14" s="5" t="inlineStr"/>
      <c r="O14" s="5" t="inlineStr"/>
      <c r="P14" s="5" t="inlineStr"/>
      <c r="Q14" s="5" t="inlineStr"/>
      <c r="R14" s="5" t="inlineStr"/>
      <c r="S14" s="5" t="inlineStr"/>
      <c r="T14" s="5" t="inlineStr"/>
      <c r="U14" s="5" t="inlineStr"/>
      <c r="V14" s="5" t="inlineStr">
        <is>
          <t>Low</t>
        </is>
      </c>
      <c r="W14" s="5" t="inlineStr">
        <is>
          <t>Independent retailer; Relevant category</t>
        </is>
      </c>
      <c r="X14" s="5" t="inlineStr">
        <is>
          <t>Not Found</t>
        </is>
      </c>
      <c r="Y14" s="5" t="inlineStr">
        <is>
          <t>Not Found</t>
        </is>
      </c>
      <c r="Z14" s="5" t="inlineStr">
        <is>
          <t>Low</t>
        </is>
      </c>
      <c r="AA14" s="5" t="inlineStr">
        <is>
          <t>Requires Verification</t>
        </is>
      </c>
      <c r="AB14" s="5" t="inlineStr">
        <is>
          <t>https://www.yorkshire.com/halifax/shopping/corner-shops/gibraltar-mini-mart-vapemobile-shop</t>
        </is>
      </c>
    </row>
    <row r="15">
      <c r="A15" s="10" t="inlineStr">
        <is>
          <t>WY-0090</t>
        </is>
      </c>
      <c r="B15" s="10" t="inlineStr">
        <is>
          <t>WY-0090-01</t>
        </is>
      </c>
      <c r="C15" s="10" t="inlineStr"/>
      <c r="D15" s="10" t="inlineStr">
        <is>
          <t>Global Mini Market 2</t>
        </is>
      </c>
      <c r="E15" s="10" t="inlineStr">
        <is>
          <t>Convenience Store</t>
        </is>
      </c>
      <c r="F15" s="10" t="inlineStr">
        <is>
          <t>24-hour convenience store &amp; off-licence</t>
        </is>
      </c>
      <c r="G15" s="10" t="inlineStr">
        <is>
          <t>Independent</t>
        </is>
      </c>
      <c r="H15" s="10" t="inlineStr">
        <is>
          <t>1</t>
        </is>
      </c>
      <c r="I15" s="10" t="inlineStr">
        <is>
          <t>83-85 Main Street</t>
        </is>
      </c>
      <c r="J15" s="10" t="inlineStr">
        <is>
          <t>Bingley</t>
        </is>
      </c>
      <c r="K15" s="10" t="inlineStr">
        <is>
          <t>BD16 2JA</t>
        </is>
      </c>
      <c r="L15" s="10" t="inlineStr"/>
      <c r="M15" s="10" t="inlineStr"/>
      <c r="N15" s="10" t="inlineStr"/>
      <c r="O15" s="10" t="inlineStr"/>
      <c r="P15" s="10" t="inlineStr"/>
      <c r="Q15" s="10" t="inlineStr"/>
      <c r="R15" s="10" t="inlineStr"/>
      <c r="S15" s="10" t="inlineStr"/>
      <c r="T15" s="10" t="inlineStr"/>
      <c r="U15" s="10" t="inlineStr"/>
      <c r="V15" s="10" t="inlineStr">
        <is>
          <t>Low</t>
        </is>
      </c>
      <c r="W15" s="10" t="inlineStr">
        <is>
          <t>Independent retailer; Relevant category</t>
        </is>
      </c>
      <c r="X15" s="10" t="inlineStr">
        <is>
          <t>Not Found</t>
        </is>
      </c>
      <c r="Y15" s="10" t="inlineStr">
        <is>
          <t>Not Found</t>
        </is>
      </c>
      <c r="Z15" s="10" t="inlineStr">
        <is>
          <t>Medium</t>
        </is>
      </c>
      <c r="AA15" s="10" t="inlineStr">
        <is>
          <t>Requires Verification</t>
        </is>
      </c>
      <c r="AB15" s="10" t="inlineStr">
        <is>
          <t>https://www.24houralcohol.co.uk/bradford-off-licences</t>
        </is>
      </c>
    </row>
    <row r="16">
      <c r="A16" s="5" t="inlineStr">
        <is>
          <t>WY-0096</t>
        </is>
      </c>
      <c r="B16" s="5" t="inlineStr">
        <is>
          <t>WY-0096-01</t>
        </is>
      </c>
      <c r="C16" s="5" t="inlineStr"/>
      <c r="D16" s="5" t="inlineStr">
        <is>
          <t>Hopes News</t>
        </is>
      </c>
      <c r="E16" s="5" t="inlineStr">
        <is>
          <t>Newsagent</t>
        </is>
      </c>
      <c r="F16" s="5" t="inlineStr">
        <is>
          <t>Newsagent / off-licence</t>
        </is>
      </c>
      <c r="G16" s="5" t="inlineStr">
        <is>
          <t>Independent</t>
        </is>
      </c>
      <c r="H16" s="5" t="inlineStr">
        <is>
          <t>1</t>
        </is>
      </c>
      <c r="I16" s="5" t="inlineStr">
        <is>
          <t>Otley Road</t>
        </is>
      </c>
      <c r="J16" s="5" t="inlineStr">
        <is>
          <t>Shipley</t>
        </is>
      </c>
      <c r="K16" s="5" t="inlineStr"/>
      <c r="L16" s="5" t="inlineStr"/>
      <c r="M16" s="5" t="inlineStr"/>
      <c r="N16" s="5" t="inlineStr"/>
      <c r="O16" s="5" t="inlineStr"/>
      <c r="P16" s="5" t="inlineStr"/>
      <c r="Q16" s="5" t="inlineStr"/>
      <c r="R16" s="5" t="inlineStr"/>
      <c r="S16" s="5" t="inlineStr"/>
      <c r="T16" s="5" t="inlineStr"/>
      <c r="U16" s="5" t="inlineStr"/>
      <c r="V16" s="5" t="inlineStr">
        <is>
          <t>Low</t>
        </is>
      </c>
      <c r="W16" s="5" t="inlineStr">
        <is>
          <t>Independent retailer; Relevant category</t>
        </is>
      </c>
      <c r="X16" s="5" t="inlineStr">
        <is>
          <t>Not Found</t>
        </is>
      </c>
      <c r="Y16" s="5" t="inlineStr">
        <is>
          <t>Not Found</t>
        </is>
      </c>
      <c r="Z16" s="5" t="inlineStr">
        <is>
          <t>Low</t>
        </is>
      </c>
      <c r="AA16" s="5" t="inlineStr">
        <is>
          <t>Requires Verification</t>
        </is>
      </c>
      <c r="AB16" s="5" t="inlineStr">
        <is>
          <t>https://www.yorkshire.com/shipley/shopping/off-license/hopes-news</t>
        </is>
      </c>
    </row>
    <row r="17">
      <c r="A17" s="10" t="inlineStr">
        <is>
          <t>WY-0098</t>
        </is>
      </c>
      <c r="B17" s="10" t="inlineStr">
        <is>
          <t>WY-0098-01</t>
        </is>
      </c>
      <c r="C17" s="10" t="inlineStr"/>
      <c r="D17" s="10" t="inlineStr">
        <is>
          <t>Ilkley Convenience Store</t>
        </is>
      </c>
      <c r="E17" s="10" t="inlineStr">
        <is>
          <t>Convenience Store</t>
        </is>
      </c>
      <c r="F17" s="10" t="inlineStr">
        <is>
          <t>Neighbourhood convenience store</t>
        </is>
      </c>
      <c r="G17" s="10" t="inlineStr">
        <is>
          <t>Independent</t>
        </is>
      </c>
      <c r="H17" s="10" t="inlineStr">
        <is>
          <t>1</t>
        </is>
      </c>
      <c r="I17" s="10" t="inlineStr">
        <is>
          <t>Valley Drive</t>
        </is>
      </c>
      <c r="J17" s="10" t="inlineStr">
        <is>
          <t>Ilkley</t>
        </is>
      </c>
      <c r="K17" s="10" t="inlineStr"/>
      <c r="L17" s="10" t="inlineStr"/>
      <c r="M17" s="10" t="inlineStr"/>
      <c r="N17" s="10" t="inlineStr"/>
      <c r="O17" s="10" t="inlineStr"/>
      <c r="P17" s="10" t="inlineStr"/>
      <c r="Q17" s="10" t="inlineStr"/>
      <c r="R17" s="10" t="inlineStr"/>
      <c r="S17" s="10" t="inlineStr"/>
      <c r="T17" s="10" t="inlineStr"/>
      <c r="U17" s="10" t="inlineStr"/>
      <c r="V17" s="10" t="inlineStr">
        <is>
          <t>Low</t>
        </is>
      </c>
      <c r="W17" s="10" t="inlineStr">
        <is>
          <t>Independent retailer; Relevant category</t>
        </is>
      </c>
      <c r="X17" s="10" t="inlineStr">
        <is>
          <t>Not Found</t>
        </is>
      </c>
      <c r="Y17" s="10" t="inlineStr">
        <is>
          <t>Not Found</t>
        </is>
      </c>
      <c r="Z17" s="10" t="inlineStr">
        <is>
          <t>Low</t>
        </is>
      </c>
      <c r="AA17" s="10" t="inlineStr">
        <is>
          <t>Requires Verification</t>
        </is>
      </c>
      <c r="AB17" s="10" t="inlineStr">
        <is>
          <t>https://www.yorkshire.com/ilkley/shopping/corner-shops/ilkley-convenience-store</t>
        </is>
      </c>
    </row>
    <row r="18">
      <c r="A18" s="5" t="inlineStr">
        <is>
          <t>WY-0101</t>
        </is>
      </c>
      <c r="B18" s="5" t="inlineStr">
        <is>
          <t>WY-0101-01</t>
        </is>
      </c>
      <c r="C18" s="5" t="inlineStr"/>
      <c r="D18" s="5" t="inlineStr">
        <is>
          <t>KV Convenience &amp; Off Licence</t>
        </is>
      </c>
      <c r="E18" s="5" t="inlineStr">
        <is>
          <t>Convenience Store</t>
        </is>
      </c>
      <c r="F18" s="5" t="inlineStr">
        <is>
          <t>24-hour convenience store and off-licence</t>
        </is>
      </c>
      <c r="G18" s="5" t="inlineStr">
        <is>
          <t>Independent</t>
        </is>
      </c>
      <c r="H18" s="5" t="inlineStr">
        <is>
          <t>1</t>
        </is>
      </c>
      <c r="I18" s="5" t="inlineStr">
        <is>
          <t>51-53 Market Street</t>
        </is>
      </c>
      <c r="J18" s="5" t="inlineStr">
        <is>
          <t>Huddersfield</t>
        </is>
      </c>
      <c r="K18" s="5" t="inlineStr">
        <is>
          <t>HD3 4HZ</t>
        </is>
      </c>
      <c r="L18" s="5" t="inlineStr">
        <is>
          <t>01484 644192</t>
        </is>
      </c>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Verified directory</t>
        </is>
      </c>
      <c r="Y18" s="5" t="inlineStr">
        <is>
          <t>Not Found</t>
        </is>
      </c>
      <c r="Z18" s="5" t="inlineStr">
        <is>
          <t>Medium</t>
        </is>
      </c>
      <c r="AA18" s="5" t="inlineStr">
        <is>
          <t>Requires Verification</t>
        </is>
      </c>
      <c r="AB18" s="5" t="inlineStr">
        <is>
          <t>https://www.yellowtom.co.uk/1452035</t>
        </is>
      </c>
    </row>
    <row r="19">
      <c r="A19" s="10" t="inlineStr">
        <is>
          <t>WY-0102</t>
        </is>
      </c>
      <c r="B19" s="10" t="inlineStr">
        <is>
          <t>WY-0102-01</t>
        </is>
      </c>
      <c r="C19" s="10" t="inlineStr"/>
      <c r="D19" s="10" t="inlineStr">
        <is>
          <t>Kasa Beeston Convenience Store</t>
        </is>
      </c>
      <c r="E19" s="10" t="inlineStr">
        <is>
          <t>Convenience Store</t>
        </is>
      </c>
      <c r="F19" s="10" t="inlineStr">
        <is>
          <t>24-hour convenience store with off-licence and food-to-go</t>
        </is>
      </c>
      <c r="G19" s="10" t="inlineStr">
        <is>
          <t>Independent</t>
        </is>
      </c>
      <c r="H19" s="10" t="inlineStr">
        <is>
          <t>1</t>
        </is>
      </c>
      <c r="I19" s="10" t="inlineStr">
        <is>
          <t>334-336 Dewsbury Road</t>
        </is>
      </c>
      <c r="J19" s="10" t="inlineStr">
        <is>
          <t>Leeds</t>
        </is>
      </c>
      <c r="K19" s="10" t="inlineStr">
        <is>
          <t>LS11 7DJ</t>
        </is>
      </c>
      <c r="L19" s="10" t="inlineStr">
        <is>
          <t>0113 277 5757</t>
        </is>
      </c>
      <c r="M19" s="10" t="inlineStr">
        <is>
          <t>info@kasabeeston.com</t>
        </is>
      </c>
      <c r="N19" s="10" t="inlineStr"/>
      <c r="O19" s="10" t="inlineStr">
        <is>
          <t>https://kasabeeston.com/</t>
        </is>
      </c>
      <c r="P19" s="10" t="inlineStr">
        <is>
          <t>https://www.facebook.com/kasabeestonstore/</t>
        </is>
      </c>
      <c r="Q19" s="10" t="inlineStr"/>
      <c r="R19" s="10" t="inlineStr"/>
      <c r="S19" s="10" t="inlineStr"/>
      <c r="T19" s="10" t="inlineStr"/>
      <c r="U19" s="10" t="inlineStr"/>
      <c r="V19" s="10" t="inlineStr">
        <is>
          <t>Medium</t>
        </is>
      </c>
      <c r="W19" s="10" t="inlineStr">
        <is>
          <t>Independent retailer; Relevant category; Public email available; Active website; Social presence</t>
        </is>
      </c>
      <c r="X19" s="10" t="inlineStr">
        <is>
          <t>Verified directory</t>
        </is>
      </c>
      <c r="Y19" s="10" t="inlineStr">
        <is>
          <t>Website Found</t>
        </is>
      </c>
      <c r="Z19" s="10" t="inlineStr">
        <is>
          <t>Medium</t>
        </is>
      </c>
      <c r="AA19" s="10" t="inlineStr">
        <is>
          <t>Partially Verified</t>
        </is>
      </c>
      <c r="AB19" s="10" t="inlineStr">
        <is>
          <t>https://kasabeeston.com/</t>
        </is>
      </c>
    </row>
    <row r="20">
      <c r="A20" s="5" t="inlineStr">
        <is>
          <t>WY-0103</t>
        </is>
      </c>
      <c r="B20" s="5" t="inlineStr">
        <is>
          <t>WY-0103-01</t>
        </is>
      </c>
      <c r="C20" s="5" t="inlineStr"/>
      <c r="D20" s="5" t="inlineStr">
        <is>
          <t>Kash News &amp; Gifts</t>
        </is>
      </c>
      <c r="E20" s="5" t="inlineStr">
        <is>
          <t>Newsagent</t>
        </is>
      </c>
      <c r="F20" s="5" t="inlineStr">
        <is>
          <t>Newsagent and gifts</t>
        </is>
      </c>
      <c r="G20" s="5" t="inlineStr">
        <is>
          <t>Independent</t>
        </is>
      </c>
      <c r="H20" s="5" t="inlineStr">
        <is>
          <t>1</t>
        </is>
      </c>
      <c r="I20" s="5" t="inlineStr">
        <is>
          <t>51 Commercial Street</t>
        </is>
      </c>
      <c r="J20" s="5" t="inlineStr">
        <is>
          <t>Brighouse</t>
        </is>
      </c>
      <c r="K20" s="5" t="inlineStr">
        <is>
          <t>HD6 1AF</t>
        </is>
      </c>
      <c r="L20" s="5" t="inlineStr">
        <is>
          <t>01484 400405</t>
        </is>
      </c>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Verified directory</t>
        </is>
      </c>
      <c r="Y20" s="5" t="inlineStr">
        <is>
          <t>Not Found</t>
        </is>
      </c>
      <c r="Z20" s="5" t="inlineStr">
        <is>
          <t>Medium</t>
        </is>
      </c>
      <c r="AA20" s="5" t="inlineStr">
        <is>
          <t>Requires Verification</t>
        </is>
      </c>
      <c r="AB20" s="5" t="inlineStr">
        <is>
          <t>https://www.thomsonlocal.com/search/newsagents/halifax-brighouse-calderdale/kash-news-gifts/922805/01484400405</t>
        </is>
      </c>
    </row>
    <row r="21">
      <c r="A21" s="10" t="inlineStr">
        <is>
          <t>WY-0104</t>
        </is>
      </c>
      <c r="B21" s="10" t="inlineStr">
        <is>
          <t>WY-0104-01</t>
        </is>
      </c>
      <c r="C21" s="10" t="inlineStr"/>
      <c r="D21" s="10" t="inlineStr">
        <is>
          <t>Keep In Touch</t>
        </is>
      </c>
      <c r="E21" s="10" t="inlineStr">
        <is>
          <t>Newsagent</t>
        </is>
      </c>
      <c r="F21" s="10" t="inlineStr">
        <is>
          <t>Newsagent</t>
        </is>
      </c>
      <c r="G21" s="10" t="inlineStr">
        <is>
          <t>Independent</t>
        </is>
      </c>
      <c r="H21" s="10" t="inlineStr">
        <is>
          <t>1</t>
        </is>
      </c>
      <c r="I21" s="10" t="inlineStr">
        <is>
          <t>5 Albion Street</t>
        </is>
      </c>
      <c r="J21" s="10" t="inlineStr">
        <is>
          <t>Castleford</t>
        </is>
      </c>
      <c r="K21" s="10" t="inlineStr">
        <is>
          <t>WF10 1EG</t>
        </is>
      </c>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Low</t>
        </is>
      </c>
      <c r="AA21" s="10" t="inlineStr">
        <is>
          <t>Requires Verification</t>
        </is>
      </c>
      <c r="AB21" s="10" t="inlineStr">
        <is>
          <t>https://www.192.com/atoz/business/castleford-wf10/newsagents/keep-in-touch/645f3ab15b4cb6acdbc0eb9ef27c5a71438678bb/ml/</t>
        </is>
      </c>
    </row>
    <row r="22">
      <c r="A22" s="5" t="inlineStr">
        <is>
          <t>WY-0105</t>
        </is>
      </c>
      <c r="B22" s="5" t="inlineStr">
        <is>
          <t>WY-0105-01</t>
        </is>
      </c>
      <c r="C22" s="5" t="inlineStr"/>
      <c r="D22" s="5" t="inlineStr">
        <is>
          <t>Keighley Newsagent</t>
        </is>
      </c>
      <c r="E22" s="5" t="inlineStr">
        <is>
          <t>Newsagent</t>
        </is>
      </c>
      <c r="F22" s="5" t="inlineStr">
        <is>
          <t>Town-centre newsagent</t>
        </is>
      </c>
      <c r="G22" s="5" t="inlineStr">
        <is>
          <t>Independent</t>
        </is>
      </c>
      <c r="H22" s="5" t="inlineStr">
        <is>
          <t>1</t>
        </is>
      </c>
      <c r="I22" s="5" t="inlineStr">
        <is>
          <t>125 North Street</t>
        </is>
      </c>
      <c r="J22" s="5" t="inlineStr">
        <is>
          <t>Keighley</t>
        </is>
      </c>
      <c r="K22" s="5" t="inlineStr">
        <is>
          <t>BD21 3AD</t>
        </is>
      </c>
      <c r="L22" s="5" t="inlineStr"/>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Not Found</t>
        </is>
      </c>
      <c r="Y22" s="5" t="inlineStr">
        <is>
          <t>Not Found</t>
        </is>
      </c>
      <c r="Z22" s="5" t="inlineStr">
        <is>
          <t>Low</t>
        </is>
      </c>
      <c r="AA22" s="5" t="inlineStr">
        <is>
          <t>Requires Verification</t>
        </is>
      </c>
      <c r="AB22" s="5" t="inlineStr">
        <is>
          <t>https://directory.bradfordpages.co.uk/company/504571861241856</t>
        </is>
      </c>
    </row>
    <row r="23">
      <c r="A23" s="10" t="inlineStr">
        <is>
          <t>WY-0107</t>
        </is>
      </c>
      <c r="B23" s="10" t="inlineStr">
        <is>
          <t>WY-0107-01</t>
        </is>
      </c>
      <c r="C23" s="10" t="inlineStr"/>
      <c r="D23" s="10" t="inlineStr">
        <is>
          <t>Kubus International Food</t>
        </is>
      </c>
      <c r="E23" s="10" t="inlineStr">
        <is>
          <t>Convenience Store</t>
        </is>
      </c>
      <c r="F23" s="10" t="inlineStr">
        <is>
          <t>International / Eastern European grocery and convenience</t>
        </is>
      </c>
      <c r="G23" s="10" t="inlineStr">
        <is>
          <t>Independent</t>
        </is>
      </c>
      <c r="H23" s="10" t="inlineStr">
        <is>
          <t>1</t>
        </is>
      </c>
      <c r="I23" s="10" t="inlineStr">
        <is>
          <t>86 Kirkgate</t>
        </is>
      </c>
      <c r="J23" s="10" t="inlineStr">
        <is>
          <t>Wakefield</t>
        </is>
      </c>
      <c r="K23" s="10" t="inlineStr"/>
      <c r="L23" s="10" t="inlineStr"/>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Not Found</t>
        </is>
      </c>
      <c r="Y23" s="10" t="inlineStr">
        <is>
          <t>Not Found</t>
        </is>
      </c>
      <c r="Z23" s="10" t="inlineStr">
        <is>
          <t>Low</t>
        </is>
      </c>
      <c r="AA23" s="10" t="inlineStr">
        <is>
          <t>Requires Verification</t>
        </is>
      </c>
      <c r="AB23" s="10" t="inlineStr">
        <is>
          <t>https://www.yorkshire.com/wakefield/shopping/corner-shops/kubus-international-food</t>
        </is>
      </c>
    </row>
    <row r="24">
      <c r="A24" s="5" t="inlineStr">
        <is>
          <t>WY-0111</t>
        </is>
      </c>
      <c r="B24" s="5" t="inlineStr">
        <is>
          <t>WY-0111-01</t>
        </is>
      </c>
      <c r="C24" s="5" t="inlineStr"/>
      <c r="D24" s="5" t="inlineStr">
        <is>
          <t>Local Convenience Store (Elsinore Avenue)</t>
        </is>
      </c>
      <c r="E24" s="5" t="inlineStr">
        <is>
          <t>Convenience Store</t>
        </is>
      </c>
      <c r="F24" s="5" t="inlineStr"/>
      <c r="G24" s="5" t="inlineStr">
        <is>
          <t>Independent</t>
        </is>
      </c>
      <c r="H24" s="5" t="inlineStr">
        <is>
          <t>1</t>
        </is>
      </c>
      <c r="I24" s="5" t="inlineStr">
        <is>
          <t>12 Elsinore Avenue</t>
        </is>
      </c>
      <c r="J24" s="5" t="inlineStr">
        <is>
          <t>Elland</t>
        </is>
      </c>
      <c r="K24" s="5" t="inlineStr">
        <is>
          <t>HX5 0LT</t>
        </is>
      </c>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https://www.yorkshire.com/elland/shopping/corner-shops</t>
        </is>
      </c>
    </row>
    <row r="25">
      <c r="A25" s="10" t="inlineStr">
        <is>
          <t>WY-0113</t>
        </is>
      </c>
      <c r="B25" s="10" t="inlineStr">
        <is>
          <t>WY-0113-01</t>
        </is>
      </c>
      <c r="C25" s="10" t="inlineStr"/>
      <c r="D25" s="10" t="inlineStr">
        <is>
          <t>Londis Normanton (313 Castleford Road)</t>
        </is>
      </c>
      <c r="E25" s="10" t="inlineStr">
        <is>
          <t>Convenience Store</t>
        </is>
      </c>
      <c r="F25" s="10" t="inlineStr">
        <is>
          <t>Convenience store with off-licence</t>
        </is>
      </c>
      <c r="G25" s="10" t="inlineStr">
        <is>
          <t>Franchise / Symbol Group</t>
        </is>
      </c>
      <c r="H25" s="10" t="inlineStr">
        <is>
          <t>1</t>
        </is>
      </c>
      <c r="I25" s="10" t="inlineStr">
        <is>
          <t>313 Castleford Road</t>
        </is>
      </c>
      <c r="J25" s="10" t="inlineStr">
        <is>
          <t>Normanton</t>
        </is>
      </c>
      <c r="K25" s="10" t="inlineStr">
        <is>
          <t>WF6 2HL</t>
        </is>
      </c>
      <c r="L25" s="10" t="inlineStr">
        <is>
          <t>01924 892113</t>
        </is>
      </c>
      <c r="M25" s="10" t="inlineStr"/>
      <c r="N25" s="10" t="inlineStr"/>
      <c r="O25" s="10" t="inlineStr">
        <is>
          <t>https://www.londis.co.uk/our-stores/londis-normanton</t>
        </is>
      </c>
      <c r="P25" s="10" t="inlineStr"/>
      <c r="Q25" s="10" t="inlineStr"/>
      <c r="R25" s="10" t="inlineStr"/>
      <c r="S25" s="10" t="inlineStr"/>
      <c r="T25" s="10" t="inlineStr"/>
      <c r="U25" s="10" t="inlineStr"/>
      <c r="V25" s="10" t="inlineStr">
        <is>
          <t>Medium</t>
        </is>
      </c>
      <c r="W25" s="10" t="inlineStr">
        <is>
          <t>Independent retailer; Relevant category; Active website; Phone verified on official website</t>
        </is>
      </c>
      <c r="X25" s="10" t="inlineStr">
        <is>
          <t>Verified on official website</t>
        </is>
      </c>
      <c r="Y25" s="10" t="inlineStr">
        <is>
          <t>Not Found</t>
        </is>
      </c>
      <c r="Z25" s="10" t="inlineStr">
        <is>
          <t>Medium</t>
        </is>
      </c>
      <c r="AA25" s="10" t="inlineStr">
        <is>
          <t>Requires Verification</t>
        </is>
      </c>
      <c r="AB25" s="10" t="inlineStr">
        <is>
          <t>https://www.londis.co.uk/our-stores/londis-normanton</t>
        </is>
      </c>
    </row>
    <row r="26">
      <c r="A26" s="5" t="inlineStr">
        <is>
          <t>WY-0114</t>
        </is>
      </c>
      <c r="B26" s="5" t="inlineStr">
        <is>
          <t>WY-0114-01</t>
        </is>
      </c>
      <c r="C26" s="5" t="inlineStr"/>
      <c r="D26" s="5" t="inlineStr">
        <is>
          <t>Londis Normanton (Castleford Road, WF6 2DW)</t>
        </is>
      </c>
      <c r="E26" s="5" t="inlineStr">
        <is>
          <t>Convenience Store</t>
        </is>
      </c>
      <c r="F26" s="5" t="inlineStr">
        <is>
          <t>Convenience store with off-licence</t>
        </is>
      </c>
      <c r="G26" s="5" t="inlineStr">
        <is>
          <t>Franchise / Symbol Group</t>
        </is>
      </c>
      <c r="H26" s="5" t="inlineStr">
        <is>
          <t>1</t>
        </is>
      </c>
      <c r="I26" s="5" t="inlineStr">
        <is>
          <t>Castleford Road</t>
        </is>
      </c>
      <c r="J26" s="5" t="inlineStr">
        <is>
          <t>Normanton</t>
        </is>
      </c>
      <c r="K26" s="5" t="inlineStr">
        <is>
          <t>WF6 2DW</t>
        </is>
      </c>
      <c r="L26" s="5" t="inlineStr">
        <is>
          <t>01924 890438</t>
        </is>
      </c>
      <c r="M26" s="5" t="inlineStr"/>
      <c r="N26" s="5" t="inlineStr"/>
      <c r="O26" s="5" t="inlineStr">
        <is>
          <t>https://www.londis.co.uk/our-stores/normanton</t>
        </is>
      </c>
      <c r="P26" s="5" t="inlineStr"/>
      <c r="Q26" s="5" t="inlineStr"/>
      <c r="R26" s="5" t="inlineStr"/>
      <c r="S26" s="5" t="inlineStr"/>
      <c r="T26" s="5" t="inlineStr"/>
      <c r="U26" s="5" t="inlineStr"/>
      <c r="V26" s="5" t="inlineStr">
        <is>
          <t>Medium</t>
        </is>
      </c>
      <c r="W26" s="5" t="inlineStr">
        <is>
          <t>Independent retailer; Relevant category; Active website; Phone verified on official website</t>
        </is>
      </c>
      <c r="X26" s="5" t="inlineStr">
        <is>
          <t>Verified on official website</t>
        </is>
      </c>
      <c r="Y26" s="5" t="inlineStr">
        <is>
          <t>Not Found</t>
        </is>
      </c>
      <c r="Z26" s="5" t="inlineStr">
        <is>
          <t>Medium</t>
        </is>
      </c>
      <c r="AA26" s="5" t="inlineStr">
        <is>
          <t>Requires Verification</t>
        </is>
      </c>
      <c r="AB26" s="5" t="inlineStr">
        <is>
          <t>https://www.londis.co.uk/our-stores/normanton</t>
        </is>
      </c>
    </row>
    <row r="27">
      <c r="A27" s="10" t="inlineStr">
        <is>
          <t>WY-0115</t>
        </is>
      </c>
      <c r="B27" s="10" t="inlineStr">
        <is>
          <t>WY-0115-01</t>
        </is>
      </c>
      <c r="C27" s="10" t="inlineStr"/>
      <c r="D27" s="10" t="inlineStr">
        <is>
          <t>Londis Ravensthorpe</t>
        </is>
      </c>
      <c r="E27" s="10" t="inlineStr">
        <is>
          <t>Convenience Store</t>
        </is>
      </c>
      <c r="F27" s="10" t="inlineStr">
        <is>
          <t>Londis symbol group convenience store</t>
        </is>
      </c>
      <c r="G27" s="10" t="inlineStr">
        <is>
          <t>Franchise / Symbol Group</t>
        </is>
      </c>
      <c r="H27" s="10" t="inlineStr">
        <is>
          <t>1</t>
        </is>
      </c>
      <c r="I27" s="10" t="inlineStr"/>
      <c r="J27" s="10" t="inlineStr">
        <is>
          <t>Dewsbury</t>
        </is>
      </c>
      <c r="K27" s="10" t="inlineStr">
        <is>
          <t>WF13 3JE</t>
        </is>
      </c>
      <c r="L27" s="10" t="inlineStr">
        <is>
          <t>01924 461300</t>
        </is>
      </c>
      <c r="M27" s="10" t="inlineStr"/>
      <c r="N27" s="10" t="inlineStr"/>
      <c r="O27" s="10" t="inlineStr">
        <is>
          <t>https://www.londis.co.uk/our-stores/londis-ravensthorpe</t>
        </is>
      </c>
      <c r="P27" s="10" t="inlineStr"/>
      <c r="Q27" s="10" t="inlineStr"/>
      <c r="R27" s="10" t="inlineStr"/>
      <c r="S27" s="10" t="inlineStr"/>
      <c r="T27" s="10" t="inlineStr"/>
      <c r="U27" s="10" t="inlineStr"/>
      <c r="V27" s="10" t="inlineStr">
        <is>
          <t>Medium</t>
        </is>
      </c>
      <c r="W27" s="10" t="inlineStr">
        <is>
          <t>Independent retailer; Relevant category; Active website</t>
        </is>
      </c>
      <c r="X27" s="10" t="inlineStr">
        <is>
          <t>Verified directory</t>
        </is>
      </c>
      <c r="Y27" s="10" t="inlineStr">
        <is>
          <t>Not Found</t>
        </is>
      </c>
      <c r="Z27" s="10" t="inlineStr">
        <is>
          <t>Medium</t>
        </is>
      </c>
      <c r="AA27" s="10" t="inlineStr">
        <is>
          <t>Requires Verification</t>
        </is>
      </c>
      <c r="AB27" s="10" t="inlineStr">
        <is>
          <t>https://www.londis.co.uk/our-stores/londis-ravensthorpe</t>
        </is>
      </c>
    </row>
    <row r="28">
      <c r="A28" s="5" t="inlineStr">
        <is>
          <t>WY-0116</t>
        </is>
      </c>
      <c r="B28" s="5" t="inlineStr">
        <is>
          <t>WY-0116-01</t>
        </is>
      </c>
      <c r="C28" s="5" t="inlineStr"/>
      <c r="D28" s="5" t="inlineStr">
        <is>
          <t>Low Lane Convenience Store (Premier)</t>
        </is>
      </c>
      <c r="E28" s="5" t="inlineStr">
        <is>
          <t>Convenience Store</t>
        </is>
      </c>
      <c r="F28" s="5" t="inlineStr">
        <is>
          <t>Premier symbol group convenience store</t>
        </is>
      </c>
      <c r="G28" s="5" t="inlineStr">
        <is>
          <t>Franchise / Symbol Group</t>
        </is>
      </c>
      <c r="H28" s="5" t="inlineStr">
        <is>
          <t>1</t>
        </is>
      </c>
      <c r="I28" s="5" t="inlineStr">
        <is>
          <t>6 Low Lane</t>
        </is>
      </c>
      <c r="J28" s="5" t="inlineStr">
        <is>
          <t>Batley</t>
        </is>
      </c>
      <c r="K28" s="5" t="inlineStr">
        <is>
          <t>WF17 9EY</t>
        </is>
      </c>
      <c r="L28" s="5" t="inlineStr"/>
      <c r="M28" s="5" t="inlineStr"/>
      <c r="N28" s="5" t="inlineStr"/>
      <c r="O28" s="5" t="inlineStr">
        <is>
          <t>https://www.premier-stores.co.uk/our-stores/low-lane-convenience-store</t>
        </is>
      </c>
      <c r="P28" s="5" t="inlineStr"/>
      <c r="Q28" s="5" t="inlineStr"/>
      <c r="R28" s="5" t="inlineStr"/>
      <c r="S28" s="5" t="inlineStr"/>
      <c r="T28" s="5" t="inlineStr"/>
      <c r="U28" s="5" t="inlineStr"/>
      <c r="V28" s="5" t="inlineStr">
        <is>
          <t>Medium</t>
        </is>
      </c>
      <c r="W28" s="5" t="inlineStr">
        <is>
          <t>Independent retailer; Relevant category; Active website</t>
        </is>
      </c>
      <c r="X28" s="5" t="inlineStr">
        <is>
          <t>Not Found</t>
        </is>
      </c>
      <c r="Y28" s="5" t="inlineStr">
        <is>
          <t>Not Found</t>
        </is>
      </c>
      <c r="Z28" s="5" t="inlineStr">
        <is>
          <t>Medium</t>
        </is>
      </c>
      <c r="AA28" s="5" t="inlineStr">
        <is>
          <t>Requires Verification</t>
        </is>
      </c>
      <c r="AB28" s="5" t="inlineStr">
        <is>
          <t>https://www.premier-stores.co.uk/our-stores/low-lane-convenience-store</t>
        </is>
      </c>
    </row>
    <row r="29">
      <c r="A29" s="10" t="inlineStr">
        <is>
          <t>WY-0117</t>
        </is>
      </c>
      <c r="B29" s="10" t="inlineStr">
        <is>
          <t>WY-0117-01</t>
        </is>
      </c>
      <c r="C29" s="10" t="inlineStr"/>
      <c r="D29" s="10" t="inlineStr">
        <is>
          <t>Mace News &amp; Off Licence</t>
        </is>
      </c>
      <c r="E29" s="10" t="inlineStr">
        <is>
          <t>Newsagent</t>
        </is>
      </c>
      <c r="F29" s="10" t="inlineStr">
        <is>
          <t>Newsagent with off-licence</t>
        </is>
      </c>
      <c r="G29" s="10" t="inlineStr">
        <is>
          <t>Franchise / Symbol Group</t>
        </is>
      </c>
      <c r="H29" s="10" t="inlineStr">
        <is>
          <t>1</t>
        </is>
      </c>
      <c r="I29" s="10" t="inlineStr">
        <is>
          <t>Otley Road</t>
        </is>
      </c>
      <c r="J29" s="10" t="inlineStr">
        <is>
          <t>Shipley</t>
        </is>
      </c>
      <c r="K29" s="10" t="inlineStr"/>
      <c r="L29" s="10" t="inlineStr"/>
      <c r="M29" s="10" t="inlineStr"/>
      <c r="N29" s="10" t="inlineStr"/>
      <c r="O29" s="10" t="inlineStr"/>
      <c r="P29" s="10" t="inlineStr"/>
      <c r="Q29" s="10" t="inlineStr"/>
      <c r="R29" s="10" t="inlineStr"/>
      <c r="S29" s="10" t="inlineStr"/>
      <c r="T29" s="10" t="inlineStr"/>
      <c r="U29" s="10" t="inlineStr"/>
      <c r="V29" s="10" t="inlineStr">
        <is>
          <t>Low</t>
        </is>
      </c>
      <c r="W29" s="10" t="inlineStr">
        <is>
          <t>Independent retailer; Relevant category</t>
        </is>
      </c>
      <c r="X29" s="10" t="inlineStr">
        <is>
          <t>Not Found</t>
        </is>
      </c>
      <c r="Y29" s="10" t="inlineStr">
        <is>
          <t>Not Found</t>
        </is>
      </c>
      <c r="Z29" s="10" t="inlineStr">
        <is>
          <t>Low</t>
        </is>
      </c>
      <c r="AA29" s="10" t="inlineStr">
        <is>
          <t>Requires Verification</t>
        </is>
      </c>
      <c r="AB29" s="10" t="inlineStr">
        <is>
          <t>https://www.yorkshire.com/shipley/shopping/off-license/mace-news-off-licence</t>
        </is>
      </c>
    </row>
    <row r="30">
      <c r="A30" s="5" t="inlineStr">
        <is>
          <t>WY-0119</t>
        </is>
      </c>
      <c r="B30" s="5" t="inlineStr">
        <is>
          <t>WY-0119-01</t>
        </is>
      </c>
      <c r="C30" s="5" t="inlineStr"/>
      <c r="D30" s="5" t="inlineStr">
        <is>
          <t>Matharu Newsagents</t>
        </is>
      </c>
      <c r="E30" s="5" t="inlineStr">
        <is>
          <t>Newsagent</t>
        </is>
      </c>
      <c r="F30" s="5" t="inlineStr"/>
      <c r="G30" s="5" t="inlineStr">
        <is>
          <t>Independent</t>
        </is>
      </c>
      <c r="H30" s="5" t="inlineStr">
        <is>
          <t>1</t>
        </is>
      </c>
      <c r="I30" s="5" t="inlineStr">
        <is>
          <t>46 Monk Bridge Road</t>
        </is>
      </c>
      <c r="J30" s="5" t="inlineStr">
        <is>
          <t>Leeds</t>
        </is>
      </c>
      <c r="K30" s="5" t="inlineStr">
        <is>
          <t>LS6 4ER</t>
        </is>
      </c>
      <c r="L30" s="5" t="inlineStr">
        <is>
          <t>0113 275 1851</t>
        </is>
      </c>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Verified directory</t>
        </is>
      </c>
      <c r="Y30" s="5" t="inlineStr">
        <is>
          <t>Not Found</t>
        </is>
      </c>
      <c r="Z30" s="5" t="inlineStr">
        <is>
          <t>Medium</t>
        </is>
      </c>
      <c r="AA30" s="5" t="inlineStr">
        <is>
          <t>Requires Verification</t>
        </is>
      </c>
      <c r="AB30" s="5" t="inlineStr">
        <is>
          <t>https://findit.yorkshireeveningpost.co.uk/search/leeds/newsagent</t>
        </is>
      </c>
    </row>
    <row r="31">
      <c r="A31" s="10" t="inlineStr">
        <is>
          <t>WY-0120</t>
        </is>
      </c>
      <c r="B31" s="10" t="inlineStr">
        <is>
          <t>WY-0120-01</t>
        </is>
      </c>
      <c r="C31" s="10" t="inlineStr"/>
      <c r="D31" s="10" t="inlineStr">
        <is>
          <t>Meltham Convenience Store</t>
        </is>
      </c>
      <c r="E31" s="10" t="inlineStr">
        <is>
          <t>Convenience Store</t>
        </is>
      </c>
      <c r="F31" s="10" t="inlineStr">
        <is>
          <t>Convenience store and off-licence</t>
        </is>
      </c>
      <c r="G31" s="10" t="inlineStr">
        <is>
          <t>Independent</t>
        </is>
      </c>
      <c r="H31" s="10" t="inlineStr">
        <is>
          <t>1</t>
        </is>
      </c>
      <c r="I31" s="10" t="inlineStr">
        <is>
          <t>30 Meltham Mills Road</t>
        </is>
      </c>
      <c r="J31" s="10" t="inlineStr">
        <is>
          <t>Meltham</t>
        </is>
      </c>
      <c r="K31" s="10" t="inlineStr">
        <is>
          <t>HD9 4EJ</t>
        </is>
      </c>
      <c r="L31" s="10" t="inlineStr">
        <is>
          <t>01484 618211</t>
        </is>
      </c>
      <c r="M31" s="10" t="inlineStr"/>
      <c r="N31" s="10" t="inlineStr"/>
      <c r="O31" s="10" t="inlineStr"/>
      <c r="P31" s="10" t="inlineStr"/>
      <c r="Q31" s="10" t="inlineStr"/>
      <c r="R31" s="10" t="inlineStr"/>
      <c r="S31" s="10" t="inlineStr"/>
      <c r="T31" s="10" t="inlineStr"/>
      <c r="U31" s="10" t="inlineStr"/>
      <c r="V31" s="10" t="inlineStr">
        <is>
          <t>Low</t>
        </is>
      </c>
      <c r="W31" s="10" t="inlineStr">
        <is>
          <t>Independent retailer; Relevant category</t>
        </is>
      </c>
      <c r="X31" s="10" t="inlineStr">
        <is>
          <t>Verified directory</t>
        </is>
      </c>
      <c r="Y31" s="10" t="inlineStr">
        <is>
          <t>Not Found</t>
        </is>
      </c>
      <c r="Z31" s="10" t="inlineStr">
        <is>
          <t>Medium</t>
        </is>
      </c>
      <c r="AA31" s="10" t="inlineStr">
        <is>
          <t>Requires Verification</t>
        </is>
      </c>
      <c r="AB31" s="10" t="inlineStr">
        <is>
          <t>https://www.yell.com/biz/meltham-convenience-store-holmfirth-9079746/</t>
        </is>
      </c>
    </row>
    <row r="32">
      <c r="A32" s="5" t="inlineStr">
        <is>
          <t>WY-0122</t>
        </is>
      </c>
      <c r="B32" s="5" t="inlineStr">
        <is>
          <t>WY-0122-01</t>
        </is>
      </c>
      <c r="C32" s="5" t="inlineStr"/>
      <c r="D32" s="5" t="inlineStr">
        <is>
          <t>Mount Pellon Newsagent</t>
        </is>
      </c>
      <c r="E32" s="5" t="inlineStr">
        <is>
          <t>Newsagent</t>
        </is>
      </c>
      <c r="F32" s="5" t="inlineStr">
        <is>
          <t>Corner shop newsagent with Royal Mail parcel services</t>
        </is>
      </c>
      <c r="G32" s="5" t="inlineStr">
        <is>
          <t>Independent</t>
        </is>
      </c>
      <c r="H32" s="5" t="inlineStr">
        <is>
          <t>1</t>
        </is>
      </c>
      <c r="I32" s="5" t="inlineStr">
        <is>
          <t>Cross Street West</t>
        </is>
      </c>
      <c r="J32" s="5" t="inlineStr">
        <is>
          <t>Halifax</t>
        </is>
      </c>
      <c r="K32" s="5" t="inlineStr">
        <is>
          <t>HX2 0HA</t>
        </is>
      </c>
      <c r="L32" s="5" t="inlineStr">
        <is>
          <t>01422 361609</t>
        </is>
      </c>
      <c r="M32" s="5" t="inlineStr"/>
      <c r="N32" s="5" t="inlineStr"/>
      <c r="O32" s="5" t="inlineStr"/>
      <c r="P32" s="5" t="inlineStr"/>
      <c r="Q32" s="5" t="inlineStr"/>
      <c r="R32" s="5" t="inlineStr"/>
      <c r="S32" s="5" t="inlineStr"/>
      <c r="T32" s="5" t="inlineStr"/>
      <c r="U32" s="5" t="inlineStr"/>
      <c r="V32" s="5" t="inlineStr">
        <is>
          <t>Low</t>
        </is>
      </c>
      <c r="W32" s="5" t="inlineStr">
        <is>
          <t>Independent retailer; Relevant category</t>
        </is>
      </c>
      <c r="X32" s="5" t="inlineStr">
        <is>
          <t>Verified directory</t>
        </is>
      </c>
      <c r="Y32" s="5" t="inlineStr">
        <is>
          <t>Not Found</t>
        </is>
      </c>
      <c r="Z32" s="5" t="inlineStr">
        <is>
          <t>Medium</t>
        </is>
      </c>
      <c r="AA32" s="5" t="inlineStr">
        <is>
          <t>Requires Verification</t>
        </is>
      </c>
      <c r="AB32" s="5" t="inlineStr">
        <is>
          <t>https://www.misterwhat.co.uk/company/573371-mount-pellon-newsagent-halifax</t>
        </is>
      </c>
    </row>
    <row r="33">
      <c r="A33" s="10" t="inlineStr">
        <is>
          <t>WY-0124</t>
        </is>
      </c>
      <c r="B33" s="10" t="inlineStr">
        <is>
          <t>WY-0124-01</t>
        </is>
      </c>
      <c r="C33" s="10" t="inlineStr"/>
      <c r="D33" s="10" t="inlineStr">
        <is>
          <t>Mytholmroyd Post Office</t>
        </is>
      </c>
      <c r="E33" s="10" t="inlineStr">
        <is>
          <t>Convenience Store</t>
        </is>
      </c>
      <c r="F33" s="10" t="inlineStr">
        <is>
          <t>Post office and newsagent counter</t>
        </is>
      </c>
      <c r="G33" s="10" t="inlineStr">
        <is>
          <t>Independent</t>
        </is>
      </c>
      <c r="H33" s="10" t="inlineStr">
        <is>
          <t>1</t>
        </is>
      </c>
      <c r="I33" s="10" t="inlineStr">
        <is>
          <t>Grange Dene, Burnley Road</t>
        </is>
      </c>
      <c r="J33" s="10" t="inlineStr">
        <is>
          <t>Mytholmroyd</t>
        </is>
      </c>
      <c r="K33" s="10" t="inlineStr">
        <is>
          <t>HX7 5LF</t>
        </is>
      </c>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Medium</t>
        </is>
      </c>
      <c r="AA33" s="10" t="inlineStr">
        <is>
          <t>Requires Verification</t>
        </is>
      </c>
      <c r="AB33" s="10" t="inlineStr">
        <is>
          <t>https://www.postoffice.co.uk/branch-finder/6314589/mytholmroyd</t>
        </is>
      </c>
    </row>
    <row r="34">
      <c r="A34" s="5" t="inlineStr">
        <is>
          <t>WY-0125</t>
        </is>
      </c>
      <c r="B34" s="5" t="inlineStr">
        <is>
          <t>WY-0125-01</t>
        </is>
      </c>
      <c r="C34" s="5" t="inlineStr"/>
      <c r="D34" s="5" t="inlineStr">
        <is>
          <t>Nisa Local Knottingley</t>
        </is>
      </c>
      <c r="E34" s="5" t="inlineStr">
        <is>
          <t>Convenience Store</t>
        </is>
      </c>
      <c r="F34" s="5" t="inlineStr">
        <is>
          <t>Symbol group convenience store</t>
        </is>
      </c>
      <c r="G34" s="5" t="inlineStr">
        <is>
          <t>Franchise / Symbol Group</t>
        </is>
      </c>
      <c r="H34" s="5" t="inlineStr">
        <is>
          <t>1</t>
        </is>
      </c>
      <c r="I34" s="5" t="inlineStr">
        <is>
          <t>12-14 Pinewood Place</t>
        </is>
      </c>
      <c r="J34" s="5" t="inlineStr">
        <is>
          <t>Knottingley</t>
        </is>
      </c>
      <c r="K34" s="5" t="inlineStr">
        <is>
          <t>WF11 0QH</t>
        </is>
      </c>
      <c r="L34" s="5" t="inlineStr">
        <is>
          <t>01977 607202</t>
        </is>
      </c>
      <c r="M34" s="5" t="inlineStr"/>
      <c r="N34" s="5" t="inlineStr"/>
      <c r="O34" s="5" t="inlineStr">
        <is>
          <t>https://www.nisalocally.co.uk/stores/west-yorkshire/knottingley</t>
        </is>
      </c>
      <c r="P34" s="5" t="inlineStr">
        <is>
          <t>https://www.facebook.com/NisaLocalPinewoodPlaceKnottingley/</t>
        </is>
      </c>
      <c r="Q34" s="5" t="inlineStr"/>
      <c r="R34" s="5" t="inlineStr"/>
      <c r="S34" s="5" t="inlineStr"/>
      <c r="T34" s="5" t="inlineStr"/>
      <c r="U34" s="5" t="inlineStr"/>
      <c r="V34" s="5" t="inlineStr">
        <is>
          <t>Medium</t>
        </is>
      </c>
      <c r="W34" s="5" t="inlineStr">
        <is>
          <t>Independent retailer; Relevant category; Active website; Social presence</t>
        </is>
      </c>
      <c r="X34" s="5" t="inlineStr">
        <is>
          <t>Verified directory</t>
        </is>
      </c>
      <c r="Y34" s="5" t="inlineStr">
        <is>
          <t>Not Found</t>
        </is>
      </c>
      <c r="Z34" s="5" t="inlineStr">
        <is>
          <t>Medium</t>
        </is>
      </c>
      <c r="AA34" s="5" t="inlineStr">
        <is>
          <t>Requires Verification</t>
        </is>
      </c>
      <c r="AB34" s="5" t="inlineStr">
        <is>
          <t>https://www.nisalocally.co.uk/stores/west-yorkshire/knottingley</t>
        </is>
      </c>
    </row>
    <row r="35">
      <c r="A35" s="10" t="inlineStr">
        <is>
          <t>WY-0126</t>
        </is>
      </c>
      <c r="B35" s="10" t="inlineStr">
        <is>
          <t>WY-0126-01</t>
        </is>
      </c>
      <c r="C35" s="10" t="inlineStr"/>
      <c r="D35" s="10" t="inlineStr">
        <is>
          <t>Northowram Post Office</t>
        </is>
      </c>
      <c r="E35" s="10" t="inlineStr">
        <is>
          <t>Convenience Store</t>
        </is>
      </c>
      <c r="F35" s="10" t="inlineStr">
        <is>
          <t>Family-run convenience store with post office</t>
        </is>
      </c>
      <c r="G35" s="10" t="inlineStr">
        <is>
          <t>Independent</t>
        </is>
      </c>
      <c r="H35" s="10" t="inlineStr">
        <is>
          <t>1</t>
        </is>
      </c>
      <c r="I35" s="10" t="inlineStr">
        <is>
          <t>62 Towngate</t>
        </is>
      </c>
      <c r="J35" s="10" t="inlineStr">
        <is>
          <t>Halifax</t>
        </is>
      </c>
      <c r="K35" s="10" t="inlineStr">
        <is>
          <t>HX3 7DX</t>
        </is>
      </c>
      <c r="L35" s="10" t="inlineStr"/>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Not Found</t>
        </is>
      </c>
      <c r="Y35" s="10" t="inlineStr">
        <is>
          <t>Not Found</t>
        </is>
      </c>
      <c r="Z35" s="10" t="inlineStr">
        <is>
          <t>Medium</t>
        </is>
      </c>
      <c r="AA35" s="10" t="inlineStr">
        <is>
          <t>Requires Verification</t>
        </is>
      </c>
      <c r="AB35" s="10" t="inlineStr">
        <is>
          <t>https://www.postoffice.co.uk/branch-finder/6204589/northowram</t>
        </is>
      </c>
    </row>
    <row r="36">
      <c r="A36" s="5" t="inlineStr">
        <is>
          <t>WY-0127</t>
        </is>
      </c>
      <c r="B36" s="5" t="inlineStr">
        <is>
          <t>WY-0127-01</t>
        </is>
      </c>
      <c r="C36" s="5" t="inlineStr"/>
      <c r="D36" s="5" t="inlineStr">
        <is>
          <t>Notay Convenience Store (Premier)</t>
        </is>
      </c>
      <c r="E36" s="5" t="inlineStr">
        <is>
          <t>Convenience Store</t>
        </is>
      </c>
      <c r="F36" s="5" t="inlineStr">
        <is>
          <t>Premier symbol group convenience store</t>
        </is>
      </c>
      <c r="G36" s="5" t="inlineStr">
        <is>
          <t>Franchise / Symbol Group</t>
        </is>
      </c>
      <c r="H36" s="5" t="inlineStr">
        <is>
          <t>1</t>
        </is>
      </c>
      <c r="I36" s="5" t="inlineStr">
        <is>
          <t>Oakhill Road</t>
        </is>
      </c>
      <c r="J36" s="5" t="inlineStr">
        <is>
          <t>Batley</t>
        </is>
      </c>
      <c r="K36" s="5" t="inlineStr">
        <is>
          <t>WF17 8JD</t>
        </is>
      </c>
      <c r="L36" s="5" t="inlineStr">
        <is>
          <t>01924 471483</t>
        </is>
      </c>
      <c r="M36" s="5" t="inlineStr"/>
      <c r="N36" s="5" t="inlineStr"/>
      <c r="O36" s="5" t="inlineStr">
        <is>
          <t>https://www.premier-stores.co.uk/our-stores/notay-convenience-store</t>
        </is>
      </c>
      <c r="P36" s="5" t="inlineStr"/>
      <c r="Q36" s="5" t="inlineStr"/>
      <c r="R36" s="5" t="inlineStr"/>
      <c r="S36" s="5" t="inlineStr"/>
      <c r="T36" s="5" t="inlineStr"/>
      <c r="U36" s="5" t="inlineStr"/>
      <c r="V36" s="5" t="inlineStr">
        <is>
          <t>Medium</t>
        </is>
      </c>
      <c r="W36" s="5" t="inlineStr">
        <is>
          <t>Independent retailer; Relevant category; Active website</t>
        </is>
      </c>
      <c r="X36" s="5" t="inlineStr">
        <is>
          <t>Verified directory</t>
        </is>
      </c>
      <c r="Y36" s="5" t="inlineStr">
        <is>
          <t>Not Found</t>
        </is>
      </c>
      <c r="Z36" s="5" t="inlineStr">
        <is>
          <t>Medium</t>
        </is>
      </c>
      <c r="AA36" s="5" t="inlineStr">
        <is>
          <t>Requires Verification</t>
        </is>
      </c>
      <c r="AB36" s="5" t="inlineStr">
        <is>
          <t>https://www.premier-stores.co.uk/our-stores/notay-convenience-store</t>
        </is>
      </c>
    </row>
    <row r="37">
      <c r="A37" s="10" t="inlineStr">
        <is>
          <t>WY-0129</t>
        </is>
      </c>
      <c r="B37" s="10" t="inlineStr">
        <is>
          <t>WY-0129-01</t>
        </is>
      </c>
      <c r="C37" s="10" t="inlineStr"/>
      <c r="D37" s="10" t="inlineStr">
        <is>
          <t>Outwood Express</t>
        </is>
      </c>
      <c r="E37" s="10" t="inlineStr">
        <is>
          <t>Convenience Store</t>
        </is>
      </c>
      <c r="F37" s="10" t="inlineStr">
        <is>
          <t>Convenience store / grocer</t>
        </is>
      </c>
      <c r="G37" s="10" t="inlineStr">
        <is>
          <t>Independent</t>
        </is>
      </c>
      <c r="H37" s="10" t="inlineStr">
        <is>
          <t>1</t>
        </is>
      </c>
      <c r="I37" s="10" t="inlineStr"/>
      <c r="J37" s="10" t="inlineStr">
        <is>
          <t>Wakefield</t>
        </is>
      </c>
      <c r="K37" s="10" t="inlineStr"/>
      <c r="L37" s="10" t="inlineStr"/>
      <c r="M37" s="10" t="inlineStr"/>
      <c r="N37" s="10" t="inlineStr"/>
      <c r="O37" s="10" t="inlineStr"/>
      <c r="P37" s="10" t="inlineStr"/>
      <c r="Q37" s="10" t="inlineStr"/>
      <c r="R37" s="10" t="inlineStr"/>
      <c r="S37" s="10" t="inlineStr"/>
      <c r="T37" s="10" t="inlineStr"/>
      <c r="U37" s="10" t="inlineStr"/>
      <c r="V37" s="10" t="inlineStr">
        <is>
          <t>Low</t>
        </is>
      </c>
      <c r="W37" s="10" t="inlineStr">
        <is>
          <t>Independent retailer; Relevant category</t>
        </is>
      </c>
      <c r="X37" s="10" t="inlineStr">
        <is>
          <t>Not Found</t>
        </is>
      </c>
      <c r="Y37" s="10" t="inlineStr">
        <is>
          <t>Not Found</t>
        </is>
      </c>
      <c r="Z37" s="10" t="inlineStr">
        <is>
          <t>Low</t>
        </is>
      </c>
      <c r="AA37" s="10" t="inlineStr">
        <is>
          <t>Requires Verification</t>
        </is>
      </c>
      <c r="AB37" s="10" t="inlineStr">
        <is>
          <t>https://www.yell.com/biz/outwood-express-wakefield-10165328/</t>
        </is>
      </c>
    </row>
    <row r="38">
      <c r="A38" s="5" t="inlineStr">
        <is>
          <t>WY-0133</t>
        </is>
      </c>
      <c r="B38" s="5" t="inlineStr">
        <is>
          <t>WY-0133-01</t>
        </is>
      </c>
      <c r="C38" s="5" t="inlineStr"/>
      <c r="D38" s="5" t="inlineStr">
        <is>
          <t>Premier (Bingley Convenience Store)</t>
        </is>
      </c>
      <c r="E38" s="5" t="inlineStr">
        <is>
          <t>Convenience Store</t>
        </is>
      </c>
      <c r="F38" s="5" t="inlineStr">
        <is>
          <t>Symbol-group convenience store</t>
        </is>
      </c>
      <c r="G38" s="5" t="inlineStr">
        <is>
          <t>Franchise / Symbol Group</t>
        </is>
      </c>
      <c r="H38" s="5" t="inlineStr">
        <is>
          <t>1</t>
        </is>
      </c>
      <c r="I38" s="5" t="inlineStr"/>
      <c r="J38" s="5" t="inlineStr">
        <is>
          <t>Bingley</t>
        </is>
      </c>
      <c r="K38" s="5" t="inlineStr"/>
      <c r="L38" s="5" t="inlineStr"/>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Not Found</t>
        </is>
      </c>
      <c r="Y38" s="5" t="inlineStr">
        <is>
          <t>Not Found</t>
        </is>
      </c>
      <c r="Z38" s="5" t="inlineStr">
        <is>
          <t>Low</t>
        </is>
      </c>
      <c r="AA38" s="5" t="inlineStr">
        <is>
          <t>Requires Verification</t>
        </is>
      </c>
      <c r="AB38" s="5" t="inlineStr">
        <is>
          <t>https://www.yorkshire.com/bingley/shopping/corner-shops/premier-bingley-convenience-store</t>
        </is>
      </c>
    </row>
    <row r="39">
      <c r="A39" s="10" t="inlineStr">
        <is>
          <t>WY-0134</t>
        </is>
      </c>
      <c r="B39" s="10" t="inlineStr">
        <is>
          <t>WY-0134-01</t>
        </is>
      </c>
      <c r="C39" s="10" t="inlineStr"/>
      <c r="D39" s="10" t="inlineStr">
        <is>
          <t>Premier Hemsworth</t>
        </is>
      </c>
      <c r="E39" s="10" t="inlineStr">
        <is>
          <t>Convenience Store</t>
        </is>
      </c>
      <c r="F39" s="10" t="inlineStr">
        <is>
          <t>Symbol group convenience store</t>
        </is>
      </c>
      <c r="G39" s="10" t="inlineStr">
        <is>
          <t>Franchise / Symbol Group</t>
        </is>
      </c>
      <c r="H39" s="10" t="inlineStr">
        <is>
          <t>1</t>
        </is>
      </c>
      <c r="I39" s="10" t="inlineStr">
        <is>
          <t>51-55 Barnsley Road</t>
        </is>
      </c>
      <c r="J39" s="10" t="inlineStr">
        <is>
          <t>Hemsworth</t>
        </is>
      </c>
      <c r="K39" s="10" t="inlineStr">
        <is>
          <t>WF9 4QZ</t>
        </is>
      </c>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Not Found</t>
        </is>
      </c>
      <c r="Y39" s="10" t="inlineStr">
        <is>
          <t>Not Found</t>
        </is>
      </c>
      <c r="Z39" s="10" t="inlineStr">
        <is>
          <t>Medium</t>
        </is>
      </c>
      <c r="AA39" s="10" t="inlineStr">
        <is>
          <t>Requires Verification</t>
        </is>
      </c>
      <c r="AB39" s="10" t="inlineStr">
        <is>
          <t>https://hemsworth.ukintouch.com/convenience-store/premier-hemsworth/</t>
        </is>
      </c>
    </row>
    <row r="40">
      <c r="A40" s="5" t="inlineStr">
        <is>
          <t>WY-0136</t>
        </is>
      </c>
      <c r="B40" s="5" t="inlineStr">
        <is>
          <t>WY-0136-01</t>
        </is>
      </c>
      <c r="C40" s="5" t="inlineStr"/>
      <c r="D40" s="5" t="inlineStr">
        <is>
          <t>Quix Newsagents, Off Licence &amp; Convenience Store</t>
        </is>
      </c>
      <c r="E40" s="5" t="inlineStr">
        <is>
          <t>Convenience Store</t>
        </is>
      </c>
      <c r="F40" s="5" t="inlineStr">
        <is>
          <t>Newsagent, off-licence &amp; convenience store</t>
        </is>
      </c>
      <c r="G40" s="5" t="inlineStr">
        <is>
          <t>Independent</t>
        </is>
      </c>
      <c r="H40" s="5" t="inlineStr">
        <is>
          <t>1</t>
        </is>
      </c>
      <c r="I40" s="5" t="inlineStr"/>
      <c r="J40" s="5" t="inlineStr">
        <is>
          <t>Shipley</t>
        </is>
      </c>
      <c r="K40" s="5" t="inlineStr"/>
      <c r="L40" s="5" t="inlineStr"/>
      <c r="M40" s="5" t="inlineStr"/>
      <c r="N40" s="5" t="inlineStr"/>
      <c r="O40" s="5" t="inlineStr"/>
      <c r="P40" s="5" t="inlineStr"/>
      <c r="Q40" s="5" t="inlineStr"/>
      <c r="R40" s="5" t="inlineStr"/>
      <c r="S40" s="5" t="inlineStr"/>
      <c r="T40" s="5" t="inlineStr"/>
      <c r="U40" s="5" t="inlineStr"/>
      <c r="V40" s="5" t="inlineStr">
        <is>
          <t>Low</t>
        </is>
      </c>
      <c r="W40" s="5" t="inlineStr">
        <is>
          <t>Independent retailer; Relevant category</t>
        </is>
      </c>
      <c r="X40" s="5" t="inlineStr">
        <is>
          <t>Not Found</t>
        </is>
      </c>
      <c r="Y40" s="5" t="inlineStr">
        <is>
          <t>Not Found</t>
        </is>
      </c>
      <c r="Z40" s="5" t="inlineStr">
        <is>
          <t>Low</t>
        </is>
      </c>
      <c r="AA40" s="5" t="inlineStr">
        <is>
          <t>Requires Verification</t>
        </is>
      </c>
      <c r="AB40" s="5" t="inlineStr">
        <is>
          <t>https://www.yorkshire.com/shipley/shopping/corner-shops/quix-newsagents-off-licence-convenience-store</t>
        </is>
      </c>
    </row>
    <row r="41">
      <c r="A41" s="10" t="inlineStr">
        <is>
          <t>WY-0137</t>
        </is>
      </c>
      <c r="B41" s="10" t="inlineStr">
        <is>
          <t>WY-0137-01</t>
        </is>
      </c>
      <c r="C41" s="10" t="inlineStr"/>
      <c r="D41" s="10" t="inlineStr">
        <is>
          <t>Rahien Mini Market</t>
        </is>
      </c>
      <c r="E41" s="10" t="inlineStr">
        <is>
          <t>Convenience Store</t>
        </is>
      </c>
      <c r="F41" s="10" t="inlineStr">
        <is>
          <t>Mini market</t>
        </is>
      </c>
      <c r="G41" s="10" t="inlineStr">
        <is>
          <t>Independent</t>
        </is>
      </c>
      <c r="H41" s="10" t="inlineStr">
        <is>
          <t>1</t>
        </is>
      </c>
      <c r="I41" s="10" t="inlineStr">
        <is>
          <t>Queen's Road</t>
        </is>
      </c>
      <c r="J41" s="10" t="inlineStr">
        <is>
          <t>Leeds</t>
        </is>
      </c>
      <c r="K41" s="10" t="inlineStr"/>
      <c r="L41" s="10" t="inlineStr"/>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Not Found</t>
        </is>
      </c>
      <c r="Y41" s="10" t="inlineStr">
        <is>
          <t>Not Found</t>
        </is>
      </c>
      <c r="Z41" s="10" t="inlineStr">
        <is>
          <t>Low</t>
        </is>
      </c>
      <c r="AA41" s="10" t="inlineStr">
        <is>
          <t>Requires Verification</t>
        </is>
      </c>
      <c r="AB41" s="10" t="inlineStr">
        <is>
          <t>https://www.yorkshire.com/headingley/shopping/markets/rahien-mini-market</t>
        </is>
      </c>
    </row>
    <row r="42">
      <c r="A42" s="5" t="inlineStr">
        <is>
          <t>WY-0141</t>
        </is>
      </c>
      <c r="B42" s="5" t="inlineStr">
        <is>
          <t>WY-0141-01</t>
        </is>
      </c>
      <c r="C42" s="5" t="inlineStr"/>
      <c r="D42" s="5" t="inlineStr">
        <is>
          <t>SPAR Huddersfield Road</t>
        </is>
      </c>
      <c r="E42" s="5" t="inlineStr">
        <is>
          <t>Convenience Store</t>
        </is>
      </c>
      <c r="F42" s="5" t="inlineStr">
        <is>
          <t>SPAR symbol group convenience store with off-licence</t>
        </is>
      </c>
      <c r="G42" s="5" t="inlineStr">
        <is>
          <t>Franchise / Symbol Group</t>
        </is>
      </c>
      <c r="H42" s="5" t="inlineStr">
        <is>
          <t>1</t>
        </is>
      </c>
      <c r="I42" s="5" t="inlineStr">
        <is>
          <t>Huddersfield Road</t>
        </is>
      </c>
      <c r="J42" s="5" t="inlineStr">
        <is>
          <t>Elland</t>
        </is>
      </c>
      <c r="K42" s="5" t="inlineStr">
        <is>
          <t>HX5 9AA</t>
        </is>
      </c>
      <c r="L42" s="5" t="inlineStr">
        <is>
          <t>01422 648232</t>
        </is>
      </c>
      <c r="M42" s="5" t="inlineStr"/>
      <c r="N42" s="5" t="inlineStr"/>
      <c r="O42" s="5" t="inlineStr">
        <is>
          <t>https://www.spar.co.uk/store-locator/hal32443-spar-huddersfield-road</t>
        </is>
      </c>
      <c r="P42" s="5" t="inlineStr"/>
      <c r="Q42" s="5" t="inlineStr"/>
      <c r="R42" s="5" t="inlineStr"/>
      <c r="S42" s="5" t="inlineStr"/>
      <c r="T42" s="5" t="inlineStr"/>
      <c r="U42" s="5" t="inlineStr"/>
      <c r="V42" s="5" t="inlineStr">
        <is>
          <t>Medium</t>
        </is>
      </c>
      <c r="W42" s="5" t="inlineStr">
        <is>
          <t>Independent retailer; Relevant category; Active website</t>
        </is>
      </c>
      <c r="X42" s="5" t="inlineStr">
        <is>
          <t>Verified directory</t>
        </is>
      </c>
      <c r="Y42" s="5" t="inlineStr">
        <is>
          <t>Not Found</t>
        </is>
      </c>
      <c r="Z42" s="5" t="inlineStr">
        <is>
          <t>Medium</t>
        </is>
      </c>
      <c r="AA42" s="5" t="inlineStr">
        <is>
          <t>Requires Verification</t>
        </is>
      </c>
      <c r="AB42" s="5" t="inlineStr">
        <is>
          <t>https://www.spar.co.uk/store-locator/hal32443-spar-huddersfield-road</t>
        </is>
      </c>
    </row>
    <row r="43">
      <c r="A43" s="10" t="inlineStr">
        <is>
          <t>WY-0142</t>
        </is>
      </c>
      <c r="B43" s="10" t="inlineStr">
        <is>
          <t>WY-0142-01</t>
        </is>
      </c>
      <c r="C43" s="10" t="inlineStr"/>
      <c r="D43" s="10" t="inlineStr">
        <is>
          <t>SPAR Outwood</t>
        </is>
      </c>
      <c r="E43" s="10" t="inlineStr">
        <is>
          <t>Convenience Store</t>
        </is>
      </c>
      <c r="F43" s="10" t="inlineStr">
        <is>
          <t>Symbol group convenience store</t>
        </is>
      </c>
      <c r="G43" s="10" t="inlineStr">
        <is>
          <t>Franchise / Symbol Group</t>
        </is>
      </c>
      <c r="H43" s="10" t="inlineStr">
        <is>
          <t>1</t>
        </is>
      </c>
      <c r="I43" s="10" t="inlineStr">
        <is>
          <t>Potovens Lane</t>
        </is>
      </c>
      <c r="J43" s="10" t="inlineStr">
        <is>
          <t>Wakefield</t>
        </is>
      </c>
      <c r="K43" s="10" t="inlineStr">
        <is>
          <t>WF1 2LE</t>
        </is>
      </c>
      <c r="L43" s="10" t="inlineStr">
        <is>
          <t>01924 822641</t>
        </is>
      </c>
      <c r="M43" s="10" t="inlineStr"/>
      <c r="N43" s="10" t="inlineStr"/>
      <c r="O43" s="10" t="inlineStr">
        <is>
          <t>https://www.spar.co.uk/store-locator/afb49926-spar-outwood</t>
        </is>
      </c>
      <c r="P43" s="10" t="inlineStr"/>
      <c r="Q43" s="10" t="inlineStr"/>
      <c r="R43" s="10" t="inlineStr"/>
      <c r="S43" s="10" t="inlineStr"/>
      <c r="T43" s="10" t="inlineStr"/>
      <c r="U43" s="10" t="inlineStr"/>
      <c r="V43" s="10" t="inlineStr">
        <is>
          <t>Medium</t>
        </is>
      </c>
      <c r="W43" s="10" t="inlineStr">
        <is>
          <t>Independent retailer; Relevant category; Active website</t>
        </is>
      </c>
      <c r="X43" s="10" t="inlineStr">
        <is>
          <t>Verified directory</t>
        </is>
      </c>
      <c r="Y43" s="10" t="inlineStr">
        <is>
          <t>Not Found</t>
        </is>
      </c>
      <c r="Z43" s="10" t="inlineStr">
        <is>
          <t>Medium</t>
        </is>
      </c>
      <c r="AA43" s="10" t="inlineStr">
        <is>
          <t>Requires Verification</t>
        </is>
      </c>
      <c r="AB43" s="10" t="inlineStr">
        <is>
          <t>https://www.spar.co.uk/store-locator/afb49926-spar-outwood</t>
        </is>
      </c>
    </row>
    <row r="44">
      <c r="A44" s="5" t="inlineStr">
        <is>
          <t>WY-0144</t>
        </is>
      </c>
      <c r="B44" s="5" t="inlineStr">
        <is>
          <t>WY-0144-01</t>
        </is>
      </c>
      <c r="C44" s="5" t="inlineStr"/>
      <c r="D44" s="5" t="inlineStr">
        <is>
          <t>Select Newsagent</t>
        </is>
      </c>
      <c r="E44" s="5" t="inlineStr">
        <is>
          <t>Newsagent</t>
        </is>
      </c>
      <c r="F44" s="5" t="inlineStr">
        <is>
          <t>Newsagent and convenience store</t>
        </is>
      </c>
      <c r="G44" s="5" t="inlineStr">
        <is>
          <t>Independent</t>
        </is>
      </c>
      <c r="H44" s="5" t="inlineStr">
        <is>
          <t>1</t>
        </is>
      </c>
      <c r="I44" s="5" t="inlineStr">
        <is>
          <t>18 Lee Green</t>
        </is>
      </c>
      <c r="J44" s="5" t="inlineStr">
        <is>
          <t>Mirfield</t>
        </is>
      </c>
      <c r="K44" s="5" t="inlineStr">
        <is>
          <t>WF14 0AB</t>
        </is>
      </c>
      <c r="L44" s="5" t="inlineStr">
        <is>
          <t>01924 695779</t>
        </is>
      </c>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Verified directory</t>
        </is>
      </c>
      <c r="Y44" s="5" t="inlineStr">
        <is>
          <t>Not Found</t>
        </is>
      </c>
      <c r="Z44" s="5" t="inlineStr">
        <is>
          <t>Medium</t>
        </is>
      </c>
      <c r="AA44" s="5" t="inlineStr">
        <is>
          <t>Requires Verification</t>
        </is>
      </c>
      <c r="AB44" s="5" t="inlineStr">
        <is>
          <t>https://mirfield.cylex-uk.co.uk/company/select-newsagent-28742458.html</t>
        </is>
      </c>
    </row>
    <row r="45">
      <c r="A45" s="10" t="inlineStr">
        <is>
          <t>WY-0151</t>
        </is>
      </c>
      <c r="B45" s="10" t="inlineStr">
        <is>
          <t>WY-0151-01</t>
        </is>
      </c>
      <c r="C45" s="10" t="inlineStr"/>
      <c r="D45" s="10" t="inlineStr">
        <is>
          <t>Soothill Convenience Store &amp; Off Licence</t>
        </is>
      </c>
      <c r="E45" s="10" t="inlineStr">
        <is>
          <t>Convenience Store</t>
        </is>
      </c>
      <c r="F45" s="10" t="inlineStr">
        <is>
          <t>Convenience store and off-licence</t>
        </is>
      </c>
      <c r="G45" s="10" t="inlineStr">
        <is>
          <t>Independent</t>
        </is>
      </c>
      <c r="H45" s="10" t="inlineStr">
        <is>
          <t>1</t>
        </is>
      </c>
      <c r="I45" s="10" t="inlineStr"/>
      <c r="J45" s="10" t="inlineStr">
        <is>
          <t>Batley</t>
        </is>
      </c>
      <c r="K45" s="10" t="inlineStr"/>
      <c r="L45" s="10" t="inlineStr"/>
      <c r="M45" s="10" t="inlineStr"/>
      <c r="N45" s="10" t="inlineStr"/>
      <c r="O45" s="10" t="inlineStr"/>
      <c r="P45" s="10" t="inlineStr"/>
      <c r="Q45" s="10" t="inlineStr"/>
      <c r="R45" s="10" t="inlineStr"/>
      <c r="S45" s="10" t="inlineStr"/>
      <c r="T45" s="10" t="inlineStr">
        <is>
          <t>11966163</t>
        </is>
      </c>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https://find-and-update.company-information.service.gov.uk/company/11966163/persons-with-significant-control</t>
        </is>
      </c>
    </row>
    <row r="46">
      <c r="A46" s="5" t="inlineStr">
        <is>
          <t>WY-0157</t>
        </is>
      </c>
      <c r="B46" s="5" t="inlineStr">
        <is>
          <t>WY-0157-01</t>
        </is>
      </c>
      <c r="C46" s="5" t="inlineStr"/>
      <c r="D46" s="5" t="inlineStr">
        <is>
          <t>Sup Mirfield</t>
        </is>
      </c>
      <c r="E46" s="5" t="inlineStr">
        <is>
          <t>Convenience Store</t>
        </is>
      </c>
      <c r="F46" s="5" t="inlineStr">
        <is>
          <t>Convenience store</t>
        </is>
      </c>
      <c r="G46" s="5" t="inlineStr">
        <is>
          <t>Independent</t>
        </is>
      </c>
      <c r="H46" s="5" t="inlineStr">
        <is>
          <t>1</t>
        </is>
      </c>
      <c r="I46" s="5" t="inlineStr">
        <is>
          <t>2 Nettleton Road</t>
        </is>
      </c>
      <c r="J46" s="5" t="inlineStr">
        <is>
          <t>Mirfield</t>
        </is>
      </c>
      <c r="K46" s="5" t="inlineStr"/>
      <c r="L46" s="5" t="inlineStr">
        <is>
          <t>07387 294049</t>
        </is>
      </c>
      <c r="M46" s="5" t="inlineStr"/>
      <c r="N46" s="5" t="inlineStr"/>
      <c r="O46" s="5" t="inlineStr"/>
      <c r="P46" s="5" t="inlineStr">
        <is>
          <t>https://www.facebook.com/supmirfield/</t>
        </is>
      </c>
      <c r="Q46" s="5" t="inlineStr"/>
      <c r="R46" s="5" t="inlineStr"/>
      <c r="S46" s="5" t="inlineStr"/>
      <c r="T46" s="5" t="inlineStr"/>
      <c r="U46" s="5" t="inlineStr"/>
      <c r="V46" s="5" t="inlineStr">
        <is>
          <t>Medium</t>
        </is>
      </c>
      <c r="W46" s="5" t="inlineStr">
        <is>
          <t>Independent retailer; Relevant category; Social presence</t>
        </is>
      </c>
      <c r="X46" s="5" t="inlineStr">
        <is>
          <t>Verified directory</t>
        </is>
      </c>
      <c r="Y46" s="5" t="inlineStr">
        <is>
          <t>Not Found</t>
        </is>
      </c>
      <c r="Z46" s="5" t="inlineStr">
        <is>
          <t>Low</t>
        </is>
      </c>
      <c r="AA46" s="5" t="inlineStr">
        <is>
          <t>Requires Verification</t>
        </is>
      </c>
      <c r="AB46" s="5" t="inlineStr">
        <is>
          <t>https://www.facebook.com/supmirfield/</t>
        </is>
      </c>
    </row>
    <row r="47">
      <c r="A47" s="10" t="inlineStr">
        <is>
          <t>WY-0164</t>
        </is>
      </c>
      <c r="B47" s="10" t="inlineStr">
        <is>
          <t>WY-0164-01</t>
        </is>
      </c>
      <c r="C47" s="10" t="inlineStr"/>
      <c r="D47" s="10" t="inlineStr">
        <is>
          <t>Thornhill Convenience Store</t>
        </is>
      </c>
      <c r="E47" s="10" t="inlineStr">
        <is>
          <t>Convenience Store</t>
        </is>
      </c>
      <c r="F47" s="10" t="inlineStr">
        <is>
          <t>Convenience store</t>
        </is>
      </c>
      <c r="G47" s="10" t="inlineStr">
        <is>
          <t>Independent</t>
        </is>
      </c>
      <c r="H47" s="10" t="inlineStr">
        <is>
          <t>1</t>
        </is>
      </c>
      <c r="I47" s="10" t="inlineStr">
        <is>
          <t>1b Brewery Lane</t>
        </is>
      </c>
      <c r="J47" s="10" t="inlineStr">
        <is>
          <t>Dewsbury</t>
        </is>
      </c>
      <c r="K47" s="10" t="inlineStr">
        <is>
          <t>WF12 9DZ</t>
        </is>
      </c>
      <c r="L47" s="10" t="inlineStr">
        <is>
          <t>01924 462478</t>
        </is>
      </c>
      <c r="M47" s="10" t="inlineStr"/>
      <c r="N47" s="10" t="inlineStr"/>
      <c r="O47" s="10" t="inlineStr"/>
      <c r="P47" s="10" t="inlineStr"/>
      <c r="Q47" s="10" t="inlineStr"/>
      <c r="R47" s="10" t="inlineStr"/>
      <c r="S47" s="10" t="inlineStr"/>
      <c r="T47" s="10" t="inlineStr"/>
      <c r="U47" s="10" t="inlineStr"/>
      <c r="V47" s="10" t="inlineStr">
        <is>
          <t>Low</t>
        </is>
      </c>
      <c r="W47" s="10" t="inlineStr">
        <is>
          <t>Independent retailer; Relevant category</t>
        </is>
      </c>
      <c r="X47" s="10" t="inlineStr">
        <is>
          <t>Verified directory</t>
        </is>
      </c>
      <c r="Y47" s="10" t="inlineStr">
        <is>
          <t>Not Found</t>
        </is>
      </c>
      <c r="Z47" s="10" t="inlineStr">
        <is>
          <t>Medium</t>
        </is>
      </c>
      <c r="AA47" s="10" t="inlineStr">
        <is>
          <t>Requires Verification</t>
        </is>
      </c>
      <c r="AB47" s="10" t="inlineStr">
        <is>
          <t>https://dewsbury.cylex-uk.co.uk/company/thornhill-convenience-store-28660320.html</t>
        </is>
      </c>
    </row>
    <row r="48">
      <c r="A48" s="5" t="inlineStr">
        <is>
          <t>WY-0165</t>
        </is>
      </c>
      <c r="B48" s="5" t="inlineStr">
        <is>
          <t>WY-0165-01</t>
        </is>
      </c>
      <c r="C48" s="5" t="inlineStr"/>
      <c r="D48" s="5" t="inlineStr">
        <is>
          <t>Todmorden Newscentre</t>
        </is>
      </c>
      <c r="E48" s="5" t="inlineStr">
        <is>
          <t>Newsagent</t>
        </is>
      </c>
      <c r="F48" s="5" t="inlineStr">
        <is>
          <t>Newsagent with Amazon Counter parcel service</t>
        </is>
      </c>
      <c r="G48" s="5" t="inlineStr">
        <is>
          <t>Independent</t>
        </is>
      </c>
      <c r="H48" s="5" t="inlineStr">
        <is>
          <t>1</t>
        </is>
      </c>
      <c r="I48" s="5" t="inlineStr">
        <is>
          <t>15 Bridge Street</t>
        </is>
      </c>
      <c r="J48" s="5" t="inlineStr">
        <is>
          <t>Todmorden</t>
        </is>
      </c>
      <c r="K48" s="5" t="inlineStr">
        <is>
          <t>OL14 5AQ</t>
        </is>
      </c>
      <c r="L48" s="5" t="inlineStr">
        <is>
          <t>01706 819889</t>
        </is>
      </c>
      <c r="M48" s="5" t="inlineStr"/>
      <c r="N48" s="5" t="inlineStr"/>
      <c r="O48" s="5" t="inlineStr"/>
      <c r="P48" s="5" t="inlineStr"/>
      <c r="Q48" s="5" t="inlineStr"/>
      <c r="R48" s="5" t="inlineStr"/>
      <c r="S48" s="5" t="inlineStr"/>
      <c r="T48" s="5" t="inlineStr">
        <is>
          <t>07292504</t>
        </is>
      </c>
      <c r="U48" s="5" t="inlineStr">
        <is>
          <t>Active</t>
        </is>
      </c>
      <c r="V48" s="5" t="inlineStr">
        <is>
          <t>Low</t>
        </is>
      </c>
      <c r="W48" s="5" t="inlineStr">
        <is>
          <t>Independent retailer; Relevant category</t>
        </is>
      </c>
      <c r="X48" s="5" t="inlineStr">
        <is>
          <t>Verified directory</t>
        </is>
      </c>
      <c r="Y48" s="5" t="inlineStr">
        <is>
          <t>Not Found</t>
        </is>
      </c>
      <c r="Z48" s="5" t="inlineStr">
        <is>
          <t>Medium</t>
        </is>
      </c>
      <c r="AA48" s="5" t="inlineStr">
        <is>
          <t>Partially Verified</t>
        </is>
      </c>
      <c r="AB48" s="5" t="inlineStr">
        <is>
          <t>https://find-and-update.company-information.service.gov.uk/company/07292504</t>
        </is>
      </c>
    </row>
    <row r="49">
      <c r="A49" s="10" t="inlineStr">
        <is>
          <t>WY-0168</t>
        </is>
      </c>
      <c r="B49" s="10" t="inlineStr">
        <is>
          <t>WY-0168-01</t>
        </is>
      </c>
      <c r="C49" s="10" t="inlineStr"/>
      <c r="D49" s="10" t="inlineStr">
        <is>
          <t>Turners Food &amp; Wine</t>
        </is>
      </c>
      <c r="E49" s="10" t="inlineStr">
        <is>
          <t>Convenience Store</t>
        </is>
      </c>
      <c r="F49" s="10" t="inlineStr">
        <is>
          <t>Convenience store with off-licence</t>
        </is>
      </c>
      <c r="G49" s="10" t="inlineStr">
        <is>
          <t>Independent</t>
        </is>
      </c>
      <c r="H49" s="10" t="inlineStr">
        <is>
          <t>1</t>
        </is>
      </c>
      <c r="I49" s="10" t="inlineStr"/>
      <c r="J49" s="10" t="inlineStr">
        <is>
          <t>Leeds</t>
        </is>
      </c>
      <c r="K49" s="10" t="inlineStr"/>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Not Found</t>
        </is>
      </c>
      <c r="Y49" s="10" t="inlineStr">
        <is>
          <t>Not Found</t>
        </is>
      </c>
      <c r="Z49" s="10" t="inlineStr">
        <is>
          <t>Low</t>
        </is>
      </c>
      <c r="AA49" s="10" t="inlineStr">
        <is>
          <t>Requires Verification</t>
        </is>
      </c>
      <c r="AB49" s="10" t="inlineStr">
        <is>
          <t>https://www.yorkshire.com/leeds/shopping/off-license</t>
        </is>
      </c>
    </row>
  </sheetData>
  <autoFilter ref="A1:AB4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B15"/>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26" customWidth="1" min="3" max="3"/>
    <col width="45" customWidth="1" min="4" max="4"/>
    <col width="28" customWidth="1" min="5" max="5"/>
    <col width="45" customWidth="1" min="6" max="6"/>
    <col width="26" customWidth="1" min="7" max="7"/>
    <col width="21" customWidth="1" min="8" max="8"/>
    <col width="22" customWidth="1" min="9" max="9"/>
    <col width="14" customWidth="1" min="10" max="10"/>
    <col width="10" customWidth="1" min="11" max="11"/>
    <col width="14" customWidth="1" min="12" max="12"/>
    <col width="27" customWidth="1" min="13" max="13"/>
    <col width="13" customWidth="1" min="14" max="14"/>
    <col width="45" customWidth="1" min="15" max="15"/>
    <col width="43" customWidth="1" min="16" max="16"/>
    <col width="11" customWidth="1" min="17" max="17"/>
    <col width="27" customWidth="1" min="18" max="18"/>
    <col width="20" customWidth="1" min="19" max="19"/>
    <col width="24" customWidth="1" min="20" max="20"/>
    <col width="16" customWidth="1" min="21" max="21"/>
    <col width="15" customWidth="1" min="22" max="22"/>
    <col width="45" customWidth="1" min="23" max="23"/>
    <col width="20" customWidth="1" min="24" max="24"/>
    <col width="15"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WY-0016</t>
        </is>
      </c>
      <c r="B2" s="5" t="inlineStr">
        <is>
          <t>KARANRETAI-01</t>
        </is>
      </c>
      <c r="C2" s="5" t="inlineStr">
        <is>
          <t>Karan Retail Ltd</t>
        </is>
      </c>
      <c r="D2" s="5" t="inlineStr">
        <is>
          <t>Chidswell Service Station (Karan Retail)</t>
        </is>
      </c>
      <c r="E2" s="5" t="inlineStr">
        <is>
          <t>Petrol Station / Forecourt</t>
        </is>
      </c>
      <c r="F2" s="5" t="inlineStr">
        <is>
          <t>Forecourt with convenience store</t>
        </is>
      </c>
      <c r="G2" s="5" t="inlineStr">
        <is>
          <t>Multi-Site Independent</t>
        </is>
      </c>
      <c r="H2" s="5" t="inlineStr"/>
      <c r="I2" s="5" t="inlineStr">
        <is>
          <t>Off A653 (Chidswell)</t>
        </is>
      </c>
      <c r="J2" s="5" t="inlineStr">
        <is>
          <t>Dewsbury</t>
        </is>
      </c>
      <c r="K2" s="5" t="inlineStr"/>
      <c r="L2" s="5" t="inlineStr"/>
      <c r="M2" s="5" t="inlineStr"/>
      <c r="N2" s="5" t="inlineStr"/>
      <c r="O2" s="5" t="inlineStr"/>
      <c r="P2" s="5" t="inlineStr"/>
      <c r="Q2" s="5" t="inlineStr"/>
      <c r="R2" s="5" t="inlineStr"/>
      <c r="S2" s="5" t="inlineStr"/>
      <c r="T2" s="5" t="inlineStr"/>
      <c r="U2" s="5" t="inlineStr"/>
      <c r="V2" s="5" t="inlineStr">
        <is>
          <t>Medium</t>
        </is>
      </c>
      <c r="W2" s="5" t="inlineStr">
        <is>
          <t>Multi-site retailer; Independent retailer; Relevant category</t>
        </is>
      </c>
      <c r="X2" s="5" t="inlineStr">
        <is>
          <t>Not Found</t>
        </is>
      </c>
      <c r="Y2" s="5" t="inlineStr">
        <is>
          <t>Not Found</t>
        </is>
      </c>
      <c r="Z2" s="5" t="inlineStr">
        <is>
          <t>Low</t>
        </is>
      </c>
      <c r="AA2" s="5" t="inlineStr">
        <is>
          <t>Requires Verification</t>
        </is>
      </c>
      <c r="AB2" s="5" t="inlineStr">
        <is>
          <t>https://www.asiantrader.biz/karan-retail-chidswell-service-station-acquisition</t>
        </is>
      </c>
    </row>
    <row r="3">
      <c r="A3" s="10" t="inlineStr">
        <is>
          <t>WY-0025</t>
        </is>
      </c>
      <c r="B3" s="10" t="inlineStr">
        <is>
          <t>SAVILEPETR-01</t>
        </is>
      </c>
      <c r="C3" s="10" t="inlineStr">
        <is>
          <t>Savile Petroleum Limited</t>
        </is>
      </c>
      <c r="D3" s="10" t="inlineStr">
        <is>
          <t>Dewsbury Service Station (Savile Petroleum)</t>
        </is>
      </c>
      <c r="E3" s="10" t="inlineStr">
        <is>
          <t>Petrol Station / Forecourt</t>
        </is>
      </c>
      <c r="F3" s="10" t="inlineStr">
        <is>
          <t>BP-branded independent forecourt with convenience store</t>
        </is>
      </c>
      <c r="G3" s="10" t="inlineStr">
        <is>
          <t>Independent</t>
        </is>
      </c>
      <c r="H3" s="10" t="inlineStr">
        <is>
          <t>1</t>
        </is>
      </c>
      <c r="I3" s="10" t="inlineStr">
        <is>
          <t>Savile Road</t>
        </is>
      </c>
      <c r="J3" s="10" t="inlineStr">
        <is>
          <t>Dewsbury</t>
        </is>
      </c>
      <c r="K3" s="10" t="inlineStr">
        <is>
          <t>WF12 9LR</t>
        </is>
      </c>
      <c r="L3" s="10" t="inlineStr"/>
      <c r="M3" s="10" t="inlineStr"/>
      <c r="N3" s="10" t="inlineStr"/>
      <c r="O3" s="10" t="inlineStr"/>
      <c r="P3" s="10" t="inlineStr"/>
      <c r="Q3" s="10" t="inlineStr"/>
      <c r="R3" s="10" t="inlineStr"/>
      <c r="S3" s="10" t="inlineStr"/>
      <c r="T3" s="10" t="inlineStr">
        <is>
          <t>05197700</t>
        </is>
      </c>
      <c r="U3" s="10" t="inlineStr">
        <is>
          <t>Active</t>
        </is>
      </c>
      <c r="V3" s="10" t="inlineStr">
        <is>
          <t>Medium</t>
        </is>
      </c>
      <c r="W3" s="10" t="inlineStr">
        <is>
          <t>Multi-site retailer; Independent retailer; Relevant category</t>
        </is>
      </c>
      <c r="X3" s="10" t="inlineStr">
        <is>
          <t>Not Found</t>
        </is>
      </c>
      <c r="Y3" s="10" t="inlineStr">
        <is>
          <t>Not Found</t>
        </is>
      </c>
      <c r="Z3" s="10" t="inlineStr">
        <is>
          <t>Medium</t>
        </is>
      </c>
      <c r="AA3" s="10" t="inlineStr">
        <is>
          <t>Partially Verified</t>
        </is>
      </c>
      <c r="AB3" s="10" t="inlineStr">
        <is>
          <t>https://find-and-update.company-information.service.gov.uk/company/05197700</t>
        </is>
      </c>
    </row>
    <row r="4">
      <c r="A4" s="5" t="inlineStr">
        <is>
          <t>WY-0028</t>
        </is>
      </c>
      <c r="B4" s="5" t="inlineStr">
        <is>
          <t>SPEEDPETRO-01</t>
        </is>
      </c>
      <c r="C4" s="5" t="inlineStr">
        <is>
          <t>Speed Petroleum</t>
        </is>
      </c>
      <c r="D4" s="5" t="inlineStr">
        <is>
          <t>Glasshoughton Service Station</t>
        </is>
      </c>
      <c r="E4" s="5" t="inlineStr">
        <is>
          <t>Petrol Station / Forecourt</t>
        </is>
      </c>
      <c r="F4" s="5" t="inlineStr">
        <is>
          <t>BP-branded dealer forecourt with Nisa Local shop</t>
        </is>
      </c>
      <c r="G4" s="5" t="inlineStr">
        <is>
          <t>Franchise / Symbol Group</t>
        </is>
      </c>
      <c r="H4" s="5" t="inlineStr">
        <is>
          <t>1</t>
        </is>
      </c>
      <c r="I4" s="5" t="inlineStr">
        <is>
          <t>Park Road</t>
        </is>
      </c>
      <c r="J4" s="5" t="inlineStr">
        <is>
          <t>Castleford</t>
        </is>
      </c>
      <c r="K4" s="5" t="inlineStr">
        <is>
          <t>WF10 4RS</t>
        </is>
      </c>
      <c r="L4" s="5" t="inlineStr">
        <is>
          <t>01977 278353</t>
        </is>
      </c>
      <c r="M4" s="5" t="inlineStr"/>
      <c r="N4" s="5" t="inlineStr"/>
      <c r="O4" s="5" t="inlineStr">
        <is>
          <t>https://www.nisalocally.co.uk/stores/west-yorkshire/castleford/bp-glasshoughton-ser-st</t>
        </is>
      </c>
      <c r="P4" s="5" t="inlineStr"/>
      <c r="Q4" s="5" t="inlineStr"/>
      <c r="R4" s="5" t="inlineStr"/>
      <c r="S4" s="5" t="inlineStr"/>
      <c r="T4" s="5" t="inlineStr"/>
      <c r="U4" s="5" t="inlineStr"/>
      <c r="V4" s="5" t="inlineStr">
        <is>
          <t>Medium</t>
        </is>
      </c>
      <c r="W4" s="5" t="inlineStr">
        <is>
          <t>Multi-site retailer; Independent retailer; Relevant category; Active website</t>
        </is>
      </c>
      <c r="X4" s="5" t="inlineStr">
        <is>
          <t>Verified directory</t>
        </is>
      </c>
      <c r="Y4" s="5" t="inlineStr">
        <is>
          <t>Not Found</t>
        </is>
      </c>
      <c r="Z4" s="5" t="inlineStr">
        <is>
          <t>Medium</t>
        </is>
      </c>
      <c r="AA4" s="5" t="inlineStr">
        <is>
          <t>Requires Verification</t>
        </is>
      </c>
      <c r="AB4" s="5" t="inlineStr">
        <is>
          <t>https://www.nisalocally.co.uk/stores/west-yorkshire/castleford/bp-glasshoughton-ser-st</t>
        </is>
      </c>
    </row>
    <row r="5">
      <c r="A5" s="10" t="inlineStr">
        <is>
          <t>WY-0034</t>
        </is>
      </c>
      <c r="B5" s="10" t="inlineStr">
        <is>
          <t>VALLIFOREC-01</t>
        </is>
      </c>
      <c r="C5" s="10" t="inlineStr">
        <is>
          <t>Valli Forecourts Ltd</t>
        </is>
      </c>
      <c r="D5" s="10" t="inlineStr">
        <is>
          <t>BP Gledhow Service Station (Valli Forecourts)</t>
        </is>
      </c>
      <c r="E5" s="10" t="inlineStr">
        <is>
          <t>Petrol Station / Forecourt</t>
        </is>
      </c>
      <c r="F5" s="10" t="inlineStr">
        <is>
          <t>BP-branded forecourt with convenience store</t>
        </is>
      </c>
      <c r="G5" s="10" t="inlineStr">
        <is>
          <t>Regional Chain</t>
        </is>
      </c>
      <c r="H5" s="10" t="inlineStr">
        <is>
          <t>16</t>
        </is>
      </c>
      <c r="I5" s="10" t="inlineStr"/>
      <c r="J5" s="10" t="inlineStr">
        <is>
          <t>Leeds</t>
        </is>
      </c>
      <c r="K5" s="10" t="inlineStr">
        <is>
          <t>LS8 4BU</t>
        </is>
      </c>
      <c r="L5" s="10" t="inlineStr"/>
      <c r="M5" s="10" t="inlineStr"/>
      <c r="N5" s="10" t="inlineStr"/>
      <c r="O5" s="10" t="inlineStr">
        <is>
          <t>https://valliforecourts.co.uk/</t>
        </is>
      </c>
      <c r="P5" s="10" t="inlineStr"/>
      <c r="Q5" s="10" t="inlineStr"/>
      <c r="R5" s="10" t="inlineStr"/>
      <c r="S5" s="10" t="inlineStr"/>
      <c r="T5" s="10" t="inlineStr"/>
      <c r="U5" s="10" t="inlineStr"/>
      <c r="V5" s="10" t="inlineStr">
        <is>
          <t>Medium</t>
        </is>
      </c>
      <c r="W5" s="10" t="inlineStr">
        <is>
          <t>Multi-site retailer; Relevant category; Active website</t>
        </is>
      </c>
      <c r="X5" s="10" t="inlineStr">
        <is>
          <t>Not Found</t>
        </is>
      </c>
      <c r="Y5" s="10" t="inlineStr">
        <is>
          <t>Website Found</t>
        </is>
      </c>
      <c r="Z5" s="10" t="inlineStr">
        <is>
          <t>Medium</t>
        </is>
      </c>
      <c r="AA5" s="10" t="inlineStr">
        <is>
          <t>Requires Verification</t>
        </is>
      </c>
      <c r="AB5" s="10" t="inlineStr">
        <is>
          <t>https://www.petrolprices.com/locations/huddersfield</t>
        </is>
      </c>
    </row>
    <row r="6">
      <c r="A6" s="5" t="inlineStr">
        <is>
          <t>WY-0035</t>
        </is>
      </c>
      <c r="B6" s="5" t="inlineStr">
        <is>
          <t>VALLIFOREC-02</t>
        </is>
      </c>
      <c r="C6" s="5" t="inlineStr">
        <is>
          <t>Valli Forecourts Ltd</t>
        </is>
      </c>
      <c r="D6" s="5" t="inlineStr">
        <is>
          <t>Valli Forecourts Ltd (Head Office)</t>
        </is>
      </c>
      <c r="E6" s="5" t="inlineStr">
        <is>
          <t>Petrol Station / Forecourt</t>
        </is>
      </c>
      <c r="F6" s="5" t="inlineStr">
        <is>
          <t>Independent forecourt group head office</t>
        </is>
      </c>
      <c r="G6" s="5" t="inlineStr">
        <is>
          <t>Regional Chain</t>
        </is>
      </c>
      <c r="H6" s="5" t="inlineStr">
        <is>
          <t>16</t>
        </is>
      </c>
      <c r="I6" s="5" t="inlineStr"/>
      <c r="J6" s="5" t="inlineStr">
        <is>
          <t>Leeds</t>
        </is>
      </c>
      <c r="K6" s="5" t="inlineStr"/>
      <c r="L6" s="5" t="inlineStr"/>
      <c r="M6" s="5" t="inlineStr"/>
      <c r="N6" s="5" t="inlineStr"/>
      <c r="O6" s="5" t="inlineStr">
        <is>
          <t>https://valliforecourts.co.uk/</t>
        </is>
      </c>
      <c r="P6" s="5" t="inlineStr"/>
      <c r="Q6" s="5" t="inlineStr"/>
      <c r="R6" s="5" t="inlineStr"/>
      <c r="S6" s="5" t="inlineStr"/>
      <c r="T6" s="5" t="inlineStr"/>
      <c r="U6" s="5" t="inlineStr"/>
      <c r="V6" s="5" t="inlineStr">
        <is>
          <t>Medium</t>
        </is>
      </c>
      <c r="W6" s="5" t="inlineStr">
        <is>
          <t>Multi-site retailer; Relevant category; Active website; Social presence</t>
        </is>
      </c>
      <c r="X6" s="5" t="inlineStr">
        <is>
          <t>Not Found</t>
        </is>
      </c>
      <c r="Y6" s="5" t="inlineStr">
        <is>
          <t>Website Found</t>
        </is>
      </c>
      <c r="Z6" s="5" t="inlineStr">
        <is>
          <t>Low</t>
        </is>
      </c>
      <c r="AA6" s="5" t="inlineStr">
        <is>
          <t>Requires Verification</t>
        </is>
      </c>
      <c r="AB6" s="5" t="inlineStr">
        <is>
          <t>https://www.yorkshire.com/moortown/transport/petrol-stations/valli-forecourts-ltd-head-office</t>
        </is>
      </c>
    </row>
    <row r="7">
      <c r="A7" s="10" t="inlineStr">
        <is>
          <t>WY-0077</t>
        </is>
      </c>
      <c r="B7" s="10" t="inlineStr">
        <is>
          <t>WY-0077-01</t>
        </is>
      </c>
      <c r="C7" s="10" t="inlineStr"/>
      <c r="D7" s="10" t="inlineStr">
        <is>
          <t>Cote Hill Filling Station</t>
        </is>
      </c>
      <c r="E7" s="10" t="inlineStr">
        <is>
          <t>Petrol Station / Forecourt</t>
        </is>
      </c>
      <c r="F7" s="10" t="inlineStr">
        <is>
          <t>Esso-branded independent forecourt with shop</t>
        </is>
      </c>
      <c r="G7" s="10" t="inlineStr">
        <is>
          <t>Independent</t>
        </is>
      </c>
      <c r="H7" s="10" t="inlineStr">
        <is>
          <t>1</t>
        </is>
      </c>
      <c r="I7" s="10" t="inlineStr">
        <is>
          <t>Burnley Road</t>
        </is>
      </c>
      <c r="J7" s="10" t="inlineStr">
        <is>
          <t>Halifax</t>
        </is>
      </c>
      <c r="K7" s="10" t="inlineStr">
        <is>
          <t>HX2 7NB</t>
        </is>
      </c>
      <c r="L7" s="10" t="inlineStr">
        <is>
          <t>01422 835350</t>
        </is>
      </c>
      <c r="M7" s="10" t="inlineStr">
        <is>
          <t>cotehillhalifax@gmail.com</t>
        </is>
      </c>
      <c r="N7" s="10" t="inlineStr"/>
      <c r="O7" s="10" t="inlineStr">
        <is>
          <t>https://www.cotehillhalifax.co.uk/</t>
        </is>
      </c>
      <c r="P7" s="10" t="inlineStr">
        <is>
          <t>https://www.facebook.com/cotehillhalifax/</t>
        </is>
      </c>
      <c r="Q7" s="10" t="inlineStr"/>
      <c r="R7" s="10" t="inlineStr"/>
      <c r="S7" s="10" t="inlineStr"/>
      <c r="T7" s="10" t="inlineStr"/>
      <c r="U7" s="10" t="inlineStr"/>
      <c r="V7" s="10" t="inlineStr">
        <is>
          <t>Medium</t>
        </is>
      </c>
      <c r="W7" s="10" t="inlineStr">
        <is>
          <t>Independent retailer; Relevant category; Public email available; Active website; Social presence</t>
        </is>
      </c>
      <c r="X7" s="10" t="inlineStr">
        <is>
          <t>Verified directory</t>
        </is>
      </c>
      <c r="Y7" s="10" t="inlineStr">
        <is>
          <t>Website Found</t>
        </is>
      </c>
      <c r="Z7" s="10" t="inlineStr">
        <is>
          <t>Medium</t>
        </is>
      </c>
      <c r="AA7" s="10" t="inlineStr">
        <is>
          <t>Partially Verified</t>
        </is>
      </c>
      <c r="AB7" s="10" t="inlineStr">
        <is>
          <t>https://www.cotehillhalifax.co.uk/</t>
        </is>
      </c>
    </row>
    <row r="8">
      <c r="A8" s="5" t="inlineStr">
        <is>
          <t>WY-0091</t>
        </is>
      </c>
      <c r="B8" s="5" t="inlineStr">
        <is>
          <t>WY-0091-01</t>
        </is>
      </c>
      <c r="C8" s="5" t="inlineStr"/>
      <c r="D8" s="5" t="inlineStr">
        <is>
          <t>Greengates Service Station</t>
        </is>
      </c>
      <c r="E8" s="5" t="inlineStr">
        <is>
          <t>Petrol Station / Forecourt</t>
        </is>
      </c>
      <c r="F8" s="5" t="inlineStr">
        <is>
          <t>Forecourt with shop</t>
        </is>
      </c>
      <c r="G8" s="5" t="inlineStr">
        <is>
          <t>Unknown</t>
        </is>
      </c>
      <c r="H8" s="5" t="inlineStr">
        <is>
          <t>1</t>
        </is>
      </c>
      <c r="I8" s="5" t="inlineStr"/>
      <c r="J8" s="5" t="inlineStr">
        <is>
          <t>Bradford</t>
        </is>
      </c>
      <c r="K8" s="5" t="inlineStr"/>
      <c r="L8" s="5" t="inlineStr"/>
      <c r="M8" s="5" t="inlineStr"/>
      <c r="N8" s="5" t="inlineStr"/>
      <c r="O8" s="5" t="inlineStr"/>
      <c r="P8" s="5" t="inlineStr"/>
      <c r="Q8" s="5" t="inlineStr"/>
      <c r="R8" s="5" t="inlineStr"/>
      <c r="S8" s="5" t="inlineStr"/>
      <c r="T8" s="5" t="inlineStr"/>
      <c r="U8" s="5" t="inlineStr"/>
      <c r="V8" s="5" t="inlineStr">
        <is>
          <t>Low</t>
        </is>
      </c>
      <c r="W8" s="5" t="inlineStr">
        <is>
          <t>Relevant category</t>
        </is>
      </c>
      <c r="X8" s="5" t="inlineStr">
        <is>
          <t>Not Found</t>
        </is>
      </c>
      <c r="Y8" s="5" t="inlineStr">
        <is>
          <t>Not Found</t>
        </is>
      </c>
      <c r="Z8" s="5" t="inlineStr">
        <is>
          <t>Low</t>
        </is>
      </c>
      <c r="AA8" s="5" t="inlineStr">
        <is>
          <t>Requires Verification</t>
        </is>
      </c>
      <c r="AB8" s="5" t="inlineStr">
        <is>
          <t>https://fuelmap.co.uk/forecourt/612/</t>
        </is>
      </c>
    </row>
    <row r="9">
      <c r="A9" s="10" t="inlineStr">
        <is>
          <t>WY-0092</t>
        </is>
      </c>
      <c r="B9" s="10" t="inlineStr">
        <is>
          <t>WY-0092-01</t>
        </is>
      </c>
      <c r="C9" s="10" t="inlineStr"/>
      <c r="D9" s="10" t="inlineStr">
        <is>
          <t>Gulf Service Station Featherstone</t>
        </is>
      </c>
      <c r="E9" s="10" t="inlineStr">
        <is>
          <t>Petrol Station / Forecourt</t>
        </is>
      </c>
      <c r="F9" s="10" t="inlineStr">
        <is>
          <t>Gulf-branded dealer forecourt with shop</t>
        </is>
      </c>
      <c r="G9" s="10" t="inlineStr">
        <is>
          <t>Independent</t>
        </is>
      </c>
      <c r="H9" s="10" t="inlineStr">
        <is>
          <t>1</t>
        </is>
      </c>
      <c r="I9" s="10" t="inlineStr">
        <is>
          <t>Wakefield Road</t>
        </is>
      </c>
      <c r="J9" s="10" t="inlineStr">
        <is>
          <t>Featherstone</t>
        </is>
      </c>
      <c r="K9" s="10" t="inlineStr">
        <is>
          <t>WF7 5BP</t>
        </is>
      </c>
      <c r="L9" s="10" t="inlineStr"/>
      <c r="M9" s="10" t="inlineStr"/>
      <c r="N9" s="10" t="inlineStr"/>
      <c r="O9" s="10" t="inlineStr"/>
      <c r="P9" s="10" t="inlineStr"/>
      <c r="Q9" s="10" t="inlineStr"/>
      <c r="R9" s="10" t="inlineStr"/>
      <c r="S9" s="10" t="inlineStr"/>
      <c r="T9" s="10" t="inlineStr"/>
      <c r="U9" s="10" t="inlineStr"/>
      <c r="V9" s="10" t="inlineStr">
        <is>
          <t>Low</t>
        </is>
      </c>
      <c r="W9" s="10" t="inlineStr">
        <is>
          <t>Independent retailer; Relevant category</t>
        </is>
      </c>
      <c r="X9" s="10" t="inlineStr">
        <is>
          <t>Not Found</t>
        </is>
      </c>
      <c r="Y9" s="10" t="inlineStr">
        <is>
          <t>Not Found</t>
        </is>
      </c>
      <c r="Z9" s="10" t="inlineStr">
        <is>
          <t>Low</t>
        </is>
      </c>
      <c r="AA9" s="10" t="inlineStr">
        <is>
          <t>Requires Verification</t>
        </is>
      </c>
      <c r="AB9" s="10" t="inlineStr">
        <is>
          <t>https://www.yorkshire.com/featherstone/services/petrol-stations</t>
        </is>
      </c>
    </row>
    <row r="10">
      <c r="A10" s="5" t="inlineStr">
        <is>
          <t>WY-0095</t>
        </is>
      </c>
      <c r="B10" s="5" t="inlineStr">
        <is>
          <t>WY-0095-01</t>
        </is>
      </c>
      <c r="C10" s="5" t="inlineStr"/>
      <c r="D10" s="5" t="inlineStr">
        <is>
          <t>Heckmondwike Service Station</t>
        </is>
      </c>
      <c r="E10" s="5" t="inlineStr">
        <is>
          <t>Petrol Station / Forecourt</t>
        </is>
      </c>
      <c r="F10" s="5" t="inlineStr">
        <is>
          <t>BP-branded forecourt with shop</t>
        </is>
      </c>
      <c r="G10" s="5" t="inlineStr">
        <is>
          <t>Unknown</t>
        </is>
      </c>
      <c r="H10" s="5" t="inlineStr">
        <is>
          <t>1</t>
        </is>
      </c>
      <c r="I10" s="5" t="inlineStr">
        <is>
          <t>Halifax Road</t>
        </is>
      </c>
      <c r="J10" s="5" t="inlineStr">
        <is>
          <t>Heckmondwike</t>
        </is>
      </c>
      <c r="K10" s="5" t="inlineStr"/>
      <c r="L10" s="5" t="inlineStr"/>
      <c r="M10" s="5" t="inlineStr"/>
      <c r="N10" s="5" t="inlineStr"/>
      <c r="O10" s="5" t="inlineStr"/>
      <c r="P10" s="5" t="inlineStr"/>
      <c r="Q10" s="5" t="inlineStr"/>
      <c r="R10" s="5" t="inlineStr"/>
      <c r="S10" s="5" t="inlineStr"/>
      <c r="T10" s="5" t="inlineStr"/>
      <c r="U10" s="5" t="inlineStr"/>
      <c r="V10" s="5" t="inlineStr">
        <is>
          <t>Low</t>
        </is>
      </c>
      <c r="W10" s="5" t="inlineStr">
        <is>
          <t>Relevant category</t>
        </is>
      </c>
      <c r="X10" s="5" t="inlineStr">
        <is>
          <t>Not Found</t>
        </is>
      </c>
      <c r="Y10" s="5" t="inlineStr">
        <is>
          <t>Not Found</t>
        </is>
      </c>
      <c r="Z10" s="5" t="inlineStr">
        <is>
          <t>Low</t>
        </is>
      </c>
      <c r="AA10" s="5" t="inlineStr">
        <is>
          <t>Requires Verification</t>
        </is>
      </c>
      <c r="AB10" s="5" t="inlineStr">
        <is>
          <t>https://map.bp.com/en-US/GB/gas-station/dewsbury/heckmondwike-service-station/137101962</t>
        </is>
      </c>
    </row>
    <row r="11">
      <c r="A11" s="10" t="inlineStr">
        <is>
          <t>WY-0132</t>
        </is>
      </c>
      <c r="B11" s="10" t="inlineStr">
        <is>
          <t>WY-0132-01</t>
        </is>
      </c>
      <c r="C11" s="10" t="inlineStr"/>
      <c r="D11" s="10" t="inlineStr">
        <is>
          <t>Phoenix Filling Station</t>
        </is>
      </c>
      <c r="E11" s="10" t="inlineStr">
        <is>
          <t>Petrol Station / Forecourt</t>
        </is>
      </c>
      <c r="F11" s="10" t="inlineStr">
        <is>
          <t>Independent BP-branded 24-hour forecourt with shop</t>
        </is>
      </c>
      <c r="G11" s="10" t="inlineStr">
        <is>
          <t>Independent</t>
        </is>
      </c>
      <c r="H11" s="10" t="inlineStr">
        <is>
          <t>1</t>
        </is>
      </c>
      <c r="I11" s="10" t="inlineStr">
        <is>
          <t>93 Listerhills Road</t>
        </is>
      </c>
      <c r="J11" s="10" t="inlineStr">
        <is>
          <t>Bradford</t>
        </is>
      </c>
      <c r="K11" s="10" t="inlineStr">
        <is>
          <t>BD7 1JT</t>
        </is>
      </c>
      <c r="L11" s="10" t="inlineStr">
        <is>
          <t>01274 721896</t>
        </is>
      </c>
      <c r="M11" s="10" t="inlineStr"/>
      <c r="N11" s="10" t="inlineStr"/>
      <c r="O11" s="10" t="inlineStr"/>
      <c r="P11" s="10" t="inlineStr">
        <is>
          <t>https://www.facebook.com/phoenixFST/</t>
        </is>
      </c>
      <c r="Q11" s="10" t="inlineStr"/>
      <c r="R11" s="10" t="inlineStr"/>
      <c r="S11" s="10" t="inlineStr"/>
      <c r="T11" s="10" t="inlineStr">
        <is>
          <t>11511613</t>
        </is>
      </c>
      <c r="U11" s="10" t="inlineStr"/>
      <c r="V11" s="10" t="inlineStr">
        <is>
          <t>Medium</t>
        </is>
      </c>
      <c r="W11" s="10" t="inlineStr">
        <is>
          <t>Independent retailer; Relevant category; Social presence</t>
        </is>
      </c>
      <c r="X11" s="10" t="inlineStr">
        <is>
          <t>Verified directory</t>
        </is>
      </c>
      <c r="Y11" s="10" t="inlineStr">
        <is>
          <t>Not Found</t>
        </is>
      </c>
      <c r="Z11" s="10" t="inlineStr">
        <is>
          <t>Medium</t>
        </is>
      </c>
      <c r="AA11" s="10" t="inlineStr">
        <is>
          <t>Partially Verified</t>
        </is>
      </c>
      <c r="AB11" s="10" t="inlineStr">
        <is>
          <t>https://find-and-update.company-information.service.gov.uk/company/11511613</t>
        </is>
      </c>
    </row>
    <row r="12">
      <c r="A12" s="5" t="inlineStr">
        <is>
          <t>WY-0152</t>
        </is>
      </c>
      <c r="B12" s="5" t="inlineStr">
        <is>
          <t>WY-0152-01</t>
        </is>
      </c>
      <c r="C12" s="5" t="inlineStr"/>
      <c r="D12" s="5" t="inlineStr">
        <is>
          <t>Springfield Garage (Keighley)</t>
        </is>
      </c>
      <c r="E12" s="5" t="inlineStr">
        <is>
          <t>Petrol Station / Forecourt</t>
        </is>
      </c>
      <c r="F12" s="5" t="inlineStr">
        <is>
          <t>Independent Gulf-branded forecourt with shop</t>
        </is>
      </c>
      <c r="G12" s="5" t="inlineStr">
        <is>
          <t>Independent</t>
        </is>
      </c>
      <c r="H12" s="5" t="inlineStr">
        <is>
          <t>1</t>
        </is>
      </c>
      <c r="I12" s="5" t="inlineStr">
        <is>
          <t>Oakworth Road</t>
        </is>
      </c>
      <c r="J12" s="5" t="inlineStr">
        <is>
          <t>Keighley</t>
        </is>
      </c>
      <c r="K12" s="5" t="inlineStr">
        <is>
          <t>BD21 1QQ</t>
        </is>
      </c>
      <c r="L12" s="5" t="inlineStr">
        <is>
          <t>01535 604629</t>
        </is>
      </c>
      <c r="M12" s="5" t="inlineStr"/>
      <c r="N12" s="5" t="inlineStr"/>
      <c r="O12" s="5" t="inlineStr"/>
      <c r="P12" s="5" t="inlineStr"/>
      <c r="Q12" s="5" t="inlineStr"/>
      <c r="R12" s="5" t="inlineStr"/>
      <c r="S12" s="5" t="inlineStr"/>
      <c r="T12" s="5" t="inlineStr">
        <is>
          <t>00871540</t>
        </is>
      </c>
      <c r="U12" s="5" t="inlineStr"/>
      <c r="V12" s="5" t="inlineStr">
        <is>
          <t>Low</t>
        </is>
      </c>
      <c r="W12" s="5" t="inlineStr">
        <is>
          <t>Independent retailer; Relevant category</t>
        </is>
      </c>
      <c r="X12" s="5" t="inlineStr">
        <is>
          <t>Verified directory</t>
        </is>
      </c>
      <c r="Y12" s="5" t="inlineStr">
        <is>
          <t>Not Found</t>
        </is>
      </c>
      <c r="Z12" s="5" t="inlineStr">
        <is>
          <t>Medium</t>
        </is>
      </c>
      <c r="AA12" s="5" t="inlineStr">
        <is>
          <t>Partially Verified</t>
        </is>
      </c>
      <c r="AB12" s="5" t="inlineStr">
        <is>
          <t>https://find-and-update.company-information.service.gov.uk/company/00871540</t>
        </is>
      </c>
    </row>
    <row r="13">
      <c r="A13" s="10" t="inlineStr">
        <is>
          <t>WY-0155</t>
        </is>
      </c>
      <c r="B13" s="10" t="inlineStr">
        <is>
          <t>WY-0155-01</t>
        </is>
      </c>
      <c r="C13" s="10" t="inlineStr"/>
      <c r="D13" s="10" t="inlineStr">
        <is>
          <t>Stringers Service Station</t>
        </is>
      </c>
      <c r="E13" s="10" t="inlineStr">
        <is>
          <t>Petrol Station / Forecourt</t>
        </is>
      </c>
      <c r="F13" s="10" t="inlineStr">
        <is>
          <t>Independent forecourt (Murco fuel) with shop</t>
        </is>
      </c>
      <c r="G13" s="10" t="inlineStr">
        <is>
          <t>Independent</t>
        </is>
      </c>
      <c r="H13" s="10" t="inlineStr">
        <is>
          <t>1</t>
        </is>
      </c>
      <c r="I13" s="10" t="inlineStr">
        <is>
          <t>102 Southgate</t>
        </is>
      </c>
      <c r="J13" s="10" t="inlineStr">
        <is>
          <t>Pontefract</t>
        </is>
      </c>
      <c r="K13" s="10" t="inlineStr">
        <is>
          <t>WF8 1PN</t>
        </is>
      </c>
      <c r="L13" s="10" t="inlineStr"/>
      <c r="M13" s="10" t="inlineStr"/>
      <c r="N13" s="10" t="inlineStr"/>
      <c r="O13" s="10" t="inlineStr"/>
      <c r="P13" s="10" t="inlineStr"/>
      <c r="Q13" s="10" t="inlineStr"/>
      <c r="R13" s="10" t="inlineStr"/>
      <c r="S13" s="10" t="inlineStr"/>
      <c r="T13" s="10" t="inlineStr"/>
      <c r="U13" s="10" t="inlineStr"/>
      <c r="V13" s="10" t="inlineStr">
        <is>
          <t>Low</t>
        </is>
      </c>
      <c r="W13" s="10" t="inlineStr">
        <is>
          <t>Independent retailer; Relevant category</t>
        </is>
      </c>
      <c r="X13" s="10" t="inlineStr">
        <is>
          <t>Not Found</t>
        </is>
      </c>
      <c r="Y13" s="10" t="inlineStr">
        <is>
          <t>Not Found</t>
        </is>
      </c>
      <c r="Z13" s="10" t="inlineStr">
        <is>
          <t>Medium</t>
        </is>
      </c>
      <c r="AA13" s="10" t="inlineStr">
        <is>
          <t>Requires Verification</t>
        </is>
      </c>
      <c r="AB13" s="10" t="inlineStr">
        <is>
          <t>https://www.petrolprices.com/locations/pontefract/grove-road/6837</t>
        </is>
      </c>
    </row>
    <row r="14">
      <c r="A14" s="5" t="inlineStr">
        <is>
          <t>WY-0185</t>
        </is>
      </c>
      <c r="B14" s="5" t="inlineStr">
        <is>
          <t>WY-0185-01</t>
        </is>
      </c>
      <c r="C14" s="5" t="inlineStr"/>
      <c r="D14" s="5" t="inlineStr">
        <is>
          <t>Wakefield Road Service Station (Featherstone)</t>
        </is>
      </c>
      <c r="E14" s="5" t="inlineStr">
        <is>
          <t>Petrol Station / Forecourt</t>
        </is>
      </c>
      <c r="F14" s="5" t="inlineStr">
        <is>
          <t>Forecourt with convenience store</t>
        </is>
      </c>
      <c r="G14" s="5" t="inlineStr">
        <is>
          <t>Multi-Site Independent</t>
        </is>
      </c>
      <c r="H14" s="5" t="inlineStr">
        <is>
          <t>3</t>
        </is>
      </c>
      <c r="I14" s="5" t="inlineStr">
        <is>
          <t>Wakefield Road</t>
        </is>
      </c>
      <c r="J14" s="5" t="inlineStr">
        <is>
          <t>Featherstone</t>
        </is>
      </c>
      <c r="K14" s="5" t="inlineStr"/>
      <c r="L14" s="5" t="inlineStr"/>
      <c r="M14" s="5" t="inlineStr"/>
      <c r="N14" s="5" t="inlineStr"/>
      <c r="O14" s="5" t="inlineStr"/>
      <c r="P14" s="5" t="inlineStr"/>
      <c r="Q14" s="5" t="inlineStr"/>
      <c r="R14" s="5" t="inlineStr">
        <is>
          <t>Saqib Javaid; Zeeshan Ali</t>
        </is>
      </c>
      <c r="S14" s="5" t="inlineStr">
        <is>
          <t>Owners / Operators</t>
        </is>
      </c>
      <c r="T14" s="5" t="inlineStr"/>
      <c r="U14" s="5" t="inlineStr"/>
      <c r="V14" s="5" t="inlineStr">
        <is>
          <t>Medium</t>
        </is>
      </c>
      <c r="W14" s="5" t="inlineStr">
        <is>
          <t>Multi-site retailer; Independent retailer; Relevant category</t>
        </is>
      </c>
      <c r="X14" s="5" t="inlineStr">
        <is>
          <t>Not Found</t>
        </is>
      </c>
      <c r="Y14" s="5" t="inlineStr">
        <is>
          <t>Not Found</t>
        </is>
      </c>
      <c r="Z14" s="5" t="inlineStr">
        <is>
          <t>Low</t>
        </is>
      </c>
      <c r="AA14" s="5" t="inlineStr">
        <is>
          <t>Requires Verification</t>
        </is>
      </c>
      <c r="AB14" s="5" t="inlineStr">
        <is>
          <t>https://forecourttrader.co.uk/latest-news/forecourt-operator-duo-add-wakefield-road-service-station-to-portfolio/708047.article</t>
        </is>
      </c>
    </row>
    <row r="15">
      <c r="A15" s="10" t="inlineStr">
        <is>
          <t>WY-0190</t>
        </is>
      </c>
      <c r="B15" s="10" t="inlineStr">
        <is>
          <t>WY-0190-01</t>
        </is>
      </c>
      <c r="C15" s="10" t="inlineStr"/>
      <c r="D15" s="10" t="inlineStr">
        <is>
          <t>Yorkshire Fuels (Green Lane Service Station)</t>
        </is>
      </c>
      <c r="E15" s="10" t="inlineStr">
        <is>
          <t>Petrol Station / Forecourt</t>
        </is>
      </c>
      <c r="F15" s="10" t="inlineStr">
        <is>
          <t>24-hour forecourt with convenience store</t>
        </is>
      </c>
      <c r="G15" s="10" t="inlineStr">
        <is>
          <t>Independent</t>
        </is>
      </c>
      <c r="H15" s="10" t="inlineStr">
        <is>
          <t>1</t>
        </is>
      </c>
      <c r="I15" s="10" t="inlineStr">
        <is>
          <t>Green Lane</t>
        </is>
      </c>
      <c r="J15" s="10" t="inlineStr">
        <is>
          <t>Yeadon</t>
        </is>
      </c>
      <c r="K15" s="10" t="inlineStr">
        <is>
          <t>LS19 7BU</t>
        </is>
      </c>
      <c r="L15" s="10" t="inlineStr"/>
      <c r="M15" s="10" t="inlineStr"/>
      <c r="N15" s="10" t="inlineStr"/>
      <c r="O15" s="10" t="inlineStr"/>
      <c r="P15" s="10" t="inlineStr"/>
      <c r="Q15" s="10" t="inlineStr"/>
      <c r="R15" s="10" t="inlineStr"/>
      <c r="S15" s="10" t="inlineStr"/>
      <c r="T15" s="10" t="inlineStr">
        <is>
          <t>14479452</t>
        </is>
      </c>
      <c r="U15" s="10" t="inlineStr">
        <is>
          <t>Active</t>
        </is>
      </c>
      <c r="V15" s="10" t="inlineStr">
        <is>
          <t>Low</t>
        </is>
      </c>
      <c r="W15" s="10" t="inlineStr">
        <is>
          <t>Independent retailer; Relevant category</t>
        </is>
      </c>
      <c r="X15" s="10" t="inlineStr">
        <is>
          <t>Not Found</t>
        </is>
      </c>
      <c r="Y15" s="10" t="inlineStr">
        <is>
          <t>Not Found</t>
        </is>
      </c>
      <c r="Z15" s="10" t="inlineStr">
        <is>
          <t>Medium</t>
        </is>
      </c>
      <c r="AA15" s="10" t="inlineStr">
        <is>
          <t>Partially Verified</t>
        </is>
      </c>
      <c r="AB15" s="10" t="inlineStr">
        <is>
          <t>https://find-and-update.company-information.service.gov.uk/company/14479452</t>
        </is>
      </c>
    </row>
  </sheetData>
  <autoFilter ref="A1:AB1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25"/>
  <sheetViews>
    <sheetView workbookViewId="0">
      <pane ySplit="1" topLeftCell="A2" activePane="bottomLeft" state="frozen"/>
      <selection pane="bottomLeft" activeCell="A1" sqref="A1"/>
    </sheetView>
  </sheetViews>
  <sheetFormatPr baseColWidth="8" defaultRowHeight="15"/>
  <cols>
    <col width="11" customWidth="1" min="1" max="1"/>
    <col width="13" customWidth="1" min="2" max="2"/>
    <col width="16" customWidth="1" min="3" max="3"/>
    <col width="45" customWidth="1" min="4" max="4"/>
    <col width="19" customWidth="1" min="5" max="5"/>
    <col width="45" customWidth="1" min="6" max="6"/>
    <col width="26" customWidth="1" min="7" max="7"/>
    <col width="21" customWidth="1" min="8" max="8"/>
    <col width="22" customWidth="1" min="9" max="9"/>
    <col width="16" customWidth="1" min="10" max="10"/>
    <col width="10" customWidth="1" min="11" max="11"/>
    <col width="15" customWidth="1" min="12" max="12"/>
    <col width="21" customWidth="1" min="13" max="13"/>
    <col width="26" customWidth="1" min="14" max="14"/>
    <col width="36" customWidth="1" min="15" max="15"/>
    <col width="45" customWidth="1" min="16" max="16"/>
    <col width="42"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WY-0047</t>
        </is>
      </c>
      <c r="B2" s="5" t="inlineStr">
        <is>
          <t>WY-0047-01</t>
        </is>
      </c>
      <c r="C2" s="5" t="inlineStr"/>
      <c r="D2" s="5" t="inlineStr">
        <is>
          <t>A &amp; B Stores</t>
        </is>
      </c>
      <c r="E2" s="5" t="inlineStr">
        <is>
          <t>Off-Licence</t>
        </is>
      </c>
      <c r="F2" s="5" t="inlineStr">
        <is>
          <t>Off-licence / convenience</t>
        </is>
      </c>
      <c r="G2" s="5" t="inlineStr">
        <is>
          <t>Independent</t>
        </is>
      </c>
      <c r="H2" s="5" t="inlineStr">
        <is>
          <t>1</t>
        </is>
      </c>
      <c r="I2" s="5" t="inlineStr"/>
      <c r="J2" s="5" t="inlineStr">
        <is>
          <t>Bingley</t>
        </is>
      </c>
      <c r="K2" s="5" t="inlineStr"/>
      <c r="L2" s="5" t="inlineStr"/>
      <c r="M2" s="5" t="inlineStr"/>
      <c r="N2" s="5" t="inlineStr"/>
      <c r="O2" s="5" t="inlineStr"/>
      <c r="P2" s="5" t="inlineStr"/>
      <c r="Q2" s="5" t="inlineStr"/>
      <c r="R2" s="5" t="inlineStr"/>
      <c r="S2" s="5" t="inlineStr"/>
      <c r="T2" s="5" t="inlineStr"/>
      <c r="U2" s="5" t="inlineStr"/>
      <c r="V2" s="5" t="inlineStr">
        <is>
          <t>Low</t>
        </is>
      </c>
      <c r="W2" s="5" t="inlineStr">
        <is>
          <t>Independent retailer; Relevant category</t>
        </is>
      </c>
      <c r="X2" s="5" t="inlineStr">
        <is>
          <t>Not Found</t>
        </is>
      </c>
      <c r="Y2" s="5" t="inlineStr">
        <is>
          <t>Not Found</t>
        </is>
      </c>
      <c r="Z2" s="5" t="inlineStr">
        <is>
          <t>Low</t>
        </is>
      </c>
      <c r="AA2" s="5" t="inlineStr">
        <is>
          <t>Requires Verification</t>
        </is>
      </c>
      <c r="AB2" s="5" t="inlineStr">
        <is>
          <t>https://www.yorkshire.com/bingley/shopping/off-license/a-b-stores</t>
        </is>
      </c>
    </row>
    <row r="3">
      <c r="A3" s="10" t="inlineStr">
        <is>
          <t>WY-0057</t>
        </is>
      </c>
      <c r="B3" s="10" t="inlineStr">
        <is>
          <t>WY-0057-01</t>
        </is>
      </c>
      <c r="C3" s="10" t="inlineStr"/>
      <c r="D3" s="10" t="inlineStr">
        <is>
          <t>Baildon Off Licence</t>
        </is>
      </c>
      <c r="E3" s="10" t="inlineStr">
        <is>
          <t>Off-Licence</t>
        </is>
      </c>
      <c r="F3" s="10" t="inlineStr">
        <is>
          <t>Neighbourhood off-licence</t>
        </is>
      </c>
      <c r="G3" s="10" t="inlineStr">
        <is>
          <t>Independent</t>
        </is>
      </c>
      <c r="H3" s="10" t="inlineStr">
        <is>
          <t>1</t>
        </is>
      </c>
      <c r="I3" s="10" t="inlineStr">
        <is>
          <t>Coach Road</t>
        </is>
      </c>
      <c r="J3" s="10" t="inlineStr">
        <is>
          <t>Shipley</t>
        </is>
      </c>
      <c r="K3" s="10" t="inlineStr"/>
      <c r="L3" s="10" t="inlineStr"/>
      <c r="M3" s="10" t="inlineStr"/>
      <c r="N3" s="10" t="inlineStr"/>
      <c r="O3" s="10" t="inlineStr"/>
      <c r="P3" s="10" t="inlineStr"/>
      <c r="Q3" s="10" t="inlineStr"/>
      <c r="R3" s="10" t="inlineStr"/>
      <c r="S3" s="10" t="inlineStr"/>
      <c r="T3" s="10" t="inlineStr"/>
      <c r="U3" s="10" t="inlineStr"/>
      <c r="V3" s="10" t="inlineStr">
        <is>
          <t>Low</t>
        </is>
      </c>
      <c r="W3" s="10" t="inlineStr">
        <is>
          <t>Independent retailer; Relevant category</t>
        </is>
      </c>
      <c r="X3" s="10" t="inlineStr">
        <is>
          <t>Not Found</t>
        </is>
      </c>
      <c r="Y3" s="10" t="inlineStr">
        <is>
          <t>Not Found</t>
        </is>
      </c>
      <c r="Z3" s="10" t="inlineStr">
        <is>
          <t>Low</t>
        </is>
      </c>
      <c r="AA3" s="10" t="inlineStr">
        <is>
          <t>Requires Verification</t>
        </is>
      </c>
      <c r="AB3" s="10" t="inlineStr">
        <is>
          <t>https://www.yorkshire.com/saltaire/shopping/off-license/baildon-off-licence</t>
        </is>
      </c>
    </row>
    <row r="4">
      <c r="A4" s="5" t="inlineStr">
        <is>
          <t>WY-0058</t>
        </is>
      </c>
      <c r="B4" s="5" t="inlineStr">
        <is>
          <t>WY-0058-01</t>
        </is>
      </c>
      <c r="C4" s="5" t="inlineStr"/>
      <c r="D4" s="5" t="inlineStr">
        <is>
          <t>Bar Market</t>
        </is>
      </c>
      <c r="E4" s="5" t="inlineStr">
        <is>
          <t>Off-Licence</t>
        </is>
      </c>
      <c r="F4" s="5" t="inlineStr">
        <is>
          <t>24-hour off-licence</t>
        </is>
      </c>
      <c r="G4" s="5" t="inlineStr">
        <is>
          <t>Independent</t>
        </is>
      </c>
      <c r="H4" s="5" t="inlineStr">
        <is>
          <t>1</t>
        </is>
      </c>
      <c r="I4" s="5" t="inlineStr">
        <is>
          <t>Crown Street</t>
        </is>
      </c>
      <c r="J4" s="5" t="inlineStr">
        <is>
          <t>Halifax</t>
        </is>
      </c>
      <c r="K4" s="5" t="inlineStr"/>
      <c r="L4" s="5" t="inlineStr"/>
      <c r="M4" s="5" t="inlineStr"/>
      <c r="N4" s="5" t="inlineStr"/>
      <c r="O4" s="5" t="inlineStr"/>
      <c r="P4" s="5" t="inlineStr"/>
      <c r="Q4" s="5" t="inlineStr"/>
      <c r="R4" s="5" t="inlineStr"/>
      <c r="S4" s="5" t="inlineStr"/>
      <c r="T4" s="5" t="inlineStr"/>
      <c r="U4" s="5" t="inlineStr"/>
      <c r="V4" s="5" t="inlineStr">
        <is>
          <t>Low</t>
        </is>
      </c>
      <c r="W4" s="5" t="inlineStr">
        <is>
          <t>Independent retailer; Relevant category</t>
        </is>
      </c>
      <c r="X4" s="5" t="inlineStr">
        <is>
          <t>Not Found</t>
        </is>
      </c>
      <c r="Y4" s="5" t="inlineStr">
        <is>
          <t>Not Found</t>
        </is>
      </c>
      <c r="Z4" s="5" t="inlineStr">
        <is>
          <t>Low</t>
        </is>
      </c>
      <c r="AA4" s="5" t="inlineStr">
        <is>
          <t>Requires Verification</t>
        </is>
      </c>
      <c r="AB4" s="5" t="inlineStr">
        <is>
          <t>https://www.yorkshire.com/halifax/shopping/off-license/bar-market-ltd</t>
        </is>
      </c>
    </row>
    <row r="5">
      <c r="A5" s="10" t="inlineStr">
        <is>
          <t>WY-0061</t>
        </is>
      </c>
      <c r="B5" s="10" t="inlineStr">
        <is>
          <t>WY-0061-01</t>
        </is>
      </c>
      <c r="C5" s="10" t="inlineStr"/>
      <c r="D5" s="10" t="inlineStr">
        <is>
          <t>Beer Ritz</t>
        </is>
      </c>
      <c r="E5" s="10" t="inlineStr">
        <is>
          <t>Off-Licence</t>
        </is>
      </c>
      <c r="F5" s="10" t="inlineStr">
        <is>
          <t>Specialist craft beer off-licence</t>
        </is>
      </c>
      <c r="G5" s="10" t="inlineStr">
        <is>
          <t>Independent</t>
        </is>
      </c>
      <c r="H5" s="10" t="inlineStr">
        <is>
          <t>1</t>
        </is>
      </c>
      <c r="I5" s="10" t="inlineStr">
        <is>
          <t>14 Weetwood Lane</t>
        </is>
      </c>
      <c r="J5" s="10" t="inlineStr">
        <is>
          <t>Leeds</t>
        </is>
      </c>
      <c r="K5" s="10" t="inlineStr">
        <is>
          <t>LS16 5LX</t>
        </is>
      </c>
      <c r="L5" s="10" t="inlineStr">
        <is>
          <t>0113 275 3464</t>
        </is>
      </c>
      <c r="M5" s="10" t="inlineStr"/>
      <c r="N5" s="10" t="inlineStr">
        <is>
          <t>sales@beerritz.co.uk</t>
        </is>
      </c>
      <c r="O5" s="10" t="inlineStr">
        <is>
          <t>https://www.beerritz.co.uk/</t>
        </is>
      </c>
      <c r="P5" s="10" t="inlineStr">
        <is>
          <t>https://www.facebook.com/beerritz/</t>
        </is>
      </c>
      <c r="Q5" s="10" t="inlineStr">
        <is>
          <t>https://www.instagram.com/beerritzleeds/</t>
        </is>
      </c>
      <c r="R5" s="10" t="inlineStr"/>
      <c r="S5" s="10" t="inlineStr"/>
      <c r="T5" s="10" t="inlineStr"/>
      <c r="U5" s="10" t="inlineStr"/>
      <c r="V5" s="10" t="inlineStr">
        <is>
          <t>High</t>
        </is>
      </c>
      <c r="W5" s="10" t="inlineStr">
        <is>
          <t>Independent retailer; Relevant category; Public trade/sales contact; Active website; Social presence</t>
        </is>
      </c>
      <c r="X5" s="10" t="inlineStr">
        <is>
          <t>Verified directory</t>
        </is>
      </c>
      <c r="Y5" s="10" t="inlineStr">
        <is>
          <t>Website Found</t>
        </is>
      </c>
      <c r="Z5" s="10" t="inlineStr">
        <is>
          <t>Medium</t>
        </is>
      </c>
      <c r="AA5" s="10" t="inlineStr">
        <is>
          <t>Partially Verified</t>
        </is>
      </c>
      <c r="AB5" s="10" t="inlineStr">
        <is>
          <t>https://www.beerritz.co.uk/contact-us</t>
        </is>
      </c>
    </row>
    <row r="6">
      <c r="A6" s="5" t="inlineStr">
        <is>
          <t>WY-0066</t>
        </is>
      </c>
      <c r="B6" s="5" t="inlineStr">
        <is>
          <t>WY-0066-01</t>
        </is>
      </c>
      <c r="C6" s="5" t="inlineStr"/>
      <c r="D6" s="5" t="inlineStr">
        <is>
          <t>Boothtown Post Office &amp; Off-Licence</t>
        </is>
      </c>
      <c r="E6" s="5" t="inlineStr">
        <is>
          <t>Off-Licence</t>
        </is>
      </c>
      <c r="F6" s="5" t="inlineStr">
        <is>
          <t>Off-licence with post office counter</t>
        </is>
      </c>
      <c r="G6" s="5" t="inlineStr">
        <is>
          <t>Independent</t>
        </is>
      </c>
      <c r="H6" s="5" t="inlineStr">
        <is>
          <t>1</t>
        </is>
      </c>
      <c r="I6" s="5" t="inlineStr"/>
      <c r="J6" s="5" t="inlineStr">
        <is>
          <t>Halifax</t>
        </is>
      </c>
      <c r="K6" s="5" t="inlineStr"/>
      <c r="L6" s="5" t="inlineStr"/>
      <c r="M6" s="5" t="inlineStr"/>
      <c r="N6" s="5" t="inlineStr"/>
      <c r="O6" s="5" t="inlineStr"/>
      <c r="P6" s="5" t="inlineStr"/>
      <c r="Q6" s="5" t="inlineStr"/>
      <c r="R6" s="5" t="inlineStr"/>
      <c r="S6" s="5" t="inlineStr"/>
      <c r="T6" s="5" t="inlineStr"/>
      <c r="U6" s="5" t="inlineStr"/>
      <c r="V6" s="5" t="inlineStr">
        <is>
          <t>Low</t>
        </is>
      </c>
      <c r="W6" s="5" t="inlineStr">
        <is>
          <t>Independent retailer; Relevant category</t>
        </is>
      </c>
      <c r="X6" s="5" t="inlineStr">
        <is>
          <t>Not Found</t>
        </is>
      </c>
      <c r="Y6" s="5" t="inlineStr">
        <is>
          <t>Not Found</t>
        </is>
      </c>
      <c r="Z6" s="5" t="inlineStr">
        <is>
          <t>Low</t>
        </is>
      </c>
      <c r="AA6" s="5" t="inlineStr">
        <is>
          <t>Requires Verification</t>
        </is>
      </c>
      <c r="AB6" s="5" t="inlineStr">
        <is>
          <t>https://findit.halifaxcourier.co.uk/search/halifax/off-licence</t>
        </is>
      </c>
    </row>
    <row r="7">
      <c r="A7" s="10" t="inlineStr">
        <is>
          <t>WY-0067</t>
        </is>
      </c>
      <c r="B7" s="10" t="inlineStr">
        <is>
          <t>WY-0067-01</t>
        </is>
      </c>
      <c r="C7" s="10" t="inlineStr"/>
      <c r="D7" s="10" t="inlineStr">
        <is>
          <t>Booze Express</t>
        </is>
      </c>
      <c r="E7" s="10" t="inlineStr">
        <is>
          <t>Off-Licence</t>
        </is>
      </c>
      <c r="F7" s="10" t="inlineStr"/>
      <c r="G7" s="10" t="inlineStr">
        <is>
          <t>Independent</t>
        </is>
      </c>
      <c r="H7" s="10" t="inlineStr">
        <is>
          <t>1</t>
        </is>
      </c>
      <c r="I7" s="10" t="inlineStr">
        <is>
          <t>520 Gibbet Street</t>
        </is>
      </c>
      <c r="J7" s="10" t="inlineStr">
        <is>
          <t>Halifax</t>
        </is>
      </c>
      <c r="K7" s="10" t="inlineStr">
        <is>
          <t>HX2 0AH</t>
        </is>
      </c>
      <c r="L7" s="10" t="inlineStr"/>
      <c r="M7" s="10" t="inlineStr"/>
      <c r="N7" s="10" t="inlineStr"/>
      <c r="O7" s="10" t="inlineStr"/>
      <c r="P7" s="10" t="inlineStr"/>
      <c r="Q7" s="10" t="inlineStr"/>
      <c r="R7" s="10" t="inlineStr"/>
      <c r="S7" s="10" t="inlineStr"/>
      <c r="T7" s="10" t="inlineStr"/>
      <c r="U7" s="10" t="inlineStr"/>
      <c r="V7" s="10" t="inlineStr">
        <is>
          <t>Medium</t>
        </is>
      </c>
      <c r="W7" s="10" t="inlineStr">
        <is>
          <t>Independent retailer; Relevant category; Social presence</t>
        </is>
      </c>
      <c r="X7" s="10" t="inlineStr">
        <is>
          <t>Not Found</t>
        </is>
      </c>
      <c r="Y7" s="10" t="inlineStr">
        <is>
          <t>Not Found</t>
        </is>
      </c>
      <c r="Z7" s="10" t="inlineStr">
        <is>
          <t>Low</t>
        </is>
      </c>
      <c r="AA7" s="10" t="inlineStr">
        <is>
          <t>Partially Verified</t>
        </is>
      </c>
      <c r="AB7" s="10" t="inlineStr">
        <is>
          <t>https://find-and-update.company-information.service.gov.uk/company/10264056</t>
        </is>
      </c>
    </row>
    <row r="8">
      <c r="A8" s="5" t="inlineStr">
        <is>
          <t>WY-0068</t>
        </is>
      </c>
      <c r="B8" s="5" t="inlineStr">
        <is>
          <t>WY-0068-01</t>
        </is>
      </c>
      <c r="C8" s="5" t="inlineStr"/>
      <c r="D8" s="5" t="inlineStr">
        <is>
          <t>Bottle and Bean</t>
        </is>
      </c>
      <c r="E8" s="5" t="inlineStr">
        <is>
          <t>Off-Licence</t>
        </is>
      </c>
      <c r="F8" s="5" t="inlineStr">
        <is>
          <t>Wine, craft beer and coffee shop</t>
        </is>
      </c>
      <c r="G8" s="5" t="inlineStr">
        <is>
          <t>Independent</t>
        </is>
      </c>
      <c r="H8" s="5" t="inlineStr">
        <is>
          <t>1</t>
        </is>
      </c>
      <c r="I8" s="5" t="inlineStr"/>
      <c r="J8" s="5" t="inlineStr">
        <is>
          <t>Wetherby</t>
        </is>
      </c>
      <c r="K8" s="5" t="inlineStr"/>
      <c r="L8" s="5" t="inlineStr"/>
      <c r="M8" s="5" t="inlineStr"/>
      <c r="N8" s="5" t="inlineStr"/>
      <c r="O8" s="5" t="inlineStr"/>
      <c r="P8" s="5" t="inlineStr"/>
      <c r="Q8" s="5" t="inlineStr"/>
      <c r="R8" s="5" t="inlineStr"/>
      <c r="S8" s="5" t="inlineStr"/>
      <c r="T8" s="5" t="inlineStr"/>
      <c r="U8" s="5" t="inlineStr"/>
      <c r="V8" s="5" t="inlineStr">
        <is>
          <t>Low</t>
        </is>
      </c>
      <c r="W8" s="5" t="inlineStr">
        <is>
          <t>Independent retailer; Relevant category</t>
        </is>
      </c>
      <c r="X8" s="5" t="inlineStr">
        <is>
          <t>Not Found</t>
        </is>
      </c>
      <c r="Y8" s="5" t="inlineStr">
        <is>
          <t>Not Found</t>
        </is>
      </c>
      <c r="Z8" s="5" t="inlineStr">
        <is>
          <t>Low</t>
        </is>
      </c>
      <c r="AA8" s="5" t="inlineStr">
        <is>
          <t>Requires Verification</t>
        </is>
      </c>
      <c r="AB8" s="5" t="inlineStr">
        <is>
          <t>https://www.yorkshire.com/wetherby/shopping/off-license/bottle-and-bean</t>
        </is>
      </c>
    </row>
    <row r="9">
      <c r="A9" s="10" t="inlineStr">
        <is>
          <t>WY-0069</t>
        </is>
      </c>
      <c r="B9" s="10" t="inlineStr">
        <is>
          <t>WY-0069-01</t>
        </is>
      </c>
      <c r="C9" s="10" t="inlineStr"/>
      <c r="D9" s="10" t="inlineStr">
        <is>
          <t>Bridge Off Licence Convenience Store</t>
        </is>
      </c>
      <c r="E9" s="10" t="inlineStr">
        <is>
          <t>Off-Licence</t>
        </is>
      </c>
      <c r="F9" s="10" t="inlineStr">
        <is>
          <t>Off-licence and convenience store</t>
        </is>
      </c>
      <c r="G9" s="10" t="inlineStr">
        <is>
          <t>Independent</t>
        </is>
      </c>
      <c r="H9" s="10" t="inlineStr">
        <is>
          <t>1</t>
        </is>
      </c>
      <c r="I9" s="10" t="inlineStr"/>
      <c r="J9" s="10" t="inlineStr">
        <is>
          <t>Sowerby Bridge</t>
        </is>
      </c>
      <c r="K9" s="10" t="inlineStr"/>
      <c r="L9" s="10" t="inlineStr"/>
      <c r="M9" s="10" t="inlineStr"/>
      <c r="N9" s="10" t="inlineStr"/>
      <c r="O9" s="10" t="inlineStr"/>
      <c r="P9" s="10" t="inlineStr"/>
      <c r="Q9" s="10" t="inlineStr"/>
      <c r="R9" s="10" t="inlineStr"/>
      <c r="S9" s="10" t="inlineStr"/>
      <c r="T9" s="10" t="inlineStr"/>
      <c r="U9" s="10" t="inlineStr"/>
      <c r="V9" s="10" t="inlineStr">
        <is>
          <t>Low</t>
        </is>
      </c>
      <c r="W9" s="10" t="inlineStr">
        <is>
          <t>Independent retailer; Relevant category</t>
        </is>
      </c>
      <c r="X9" s="10" t="inlineStr">
        <is>
          <t>Not Found</t>
        </is>
      </c>
      <c r="Y9" s="10" t="inlineStr">
        <is>
          <t>Not Found</t>
        </is>
      </c>
      <c r="Z9" s="10" t="inlineStr">
        <is>
          <t>Low</t>
        </is>
      </c>
      <c r="AA9" s="10" t="inlineStr">
        <is>
          <t>Requires Verification</t>
        </is>
      </c>
      <c r="AB9" s="10" t="inlineStr">
        <is>
          <t>https://www.yorkshire.com/sowerby-bridge/shopping/off-license/bridge-off-licence-convenience-store</t>
        </is>
      </c>
    </row>
    <row r="10">
      <c r="A10" s="5" t="inlineStr">
        <is>
          <t>WY-0073</t>
        </is>
      </c>
      <c r="B10" s="5" t="inlineStr">
        <is>
          <t>WY-0073-01</t>
        </is>
      </c>
      <c r="C10" s="5" t="inlineStr"/>
      <c r="D10" s="5" t="inlineStr">
        <is>
          <t>Caspar's Bottle Shop</t>
        </is>
      </c>
      <c r="E10" s="5" t="inlineStr">
        <is>
          <t>Off-Licence</t>
        </is>
      </c>
      <c r="F10" s="5" t="inlineStr">
        <is>
          <t>Craft beer bottle shop</t>
        </is>
      </c>
      <c r="G10" s="5" t="inlineStr">
        <is>
          <t>Independent</t>
        </is>
      </c>
      <c r="H10" s="5" t="inlineStr">
        <is>
          <t>1</t>
        </is>
      </c>
      <c r="I10" s="5" t="inlineStr">
        <is>
          <t>65 Potternewton Lane</t>
        </is>
      </c>
      <c r="J10" s="5" t="inlineStr">
        <is>
          <t>Leeds</t>
        </is>
      </c>
      <c r="K10" s="5" t="inlineStr">
        <is>
          <t>LS7 3LW</t>
        </is>
      </c>
      <c r="L10" s="5" t="inlineStr">
        <is>
          <t>0113 237 4554</t>
        </is>
      </c>
      <c r="M10" s="5" t="inlineStr"/>
      <c r="N10" s="5" t="inlineStr"/>
      <c r="O10" s="5" t="inlineStr">
        <is>
          <t>https://www.casparsbottleshop.com/</t>
        </is>
      </c>
      <c r="P10" s="5" t="inlineStr">
        <is>
          <t>https://www.facebook.com/casparsbottleshop/</t>
        </is>
      </c>
      <c r="Q10" s="5" t="inlineStr"/>
      <c r="R10" s="5" t="inlineStr"/>
      <c r="S10" s="5" t="inlineStr"/>
      <c r="T10" s="5" t="inlineStr"/>
      <c r="U10" s="5" t="inlineStr"/>
      <c r="V10" s="5" t="inlineStr">
        <is>
          <t>Medium</t>
        </is>
      </c>
      <c r="W10" s="5" t="inlineStr">
        <is>
          <t>Independent retailer; Relevant category; Active website; Social presence</t>
        </is>
      </c>
      <c r="X10" s="5" t="inlineStr">
        <is>
          <t>Verified directory</t>
        </is>
      </c>
      <c r="Y10" s="5" t="inlineStr">
        <is>
          <t>Website Found</t>
        </is>
      </c>
      <c r="Z10" s="5" t="inlineStr">
        <is>
          <t>Medium</t>
        </is>
      </c>
      <c r="AA10" s="5" t="inlineStr">
        <is>
          <t>Requires Verification</t>
        </is>
      </c>
      <c r="AB10" s="5" t="inlineStr">
        <is>
          <t>https://www.casparsbottleshop.com/</t>
        </is>
      </c>
    </row>
    <row r="11">
      <c r="A11" s="10" t="inlineStr">
        <is>
          <t>WY-0074</t>
        </is>
      </c>
      <c r="B11" s="10" t="inlineStr">
        <is>
          <t>WY-0074-01</t>
        </is>
      </c>
      <c r="C11" s="10" t="inlineStr"/>
      <c r="D11" s="10" t="inlineStr">
        <is>
          <t>Castleford Road Off Licence</t>
        </is>
      </c>
      <c r="E11" s="10" t="inlineStr">
        <is>
          <t>Off-Licence</t>
        </is>
      </c>
      <c r="F11" s="10" t="inlineStr">
        <is>
          <t>Off-licence and convenience store</t>
        </is>
      </c>
      <c r="G11" s="10" t="inlineStr">
        <is>
          <t>Independent</t>
        </is>
      </c>
      <c r="H11" s="10" t="inlineStr">
        <is>
          <t>1</t>
        </is>
      </c>
      <c r="I11" s="10" t="inlineStr">
        <is>
          <t>154 Castleford Road</t>
        </is>
      </c>
      <c r="J11" s="10" t="inlineStr">
        <is>
          <t>Normanton</t>
        </is>
      </c>
      <c r="K11" s="10" t="inlineStr">
        <is>
          <t>WF6 2EU</t>
        </is>
      </c>
      <c r="L11" s="10" t="inlineStr">
        <is>
          <t>01924 223984</t>
        </is>
      </c>
      <c r="M11" s="10" t="inlineStr"/>
      <c r="N11" s="10" t="inlineStr"/>
      <c r="O11" s="10" t="inlineStr"/>
      <c r="P11" s="10" t="inlineStr"/>
      <c r="Q11" s="10" t="inlineStr"/>
      <c r="R11" s="10" t="inlineStr"/>
      <c r="S11" s="10" t="inlineStr"/>
      <c r="T11" s="10" t="inlineStr"/>
      <c r="U11" s="10" t="inlineStr"/>
      <c r="V11" s="10" t="inlineStr">
        <is>
          <t>Low</t>
        </is>
      </c>
      <c r="W11" s="10" t="inlineStr">
        <is>
          <t>Independent retailer; Relevant category</t>
        </is>
      </c>
      <c r="X11" s="10" t="inlineStr">
        <is>
          <t>Verified directory</t>
        </is>
      </c>
      <c r="Y11" s="10" t="inlineStr">
        <is>
          <t>Not Found</t>
        </is>
      </c>
      <c r="Z11" s="10" t="inlineStr">
        <is>
          <t>Medium</t>
        </is>
      </c>
      <c r="AA11" s="10" t="inlineStr">
        <is>
          <t>Requires Verification</t>
        </is>
      </c>
      <c r="AB11" s="10" t="inlineStr">
        <is>
          <t>https://www.192.com/atoz/business/normanton-wf6/convenience-stores/castleford-road-off-licence-limited/bb1e65f2f01c9a4208fc92bb1c8fdf5da42be2ec/comp/</t>
        </is>
      </c>
    </row>
    <row r="12">
      <c r="A12" s="5" t="inlineStr">
        <is>
          <t>WY-0079</t>
        </is>
      </c>
      <c r="B12" s="5" t="inlineStr">
        <is>
          <t>WY-0079-01</t>
        </is>
      </c>
      <c r="C12" s="5" t="inlineStr"/>
      <c r="D12" s="5" t="inlineStr">
        <is>
          <t>Crossroads Off Licence &amp; Newsagent</t>
        </is>
      </c>
      <c r="E12" s="5" t="inlineStr">
        <is>
          <t>Off-Licence</t>
        </is>
      </c>
      <c r="F12" s="5" t="inlineStr">
        <is>
          <t>Off-licence and newsagent</t>
        </is>
      </c>
      <c r="G12" s="5" t="inlineStr">
        <is>
          <t>Independent</t>
        </is>
      </c>
      <c r="H12" s="5" t="inlineStr">
        <is>
          <t>1</t>
        </is>
      </c>
      <c r="I12" s="5" t="inlineStr">
        <is>
          <t>19 Cross Road</t>
        </is>
      </c>
      <c r="J12" s="5" t="inlineStr">
        <is>
          <t>Wakefield</t>
        </is>
      </c>
      <c r="K12" s="5" t="inlineStr"/>
      <c r="L12" s="5" t="inlineStr"/>
      <c r="M12" s="5" t="inlineStr"/>
      <c r="N12" s="5" t="inlineStr"/>
      <c r="O12" s="5" t="inlineStr"/>
      <c r="P12" s="5" t="inlineStr"/>
      <c r="Q12" s="5" t="inlineStr"/>
      <c r="R12" s="5" t="inlineStr"/>
      <c r="S12" s="5" t="inlineStr"/>
      <c r="T12" s="5" t="inlineStr"/>
      <c r="U12" s="5" t="inlineStr"/>
      <c r="V12" s="5" t="inlineStr">
        <is>
          <t>Low</t>
        </is>
      </c>
      <c r="W12" s="5" t="inlineStr">
        <is>
          <t>Independent retailer; Relevant category</t>
        </is>
      </c>
      <c r="X12" s="5" t="inlineStr">
        <is>
          <t>Not Found</t>
        </is>
      </c>
      <c r="Y12" s="5" t="inlineStr">
        <is>
          <t>Not Found</t>
        </is>
      </c>
      <c r="Z12" s="5" t="inlineStr">
        <is>
          <t>Low</t>
        </is>
      </c>
      <c r="AA12" s="5" t="inlineStr">
        <is>
          <t>Requires Verification</t>
        </is>
      </c>
      <c r="AB12" s="5" t="inlineStr">
        <is>
          <t>https://m.yelp.com/biz/crossroads-off-licence-and-newsagent-wakefield</t>
        </is>
      </c>
    </row>
    <row r="13">
      <c r="A13" s="10" t="inlineStr">
        <is>
          <t>WY-0108</t>
        </is>
      </c>
      <c r="B13" s="10" t="inlineStr">
        <is>
          <t>WY-0108-01</t>
        </is>
      </c>
      <c r="C13" s="10" t="inlineStr"/>
      <c r="D13" s="10" t="inlineStr">
        <is>
          <t>Latitude Wine &amp; Liquor Merchant</t>
        </is>
      </c>
      <c r="E13" s="10" t="inlineStr">
        <is>
          <t>Off-Licence</t>
        </is>
      </c>
      <c r="F13" s="10" t="inlineStr">
        <is>
          <t>Specialist wine and spirits merchant</t>
        </is>
      </c>
      <c r="G13" s="10" t="inlineStr">
        <is>
          <t>Independent</t>
        </is>
      </c>
      <c r="H13" s="10" t="inlineStr">
        <is>
          <t>1</t>
        </is>
      </c>
      <c r="I13" s="10" t="inlineStr">
        <is>
          <t>5 Cherry Tree Walk</t>
        </is>
      </c>
      <c r="J13" s="10" t="inlineStr">
        <is>
          <t>Leeds</t>
        </is>
      </c>
      <c r="K13" s="10" t="inlineStr">
        <is>
          <t>LS2 7EB</t>
        </is>
      </c>
      <c r="L13" s="10" t="inlineStr">
        <is>
          <t>0113 245 3393</t>
        </is>
      </c>
      <c r="M13" s="10" t="inlineStr"/>
      <c r="N13" s="10" t="inlineStr">
        <is>
          <t>sales@latitudewine.co.uk</t>
        </is>
      </c>
      <c r="O13" s="10" t="inlineStr">
        <is>
          <t>https://latitudewine.co.uk/</t>
        </is>
      </c>
      <c r="P13" s="10" t="inlineStr"/>
      <c r="Q13" s="10" t="inlineStr"/>
      <c r="R13" s="10" t="inlineStr"/>
      <c r="S13" s="10" t="inlineStr"/>
      <c r="T13" s="10" t="inlineStr"/>
      <c r="U13" s="10" t="inlineStr"/>
      <c r="V13" s="10" t="inlineStr">
        <is>
          <t>Medium</t>
        </is>
      </c>
      <c r="W13" s="10" t="inlineStr">
        <is>
          <t>Independent retailer; Relevant category; Public trade/sales contact; Active website</t>
        </is>
      </c>
      <c r="X13" s="10" t="inlineStr">
        <is>
          <t>Verified directory</t>
        </is>
      </c>
      <c r="Y13" s="10" t="inlineStr">
        <is>
          <t>Website Found</t>
        </is>
      </c>
      <c r="Z13" s="10" t="inlineStr">
        <is>
          <t>Medium</t>
        </is>
      </c>
      <c r="AA13" s="10" t="inlineStr">
        <is>
          <t>Partially Verified</t>
        </is>
      </c>
      <c r="AB13" s="10" t="inlineStr">
        <is>
          <t>https://latitudewine.co.uk/</t>
        </is>
      </c>
    </row>
    <row r="14">
      <c r="A14" s="5" t="inlineStr">
        <is>
          <t>WY-0112</t>
        </is>
      </c>
      <c r="B14" s="5" t="inlineStr">
        <is>
          <t>WY-0112-01</t>
        </is>
      </c>
      <c r="C14" s="5" t="inlineStr"/>
      <c r="D14" s="5" t="inlineStr">
        <is>
          <t>Local Express Off Licence</t>
        </is>
      </c>
      <c r="E14" s="5" t="inlineStr">
        <is>
          <t>Off-Licence</t>
        </is>
      </c>
      <c r="F14" s="5" t="inlineStr">
        <is>
          <t>Off-licence / beer store</t>
        </is>
      </c>
      <c r="G14" s="5" t="inlineStr">
        <is>
          <t>Independent</t>
        </is>
      </c>
      <c r="H14" s="5" t="inlineStr">
        <is>
          <t>1</t>
        </is>
      </c>
      <c r="I14" s="5" t="inlineStr">
        <is>
          <t>30 Common Road</t>
        </is>
      </c>
      <c r="J14" s="5" t="inlineStr">
        <is>
          <t>Batley</t>
        </is>
      </c>
      <c r="K14" s="5" t="inlineStr"/>
      <c r="L14" s="5" t="inlineStr"/>
      <c r="M14" s="5" t="inlineStr"/>
      <c r="N14" s="5" t="inlineStr"/>
      <c r="O14" s="5" t="inlineStr"/>
      <c r="P14" s="5" t="inlineStr"/>
      <c r="Q14" s="5" t="inlineStr"/>
      <c r="R14" s="5" t="inlineStr"/>
      <c r="S14" s="5" t="inlineStr"/>
      <c r="T14" s="5" t="inlineStr"/>
      <c r="U14" s="5" t="inlineStr"/>
      <c r="V14" s="5" t="inlineStr">
        <is>
          <t>Low</t>
        </is>
      </c>
      <c r="W14" s="5" t="inlineStr">
        <is>
          <t>Independent retailer; Relevant category</t>
        </is>
      </c>
      <c r="X14" s="5" t="inlineStr">
        <is>
          <t>Not Found</t>
        </is>
      </c>
      <c r="Y14" s="5" t="inlineStr">
        <is>
          <t>Not Found</t>
        </is>
      </c>
      <c r="Z14" s="5" t="inlineStr">
        <is>
          <t>Low</t>
        </is>
      </c>
      <c r="AA14" s="5" t="inlineStr">
        <is>
          <t>Requires Verification</t>
        </is>
      </c>
      <c r="AB14" s="5" t="inlineStr">
        <is>
          <t>https://www.bigreddirectory.com/local-express-off-licence-batley</t>
        </is>
      </c>
    </row>
    <row r="15">
      <c r="A15" s="10" t="inlineStr">
        <is>
          <t>WY-0118</t>
        </is>
      </c>
      <c r="B15" s="10" t="inlineStr">
        <is>
          <t>WY-0118-01</t>
        </is>
      </c>
      <c r="C15" s="10" t="inlineStr"/>
      <c r="D15" s="10" t="inlineStr">
        <is>
          <t>Martinez Wines</t>
        </is>
      </c>
      <c r="E15" s="10" t="inlineStr">
        <is>
          <t>Off-Licence</t>
        </is>
      </c>
      <c r="F15" s="10" t="inlineStr">
        <is>
          <t>Independent fine wine merchant (with cellar wine bar)</t>
        </is>
      </c>
      <c r="G15" s="10" t="inlineStr">
        <is>
          <t>Independent</t>
        </is>
      </c>
      <c r="H15" s="10" t="inlineStr">
        <is>
          <t>1</t>
        </is>
      </c>
      <c r="I15" s="10" t="inlineStr">
        <is>
          <t>35 The Grove</t>
        </is>
      </c>
      <c r="J15" s="10" t="inlineStr">
        <is>
          <t>Ilkley</t>
        </is>
      </c>
      <c r="K15" s="10" t="inlineStr">
        <is>
          <t>LS29 9NJ</t>
        </is>
      </c>
      <c r="L15" s="10" t="inlineStr">
        <is>
          <t>01943 600000</t>
        </is>
      </c>
      <c r="M15" s="10" t="inlineStr">
        <is>
          <t>shop@martinez.co.uk</t>
        </is>
      </c>
      <c r="N15" s="10" t="inlineStr"/>
      <c r="O15" s="10" t="inlineStr">
        <is>
          <t>https://martinez.co.uk/</t>
        </is>
      </c>
      <c r="P15" s="10" t="inlineStr"/>
      <c r="Q15" s="10" t="inlineStr">
        <is>
          <t>https://www.instagram.com/martinezwines/</t>
        </is>
      </c>
      <c r="R15" s="10" t="inlineStr"/>
      <c r="S15" s="10" t="inlineStr"/>
      <c r="T15" s="10" t="inlineStr"/>
      <c r="U15" s="10" t="inlineStr"/>
      <c r="V15" s="10" t="inlineStr">
        <is>
          <t>High</t>
        </is>
      </c>
      <c r="W15" s="10" t="inlineStr">
        <is>
          <t>Independent retailer; Relevant category; Public email available; Active website; Social presence; Phone verified on official website</t>
        </is>
      </c>
      <c r="X15" s="10" t="inlineStr">
        <is>
          <t>Verified on official website</t>
        </is>
      </c>
      <c r="Y15" s="10" t="inlineStr">
        <is>
          <t>Publicly Listed</t>
        </is>
      </c>
      <c r="Z15" s="10" t="inlineStr">
        <is>
          <t>Medium</t>
        </is>
      </c>
      <c r="AA15" s="10" t="inlineStr">
        <is>
          <t>Requires Verification</t>
        </is>
      </c>
      <c r="AB15" s="10" t="inlineStr">
        <is>
          <t>https://martinez.co.uk/shop-services/contact/</t>
        </is>
      </c>
    </row>
    <row r="16">
      <c r="A16" s="5" t="inlineStr">
        <is>
          <t>WY-0128</t>
        </is>
      </c>
      <c r="B16" s="5" t="inlineStr">
        <is>
          <t>WY-0128-01</t>
        </is>
      </c>
      <c r="C16" s="5" t="inlineStr"/>
      <c r="D16" s="5" t="inlineStr">
        <is>
          <t>Off Licence and Convenience Store (Cutsyke)</t>
        </is>
      </c>
      <c r="E16" s="5" t="inlineStr">
        <is>
          <t>Off-Licence</t>
        </is>
      </c>
      <c r="F16" s="5" t="inlineStr">
        <is>
          <t>Off-licence and convenience store</t>
        </is>
      </c>
      <c r="G16" s="5" t="inlineStr">
        <is>
          <t>Independent</t>
        </is>
      </c>
      <c r="H16" s="5" t="inlineStr">
        <is>
          <t>1</t>
        </is>
      </c>
      <c r="I16" s="5" t="inlineStr">
        <is>
          <t>2 Leeds Road</t>
        </is>
      </c>
      <c r="J16" s="5" t="inlineStr">
        <is>
          <t>Castleford</t>
        </is>
      </c>
      <c r="K16" s="5" t="inlineStr">
        <is>
          <t>WF10 5HA</t>
        </is>
      </c>
      <c r="L16" s="5" t="inlineStr"/>
      <c r="M16" s="5" t="inlineStr"/>
      <c r="N16" s="5" t="inlineStr"/>
      <c r="O16" s="5" t="inlineStr"/>
      <c r="P16" s="5" t="inlineStr"/>
      <c r="Q16" s="5" t="inlineStr"/>
      <c r="R16" s="5" t="inlineStr"/>
      <c r="S16" s="5" t="inlineStr"/>
      <c r="T16" s="5" t="inlineStr"/>
      <c r="U16" s="5" t="inlineStr"/>
      <c r="V16" s="5" t="inlineStr">
        <is>
          <t>Low</t>
        </is>
      </c>
      <c r="W16" s="5" t="inlineStr">
        <is>
          <t>Independent retailer; Relevant category</t>
        </is>
      </c>
      <c r="X16" s="5" t="inlineStr">
        <is>
          <t>Not Found</t>
        </is>
      </c>
      <c r="Y16" s="5" t="inlineStr">
        <is>
          <t>Not Found</t>
        </is>
      </c>
      <c r="Z16" s="5" t="inlineStr">
        <is>
          <t>Low</t>
        </is>
      </c>
      <c r="AA16" s="5" t="inlineStr">
        <is>
          <t>Requires Verification</t>
        </is>
      </c>
      <c r="AB16" s="5" t="inlineStr">
        <is>
          <t>https://ratings.food.gov.uk/business/1268724/off-licence-and-convenience-store-castleford</t>
        </is>
      </c>
    </row>
    <row r="17">
      <c r="A17" s="10" t="inlineStr">
        <is>
          <t>WY-0146</t>
        </is>
      </c>
      <c r="B17" s="10" t="inlineStr">
        <is>
          <t>WY-0146-01</t>
        </is>
      </c>
      <c r="C17" s="10" t="inlineStr"/>
      <c r="D17" s="10" t="inlineStr">
        <is>
          <t>Sheepridge Off Licence</t>
        </is>
      </c>
      <c r="E17" s="10" t="inlineStr">
        <is>
          <t>Off-Licence</t>
        </is>
      </c>
      <c r="F17" s="10" t="inlineStr">
        <is>
          <t>Off-licence and convenience store</t>
        </is>
      </c>
      <c r="G17" s="10" t="inlineStr">
        <is>
          <t>Independent</t>
        </is>
      </c>
      <c r="H17" s="10" t="inlineStr">
        <is>
          <t>1</t>
        </is>
      </c>
      <c r="I17" s="10" t="inlineStr">
        <is>
          <t>73 Lawrence Road</t>
        </is>
      </c>
      <c r="J17" s="10" t="inlineStr">
        <is>
          <t>Huddersfield</t>
        </is>
      </c>
      <c r="K17" s="10" t="inlineStr">
        <is>
          <t>HD1 4LW</t>
        </is>
      </c>
      <c r="L17" s="10" t="inlineStr"/>
      <c r="M17" s="10" t="inlineStr"/>
      <c r="N17" s="10" t="inlineStr"/>
      <c r="O17" s="10" t="inlineStr"/>
      <c r="P17" s="10" t="inlineStr"/>
      <c r="Q17" s="10" t="inlineStr"/>
      <c r="R17" s="10" t="inlineStr"/>
      <c r="S17" s="10" t="inlineStr"/>
      <c r="T17" s="10" t="inlineStr"/>
      <c r="U17" s="10" t="inlineStr"/>
      <c r="V17" s="10" t="inlineStr">
        <is>
          <t>Low</t>
        </is>
      </c>
      <c r="W17" s="10" t="inlineStr">
        <is>
          <t>Independent retailer; Relevant category</t>
        </is>
      </c>
      <c r="X17" s="10" t="inlineStr">
        <is>
          <t>Not Found</t>
        </is>
      </c>
      <c r="Y17" s="10" t="inlineStr">
        <is>
          <t>Not Found</t>
        </is>
      </c>
      <c r="Z17" s="10" t="inlineStr">
        <is>
          <t>Low</t>
        </is>
      </c>
      <c r="AA17" s="10" t="inlineStr">
        <is>
          <t>Requires Verification</t>
        </is>
      </c>
      <c r="AB17" s="10" t="inlineStr">
        <is>
          <t>https://www.192.com/atoz/business/huddersfield-hd1/convenience-stores/sheepridge-off-licence-limited/bfc32af555a5eed742b2bfb4d8a2acd75ab80d62/comp/</t>
        </is>
      </c>
    </row>
    <row r="18">
      <c r="A18" s="5" t="inlineStr">
        <is>
          <t>WY-0153</t>
        </is>
      </c>
      <c r="B18" s="5" t="inlineStr">
        <is>
          <t>WY-0153-01</t>
        </is>
      </c>
      <c r="C18" s="5" t="inlineStr"/>
      <c r="D18" s="5" t="inlineStr">
        <is>
          <t>Stainbeck Off Licence (Best-one)</t>
        </is>
      </c>
      <c r="E18" s="5" t="inlineStr">
        <is>
          <t>Off-Licence</t>
        </is>
      </c>
      <c r="F18" s="5" t="inlineStr">
        <is>
          <t>Off-licence and convenience store under Best-one symbol</t>
        </is>
      </c>
      <c r="G18" s="5" t="inlineStr">
        <is>
          <t>Franchise / Symbol Group</t>
        </is>
      </c>
      <c r="H18" s="5" t="inlineStr">
        <is>
          <t>1</t>
        </is>
      </c>
      <c r="I18" s="5" t="inlineStr"/>
      <c r="J18" s="5" t="inlineStr">
        <is>
          <t>Leeds</t>
        </is>
      </c>
      <c r="K18" s="5" t="inlineStr"/>
      <c r="L18" s="5" t="inlineStr"/>
      <c r="M18" s="5" t="inlineStr"/>
      <c r="N18" s="5" t="inlineStr"/>
      <c r="O18" s="5" t="inlineStr"/>
      <c r="P18" s="5" t="inlineStr"/>
      <c r="Q18" s="5" t="inlineStr"/>
      <c r="R18" s="5" t="inlineStr"/>
      <c r="S18" s="5" t="inlineStr"/>
      <c r="T18" s="5" t="inlineStr"/>
      <c r="U18" s="5" t="inlineStr"/>
      <c r="V18" s="5" t="inlineStr">
        <is>
          <t>Low</t>
        </is>
      </c>
      <c r="W18" s="5" t="inlineStr">
        <is>
          <t>Independent retailer; Relevant category</t>
        </is>
      </c>
      <c r="X18" s="5" t="inlineStr">
        <is>
          <t>Not Found</t>
        </is>
      </c>
      <c r="Y18" s="5" t="inlineStr">
        <is>
          <t>Not Found</t>
        </is>
      </c>
      <c r="Z18" s="5" t="inlineStr">
        <is>
          <t>Low</t>
        </is>
      </c>
      <c r="AA18" s="5" t="inlineStr">
        <is>
          <t>Requires Verification</t>
        </is>
      </c>
      <c r="AB18" s="5" t="inlineStr">
        <is>
          <t>https://www.yorkshire.com/chapel-allerton/shopping/off-license</t>
        </is>
      </c>
    </row>
    <row r="19">
      <c r="A19" s="10" t="inlineStr">
        <is>
          <t>WY-0154</t>
        </is>
      </c>
      <c r="B19" s="10" t="inlineStr">
        <is>
          <t>WY-0154-01</t>
        </is>
      </c>
      <c r="C19" s="10" t="inlineStr"/>
      <c r="D19" s="10" t="inlineStr">
        <is>
          <t>Star Express Off-Licence &amp; Convenience Store</t>
        </is>
      </c>
      <c r="E19" s="10" t="inlineStr">
        <is>
          <t>Off-Licence</t>
        </is>
      </c>
      <c r="F19" s="10" t="inlineStr">
        <is>
          <t>Off-licence and convenience store</t>
        </is>
      </c>
      <c r="G19" s="10" t="inlineStr">
        <is>
          <t>Independent</t>
        </is>
      </c>
      <c r="H19" s="10" t="inlineStr">
        <is>
          <t>1</t>
        </is>
      </c>
      <c r="I19" s="10" t="inlineStr">
        <is>
          <t>Norfolk Avenue</t>
        </is>
      </c>
      <c r="J19" s="10" t="inlineStr">
        <is>
          <t>Huddersfield</t>
        </is>
      </c>
      <c r="K19" s="10" t="inlineStr"/>
      <c r="L19" s="10" t="inlineStr"/>
      <c r="M19" s="10" t="inlineStr"/>
      <c r="N19" s="10" t="inlineStr"/>
      <c r="O19" s="10" t="inlineStr"/>
      <c r="P19" s="10" t="inlineStr"/>
      <c r="Q19" s="10" t="inlineStr"/>
      <c r="R19" s="10" t="inlineStr"/>
      <c r="S19" s="10" t="inlineStr"/>
      <c r="T19" s="10" t="inlineStr"/>
      <c r="U19" s="10" t="inlineStr"/>
      <c r="V19" s="10" t="inlineStr">
        <is>
          <t>Low</t>
        </is>
      </c>
      <c r="W19" s="10" t="inlineStr">
        <is>
          <t>Independent retailer; Relevant category</t>
        </is>
      </c>
      <c r="X19" s="10" t="inlineStr">
        <is>
          <t>Not Found</t>
        </is>
      </c>
      <c r="Y19" s="10" t="inlineStr">
        <is>
          <t>Not Found</t>
        </is>
      </c>
      <c r="Z19" s="10" t="inlineStr">
        <is>
          <t>Low</t>
        </is>
      </c>
      <c r="AA19" s="10" t="inlineStr">
        <is>
          <t>Requires Verification</t>
        </is>
      </c>
      <c r="AB19" s="10" t="inlineStr">
        <is>
          <t>https://www.yorkshire.com/huddersfield/shopping/off-license/star-express-off-licence-convenience-store</t>
        </is>
      </c>
    </row>
    <row r="20">
      <c r="A20" s="5" t="inlineStr">
        <is>
          <t>WY-0159</t>
        </is>
      </c>
      <c r="B20" s="5" t="inlineStr">
        <is>
          <t>WY-0159-01</t>
        </is>
      </c>
      <c r="C20" s="5" t="inlineStr"/>
      <c r="D20" s="5" t="inlineStr">
        <is>
          <t>The Local: Elland</t>
        </is>
      </c>
      <c r="E20" s="5" t="inlineStr">
        <is>
          <t>Off-Licence</t>
        </is>
      </c>
      <c r="F20" s="5" t="inlineStr">
        <is>
          <t>Off-licence and everyday essentials</t>
        </is>
      </c>
      <c r="G20" s="5" t="inlineStr">
        <is>
          <t>Unknown</t>
        </is>
      </c>
      <c r="H20" s="5" t="inlineStr">
        <is>
          <t>1</t>
        </is>
      </c>
      <c r="I20" s="5" t="inlineStr">
        <is>
          <t>160 Westgate</t>
        </is>
      </c>
      <c r="J20" s="5" t="inlineStr">
        <is>
          <t>Elland</t>
        </is>
      </c>
      <c r="K20" s="5" t="inlineStr">
        <is>
          <t>HX5 0BB</t>
        </is>
      </c>
      <c r="L20" s="5" t="inlineStr"/>
      <c r="M20" s="5" t="inlineStr"/>
      <c r="N20" s="5" t="inlineStr"/>
      <c r="O20" s="5" t="inlineStr"/>
      <c r="P20" s="5" t="inlineStr"/>
      <c r="Q20" s="5" t="inlineStr"/>
      <c r="R20" s="5" t="inlineStr"/>
      <c r="S20" s="5" t="inlineStr"/>
      <c r="T20" s="5" t="inlineStr"/>
      <c r="U20" s="5" t="inlineStr"/>
      <c r="V20" s="5" t="inlineStr">
        <is>
          <t>Low</t>
        </is>
      </c>
      <c r="W20" s="5" t="inlineStr">
        <is>
          <t>Relevant category</t>
        </is>
      </c>
      <c r="X20" s="5" t="inlineStr">
        <is>
          <t>Not Found</t>
        </is>
      </c>
      <c r="Y20" s="5" t="inlineStr">
        <is>
          <t>Not Found</t>
        </is>
      </c>
      <c r="Z20" s="5" t="inlineStr">
        <is>
          <t>Medium</t>
        </is>
      </c>
      <c r="AA20" s="5" t="inlineStr">
        <is>
          <t>Requires Verification</t>
        </is>
      </c>
      <c r="AB20" s="5" t="inlineStr">
        <is>
          <t>https://www.yorkshire.com/elland/shopping/off-license</t>
        </is>
      </c>
    </row>
    <row r="21">
      <c r="A21" s="10" t="inlineStr">
        <is>
          <t>WY-0167</t>
        </is>
      </c>
      <c r="B21" s="10" t="inlineStr">
        <is>
          <t>WY-0167-01</t>
        </is>
      </c>
      <c r="C21" s="10" t="inlineStr"/>
      <c r="D21" s="10" t="inlineStr">
        <is>
          <t>Top Shelf Off Licence</t>
        </is>
      </c>
      <c r="E21" s="10" t="inlineStr">
        <is>
          <t>Off-Licence</t>
        </is>
      </c>
      <c r="F21" s="10" t="inlineStr">
        <is>
          <t>Off-licence</t>
        </is>
      </c>
      <c r="G21" s="10" t="inlineStr">
        <is>
          <t>Independent</t>
        </is>
      </c>
      <c r="H21" s="10" t="inlineStr">
        <is>
          <t>1</t>
        </is>
      </c>
      <c r="I21" s="10" t="inlineStr">
        <is>
          <t>557 Leeds Road</t>
        </is>
      </c>
      <c r="J21" s="10" t="inlineStr">
        <is>
          <t>Wakefield</t>
        </is>
      </c>
      <c r="K21" s="10" t="inlineStr">
        <is>
          <t>WF1 2JL</t>
        </is>
      </c>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Low</t>
        </is>
      </c>
      <c r="AA21" s="10" t="inlineStr">
        <is>
          <t>Requires Verification</t>
        </is>
      </c>
      <c r="AB21" s="10" t="inlineStr">
        <is>
          <t>https://www.foodhygienerankings.co.uk/authorities/wakefield</t>
        </is>
      </c>
    </row>
    <row r="22">
      <c r="A22" s="5" t="inlineStr">
        <is>
          <t>WY-0169</t>
        </is>
      </c>
      <c r="B22" s="5" t="inlineStr">
        <is>
          <t>WY-0169-01</t>
        </is>
      </c>
      <c r="C22" s="5" t="inlineStr"/>
      <c r="D22" s="5" t="inlineStr">
        <is>
          <t>Tylor's Booze</t>
        </is>
      </c>
      <c r="E22" s="5" t="inlineStr">
        <is>
          <t>Off-Licence</t>
        </is>
      </c>
      <c r="F22" s="5" t="inlineStr">
        <is>
          <t>Off-licence</t>
        </is>
      </c>
      <c r="G22" s="5" t="inlineStr">
        <is>
          <t>Independent</t>
        </is>
      </c>
      <c r="H22" s="5" t="inlineStr">
        <is>
          <t>1</t>
        </is>
      </c>
      <c r="I22" s="5" t="inlineStr">
        <is>
          <t>33 Albion Street</t>
        </is>
      </c>
      <c r="J22" s="5" t="inlineStr">
        <is>
          <t>Castleford</t>
        </is>
      </c>
      <c r="K22" s="5" t="inlineStr">
        <is>
          <t>WF10 1EG</t>
        </is>
      </c>
      <c r="L22" s="5" t="inlineStr"/>
      <c r="M22" s="5" t="inlineStr"/>
      <c r="N22" s="5" t="inlineStr"/>
      <c r="O22" s="5" t="inlineStr"/>
      <c r="P22" s="5" t="inlineStr"/>
      <c r="Q22" s="5" t="inlineStr"/>
      <c r="R22" s="5" t="inlineStr"/>
      <c r="S22" s="5" t="inlineStr"/>
      <c r="T22" s="5" t="inlineStr">
        <is>
          <t>12100725</t>
        </is>
      </c>
      <c r="U22" s="5" t="inlineStr">
        <is>
          <t>Active</t>
        </is>
      </c>
      <c r="V22" s="5" t="inlineStr">
        <is>
          <t>Low</t>
        </is>
      </c>
      <c r="W22" s="5" t="inlineStr">
        <is>
          <t>Independent retailer; Relevant category</t>
        </is>
      </c>
      <c r="X22" s="5" t="inlineStr">
        <is>
          <t>Not Found</t>
        </is>
      </c>
      <c r="Y22" s="5" t="inlineStr">
        <is>
          <t>Not Found</t>
        </is>
      </c>
      <c r="Z22" s="5" t="inlineStr">
        <is>
          <t>Medium</t>
        </is>
      </c>
      <c r="AA22" s="5" t="inlineStr">
        <is>
          <t>Partially Verified</t>
        </is>
      </c>
      <c r="AB22" s="5" t="inlineStr">
        <is>
          <t>https://find-and-update.company-information.service.gov.uk/company/12100725</t>
        </is>
      </c>
    </row>
    <row r="23">
      <c r="A23" s="10" t="inlineStr">
        <is>
          <t>WY-0178</t>
        </is>
      </c>
      <c r="B23" s="10" t="inlineStr">
        <is>
          <t>WY-0178-01</t>
        </is>
      </c>
      <c r="C23" s="10" t="inlineStr"/>
      <c r="D23" s="10" t="inlineStr">
        <is>
          <t>Vape and Wine Village</t>
        </is>
      </c>
      <c r="E23" s="10" t="inlineStr">
        <is>
          <t>Off-Licence</t>
        </is>
      </c>
      <c r="F23" s="10" t="inlineStr">
        <is>
          <t>Off-licence and vape shop</t>
        </is>
      </c>
      <c r="G23" s="10" t="inlineStr">
        <is>
          <t>Independent</t>
        </is>
      </c>
      <c r="H23" s="10" t="inlineStr">
        <is>
          <t>1</t>
        </is>
      </c>
      <c r="I23" s="10" t="inlineStr">
        <is>
          <t>13-15 Hyde Park Road</t>
        </is>
      </c>
      <c r="J23" s="10" t="inlineStr">
        <is>
          <t>Leeds</t>
        </is>
      </c>
      <c r="K23" s="10" t="inlineStr">
        <is>
          <t>LS6 1PY</t>
        </is>
      </c>
      <c r="L23" s="10" t="inlineStr"/>
      <c r="M23" s="10" t="inlineStr"/>
      <c r="N23" s="10" t="inlineStr"/>
      <c r="O23" s="10" t="inlineStr"/>
      <c r="P23" s="10" t="inlineStr"/>
      <c r="Q23" s="10" t="inlineStr"/>
      <c r="R23" s="10" t="inlineStr"/>
      <c r="S23" s="10" t="inlineStr"/>
      <c r="T23" s="10" t="inlineStr"/>
      <c r="U23" s="10" t="inlineStr"/>
      <c r="V23" s="10" t="inlineStr">
        <is>
          <t>Low</t>
        </is>
      </c>
      <c r="W23" s="10" t="inlineStr">
        <is>
          <t>Independent retailer; Relevant category</t>
        </is>
      </c>
      <c r="X23" s="10" t="inlineStr">
        <is>
          <t>Not Found</t>
        </is>
      </c>
      <c r="Y23" s="10" t="inlineStr">
        <is>
          <t>Not Found</t>
        </is>
      </c>
      <c r="Z23" s="10" t="inlineStr">
        <is>
          <t>Low</t>
        </is>
      </c>
      <c r="AA23" s="10" t="inlineStr">
        <is>
          <t>Requires Verification</t>
        </is>
      </c>
      <c r="AB23" s="10" t="inlineStr">
        <is>
          <t>https://www.yorkshire.com/leeds/shopping/off-license</t>
        </is>
      </c>
    </row>
    <row r="24">
      <c r="A24" s="5" t="inlineStr">
        <is>
          <t>WY-0186</t>
        </is>
      </c>
      <c r="B24" s="5" t="inlineStr">
        <is>
          <t>WY-0186-01</t>
        </is>
      </c>
      <c r="C24" s="5" t="inlineStr"/>
      <c r="D24" s="5" t="inlineStr">
        <is>
          <t>Wayward Wines</t>
        </is>
      </c>
      <c r="E24" s="5" t="inlineStr">
        <is>
          <t>Off-Licence</t>
        </is>
      </c>
      <c r="F24" s="5" t="inlineStr">
        <is>
          <t>Natural / organic wine shop</t>
        </is>
      </c>
      <c r="G24" s="5" t="inlineStr">
        <is>
          <t>Independent</t>
        </is>
      </c>
      <c r="H24" s="5" t="inlineStr">
        <is>
          <t>1</t>
        </is>
      </c>
      <c r="I24" s="5" t="inlineStr">
        <is>
          <t>1C Regent Street</t>
        </is>
      </c>
      <c r="J24" s="5" t="inlineStr">
        <is>
          <t>Leeds</t>
        </is>
      </c>
      <c r="K24" s="5" t="inlineStr">
        <is>
          <t>LS7 4PE</t>
        </is>
      </c>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Medium</t>
        </is>
      </c>
      <c r="AA24" s="5" t="inlineStr">
        <is>
          <t>Requires Verification</t>
        </is>
      </c>
      <c r="AB24" s="5" t="inlineStr">
        <is>
          <t>https://confidentials.com/leeds/six-of-the-best-bottle-shops</t>
        </is>
      </c>
    </row>
    <row r="25">
      <c r="A25" s="10" t="inlineStr">
        <is>
          <t>WY-0187</t>
        </is>
      </c>
      <c r="B25" s="10" t="inlineStr">
        <is>
          <t>WY-0187-01</t>
        </is>
      </c>
      <c r="C25" s="10" t="inlineStr"/>
      <c r="D25" s="10" t="inlineStr">
        <is>
          <t>West End Off Licence</t>
        </is>
      </c>
      <c r="E25" s="10" t="inlineStr">
        <is>
          <t>Off-Licence</t>
        </is>
      </c>
      <c r="F25" s="10" t="inlineStr"/>
      <c r="G25" s="10" t="inlineStr">
        <is>
          <t>Independent</t>
        </is>
      </c>
      <c r="H25" s="10" t="inlineStr">
        <is>
          <t>1</t>
        </is>
      </c>
      <c r="I25" s="10" t="inlineStr">
        <is>
          <t>2 Mile Cross Terrace</t>
        </is>
      </c>
      <c r="J25" s="10" t="inlineStr">
        <is>
          <t>Halifax</t>
        </is>
      </c>
      <c r="K25" s="10" t="inlineStr">
        <is>
          <t>HX1 4HP</t>
        </is>
      </c>
      <c r="L25" s="10" t="inlineStr"/>
      <c r="M25" s="10" t="inlineStr"/>
      <c r="N25" s="10" t="inlineStr"/>
      <c r="O25" s="10" t="inlineStr"/>
      <c r="P25" s="10" t="inlineStr"/>
      <c r="Q25" s="10" t="inlineStr"/>
      <c r="R25" s="10" t="inlineStr"/>
      <c r="S25" s="10" t="inlineStr"/>
      <c r="T25" s="10" t="inlineStr"/>
      <c r="U25" s="10" t="inlineStr"/>
      <c r="V25" s="10" t="inlineStr">
        <is>
          <t>Low</t>
        </is>
      </c>
      <c r="W25" s="10" t="inlineStr">
        <is>
          <t>Independent retailer; Relevant category</t>
        </is>
      </c>
      <c r="X25" s="10" t="inlineStr">
        <is>
          <t>Not Found</t>
        </is>
      </c>
      <c r="Y25" s="10" t="inlineStr">
        <is>
          <t>Not Found</t>
        </is>
      </c>
      <c r="Z25" s="10" t="inlineStr">
        <is>
          <t>Medium</t>
        </is>
      </c>
      <c r="AA25" s="10" t="inlineStr">
        <is>
          <t>Requires Verification</t>
        </is>
      </c>
      <c r="AB25" s="10" t="inlineStr">
        <is>
          <t>https://www.yelp.co.uk/biz/westend-off-licence-rickys-halifax</t>
        </is>
      </c>
    </row>
  </sheetData>
  <autoFilter ref="A1:AB2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12"/>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33" customWidth="1" min="4" max="4"/>
    <col width="21" customWidth="1" min="5" max="5"/>
    <col width="45" customWidth="1" min="6" max="6"/>
    <col width="21" customWidth="1" min="7" max="7"/>
    <col width="21" customWidth="1" min="8" max="8"/>
    <col width="41" customWidth="1" min="9" max="9"/>
    <col width="14" customWidth="1" min="10" max="10"/>
    <col width="10" customWidth="1" min="11" max="11"/>
    <col width="15" customWidth="1" min="12" max="12"/>
    <col width="28" customWidth="1" min="13" max="13"/>
    <col width="24" customWidth="1" min="14" max="14"/>
    <col width="45" customWidth="1" min="15" max="15"/>
    <col width="45" customWidth="1" min="16" max="16"/>
    <col width="45" customWidth="1" min="17" max="17"/>
    <col width="14" customWidth="1" min="18" max="18"/>
    <col width="18"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23"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WY-0011</t>
        </is>
      </c>
      <c r="B3" s="10" t="inlineStr">
        <is>
          <t>CHEAPASMOK-01</t>
        </is>
      </c>
      <c r="C3" s="10" t="inlineStr">
        <is>
          <t>Cheapasmokes</t>
        </is>
      </c>
      <c r="D3" s="10" t="inlineStr">
        <is>
          <t>Cheapasmokes</t>
        </is>
      </c>
      <c r="E3" s="10" t="inlineStr">
        <is>
          <t>Tobacco Specialist</t>
        </is>
      </c>
      <c r="F3" s="10" t="inlineStr">
        <is>
          <t>Cut-price cigarette, tobacco and cigar specialist</t>
        </is>
      </c>
      <c r="G3" s="10" t="inlineStr">
        <is>
          <t>Regional Chain</t>
        </is>
      </c>
      <c r="H3" s="10" t="inlineStr"/>
      <c r="I3" s="10" t="inlineStr">
        <is>
          <t>Unit 24, Borough Market</t>
        </is>
      </c>
      <c r="J3" s="10" t="inlineStr">
        <is>
          <t>Halifax</t>
        </is>
      </c>
      <c r="K3" s="10" t="inlineStr">
        <is>
          <t>HX1 1DZ</t>
        </is>
      </c>
      <c r="L3" s="10" t="inlineStr">
        <is>
          <t>01422 355554</t>
        </is>
      </c>
      <c r="M3" s="10" t="inlineStr"/>
      <c r="N3" s="10" t="inlineStr">
        <is>
          <t>sales@cheapasmokes.com</t>
        </is>
      </c>
      <c r="O3" s="10" t="inlineStr">
        <is>
          <t>https://www.cheapasmokes.com/pages/cheapasmokes-halifax</t>
        </is>
      </c>
      <c r="P3" s="10" t="inlineStr"/>
      <c r="Q3" s="10" t="inlineStr"/>
      <c r="R3" s="10" t="inlineStr"/>
      <c r="S3" s="10" t="inlineStr"/>
      <c r="T3" s="10" t="inlineStr"/>
      <c r="U3" s="10" t="inlineStr"/>
      <c r="V3" s="10" t="inlineStr">
        <is>
          <t>High</t>
        </is>
      </c>
      <c r="W3" s="10" t="inlineStr">
        <is>
          <t>Multi-site retailer; Core relevant category; Public trade/sales contact; Active website</t>
        </is>
      </c>
      <c r="X3" s="10" t="inlineStr">
        <is>
          <t>Verified directory</t>
        </is>
      </c>
      <c r="Y3" s="10" t="inlineStr">
        <is>
          <t>Website Found</t>
        </is>
      </c>
      <c r="Z3" s="10" t="inlineStr">
        <is>
          <t>Medium</t>
        </is>
      </c>
      <c r="AA3" s="10" t="inlineStr">
        <is>
          <t>Partially Verified</t>
        </is>
      </c>
      <c r="AB3" s="10" t="inlineStr">
        <is>
          <t>https://www.cheapasmokes.com/pages/cheapasmokes-halifax</t>
        </is>
      </c>
    </row>
    <row r="4">
      <c r="A4" s="5" t="inlineStr">
        <is>
          <t>WY-0012</t>
        </is>
      </c>
      <c r="B4" s="5" t="inlineStr">
        <is>
          <t>DOMINIQUEL-01</t>
        </is>
      </c>
      <c r="C4" s="5" t="inlineStr">
        <is>
          <t>Dominique London Group / C.Gars Ltd</t>
        </is>
      </c>
      <c r="D4" s="5" t="inlineStr">
        <is>
          <t>C.Gars Leeds (Dominique London)</t>
        </is>
      </c>
      <c r="E4" s="5" t="inlineStr">
        <is>
          <t>Tobacco Specialist</t>
        </is>
      </c>
      <c r="F4" s="5" t="inlineStr">
        <is>
          <t>Havana cigar specialist - cigars, whisky, accessories</t>
        </is>
      </c>
      <c r="G4" s="5" t="inlineStr">
        <is>
          <t>National Chain</t>
        </is>
      </c>
      <c r="H4" s="5" t="inlineStr"/>
      <c r="I4" s="5" t="inlineStr">
        <is>
          <t>22 Thornton's Arcade</t>
        </is>
      </c>
      <c r="J4" s="5" t="inlineStr">
        <is>
          <t>Leeds</t>
        </is>
      </c>
      <c r="K4" s="5" t="inlineStr">
        <is>
          <t>LS1 6LQ</t>
        </is>
      </c>
      <c r="L4" s="5" t="inlineStr">
        <is>
          <t>0113 244 5556</t>
        </is>
      </c>
      <c r="M4" s="5" t="inlineStr"/>
      <c r="N4" s="5" t="inlineStr"/>
      <c r="O4" s="5" t="inlineStr">
        <is>
          <t>https://www.cgarsltd.co.uk/</t>
        </is>
      </c>
      <c r="P4" s="5" t="inlineStr">
        <is>
          <t>https://www.facebook.com/DominiqueLDN/</t>
        </is>
      </c>
      <c r="Q4" s="5" t="inlineStr"/>
      <c r="R4" s="5" t="inlineStr"/>
      <c r="S4" s="5" t="inlineStr"/>
      <c r="T4" s="5" t="inlineStr"/>
      <c r="U4" s="5" t="inlineStr"/>
      <c r="V4" s="5" t="inlineStr">
        <is>
          <t>High</t>
        </is>
      </c>
      <c r="W4" s="5" t="inlineStr">
        <is>
          <t>Multi-site retailer; Core relevant category; Active website; Social presence</t>
        </is>
      </c>
      <c r="X4" s="5" t="inlineStr">
        <is>
          <t>Verified directory</t>
        </is>
      </c>
      <c r="Y4" s="5" t="inlineStr">
        <is>
          <t>Website Found</t>
        </is>
      </c>
      <c r="Z4" s="5" t="inlineStr">
        <is>
          <t>Medium</t>
        </is>
      </c>
      <c r="AA4" s="5" t="inlineStr">
        <is>
          <t>Requires Verification</t>
        </is>
      </c>
      <c r="AB4" s="5" t="inlineStr">
        <is>
          <t>https://www.cgarsltd.co.uk/new-cgars-ltd-store-leeds-a-521.html</t>
        </is>
      </c>
    </row>
    <row r="5">
      <c r="A5" s="10" t="inlineStr">
        <is>
          <t>WY-0062</t>
        </is>
      </c>
      <c r="B5" s="10" t="inlineStr">
        <is>
          <t>WY-0062-01</t>
        </is>
      </c>
      <c r="C5" s="10" t="inlineStr"/>
      <c r="D5" s="10" t="inlineStr">
        <is>
          <t>Bespoke Shisha</t>
        </is>
      </c>
      <c r="E5" s="10" t="inlineStr">
        <is>
          <t>Smoke / Shisha Shop</t>
        </is>
      </c>
      <c r="F5" s="10" t="inlineStr">
        <is>
          <t>Shisha supplies</t>
        </is>
      </c>
      <c r="G5" s="10" t="inlineStr">
        <is>
          <t>Independent</t>
        </is>
      </c>
      <c r="H5" s="10" t="inlineStr">
        <is>
          <t>1</t>
        </is>
      </c>
      <c r="I5" s="10" t="inlineStr">
        <is>
          <t>40 Low Road</t>
        </is>
      </c>
      <c r="J5" s="10" t="inlineStr">
        <is>
          <t>Dewsbury</t>
        </is>
      </c>
      <c r="K5" s="10" t="inlineStr">
        <is>
          <t>WF13 3PP</t>
        </is>
      </c>
      <c r="L5" s="10" t="inlineStr"/>
      <c r="M5" s="10" t="inlineStr"/>
      <c r="N5" s="10" t="inlineStr"/>
      <c r="O5" s="10" t="inlineStr"/>
      <c r="P5" s="10" t="inlineStr"/>
      <c r="Q5" s="10" t="inlineStr"/>
      <c r="R5" s="10" t="inlineStr"/>
      <c r="S5" s="10" t="inlineStr"/>
      <c r="T5" s="10" t="inlineStr"/>
      <c r="U5" s="10" t="inlineStr"/>
      <c r="V5" s="10" t="inlineStr">
        <is>
          <t>Medium</t>
        </is>
      </c>
      <c r="W5" s="10" t="inlineStr">
        <is>
          <t>Independent retailer; Core relevant category</t>
        </is>
      </c>
      <c r="X5" s="10" t="inlineStr">
        <is>
          <t>Not Found</t>
        </is>
      </c>
      <c r="Y5" s="10" t="inlineStr">
        <is>
          <t>Not Found</t>
        </is>
      </c>
      <c r="Z5" s="10" t="inlineStr">
        <is>
          <t>Low</t>
        </is>
      </c>
      <c r="AA5" s="10" t="inlineStr">
        <is>
          <t>Requires Verification</t>
        </is>
      </c>
      <c r="AB5" s="10" t="inlineStr">
        <is>
          <t>https://suitableforvegetarian.com/business/detail/bespoke-shisha</t>
        </is>
      </c>
    </row>
    <row r="6">
      <c r="A6" s="5" t="inlineStr">
        <is>
          <t>WY-0071</t>
        </is>
      </c>
      <c r="B6" s="5" t="inlineStr">
        <is>
          <t>WY-0071-01</t>
        </is>
      </c>
      <c r="C6" s="5" t="inlineStr"/>
      <c r="D6" s="5" t="inlineStr">
        <is>
          <t>C Booth and Son</t>
        </is>
      </c>
      <c r="E6" s="5" t="inlineStr">
        <is>
          <t>Tobacco Specialist</t>
        </is>
      </c>
      <c r="F6" s="5" t="inlineStr">
        <is>
          <t>Hardware store and specialist tobacconist</t>
        </is>
      </c>
      <c r="G6" s="5" t="inlineStr">
        <is>
          <t>Independent</t>
        </is>
      </c>
      <c r="H6" s="5" t="inlineStr">
        <is>
          <t>1</t>
        </is>
      </c>
      <c r="I6" s="5" t="inlineStr">
        <is>
          <t>Cross Church Street</t>
        </is>
      </c>
      <c r="J6" s="5" t="inlineStr">
        <is>
          <t>Huddersfield</t>
        </is>
      </c>
      <c r="K6" s="5" t="inlineStr"/>
      <c r="L6" s="5" t="inlineStr"/>
      <c r="M6" s="5" t="inlineStr"/>
      <c r="N6" s="5" t="inlineStr"/>
      <c r="O6" s="5" t="inlineStr"/>
      <c r="P6" s="5" t="inlineStr"/>
      <c r="Q6" s="5" t="inlineStr"/>
      <c r="R6" s="5" t="inlineStr"/>
      <c r="S6" s="5" t="inlineStr"/>
      <c r="T6" s="5" t="inlineStr"/>
      <c r="U6" s="5" t="inlineStr"/>
      <c r="V6" s="5" t="inlineStr">
        <is>
          <t>Medium</t>
        </is>
      </c>
      <c r="W6" s="5" t="inlineStr">
        <is>
          <t>Independent retailer; Core relevant category</t>
        </is>
      </c>
      <c r="X6" s="5" t="inlineStr">
        <is>
          <t>Not Found</t>
        </is>
      </c>
      <c r="Y6" s="5" t="inlineStr">
        <is>
          <t>Not Found</t>
        </is>
      </c>
      <c r="Z6" s="5" t="inlineStr">
        <is>
          <t>Low</t>
        </is>
      </c>
      <c r="AA6" s="5" t="inlineStr">
        <is>
          <t>Requires Verification</t>
        </is>
      </c>
      <c r="AB6" s="5" t="inlineStr">
        <is>
          <t>https://www.examinerlive.co.uk/news/west-yorkshire-news/the-shop-sells-everything-c-9967957</t>
        </is>
      </c>
    </row>
    <row r="7">
      <c r="A7" s="10" t="inlineStr">
        <is>
          <t>WY-0109</t>
        </is>
      </c>
      <c r="B7" s="10" t="inlineStr">
        <is>
          <t>WY-0109-01</t>
        </is>
      </c>
      <c r="C7" s="10" t="inlineStr"/>
      <c r="D7" s="10" t="inlineStr">
        <is>
          <t>Leeds Shisha Wholesale</t>
        </is>
      </c>
      <c r="E7" s="10" t="inlineStr">
        <is>
          <t>Smoke / Shisha Shop</t>
        </is>
      </c>
      <c r="F7" s="10" t="inlineStr">
        <is>
          <t>Shisha wholesale and retail supplier</t>
        </is>
      </c>
      <c r="G7" s="10" t="inlineStr">
        <is>
          <t>Independent</t>
        </is>
      </c>
      <c r="H7" s="10" t="inlineStr">
        <is>
          <t>1</t>
        </is>
      </c>
      <c r="I7" s="10" t="inlineStr"/>
      <c r="J7" s="10" t="inlineStr">
        <is>
          <t>Leeds</t>
        </is>
      </c>
      <c r="K7" s="10" t="inlineStr"/>
      <c r="L7" s="10" t="inlineStr"/>
      <c r="M7" s="10" t="inlineStr"/>
      <c r="N7" s="10" t="inlineStr"/>
      <c r="O7" s="10" t="inlineStr"/>
      <c r="P7" s="10" t="inlineStr">
        <is>
          <t>https://www.facebook.com/p/Leeds-Shisha-Wholesale-100066917521496/</t>
        </is>
      </c>
      <c r="Q7" s="10" t="inlineStr"/>
      <c r="R7" s="10" t="inlineStr"/>
      <c r="S7" s="10" t="inlineStr"/>
      <c r="T7" s="10" t="inlineStr"/>
      <c r="U7" s="10" t="inlineStr"/>
      <c r="V7" s="10" t="inlineStr">
        <is>
          <t>Medium</t>
        </is>
      </c>
      <c r="W7" s="10" t="inlineStr">
        <is>
          <t>Independent retailer; Core relevant category; Social presence</t>
        </is>
      </c>
      <c r="X7" s="10" t="inlineStr">
        <is>
          <t>Not Found</t>
        </is>
      </c>
      <c r="Y7" s="10" t="inlineStr">
        <is>
          <t>Not Found</t>
        </is>
      </c>
      <c r="Z7" s="10" t="inlineStr">
        <is>
          <t>Low</t>
        </is>
      </c>
      <c r="AA7" s="10" t="inlineStr">
        <is>
          <t>Requires Verification</t>
        </is>
      </c>
      <c r="AB7" s="10" t="inlineStr">
        <is>
          <t>https://www.facebook.com/p/Leeds-Shisha-Wholesale-100066917521496/</t>
        </is>
      </c>
    </row>
    <row r="8">
      <c r="A8" s="5" t="inlineStr">
        <is>
          <t>WY-0139</t>
        </is>
      </c>
      <c r="B8" s="5" t="inlineStr">
        <is>
          <t>WY-0139-01</t>
        </is>
      </c>
      <c r="C8" s="5" t="inlineStr"/>
      <c r="D8" s="5" t="inlineStr">
        <is>
          <t>Ryans The Tobacconist</t>
        </is>
      </c>
      <c r="E8" s="5" t="inlineStr">
        <is>
          <t>Tobacco Specialist</t>
        </is>
      </c>
      <c r="F8" s="5" t="inlineStr">
        <is>
          <t>Traditional tobacconist - cigars, pipes, tobacco</t>
        </is>
      </c>
      <c r="G8" s="5" t="inlineStr">
        <is>
          <t>Independent</t>
        </is>
      </c>
      <c r="H8" s="5" t="inlineStr">
        <is>
          <t>1</t>
        </is>
      </c>
      <c r="I8" s="5" t="inlineStr">
        <is>
          <t>5 The Headrow</t>
        </is>
      </c>
      <c r="J8" s="5" t="inlineStr">
        <is>
          <t>Leeds</t>
        </is>
      </c>
      <c r="K8" s="5" t="inlineStr">
        <is>
          <t>LS1 6PU</t>
        </is>
      </c>
      <c r="L8" s="5" t="inlineStr">
        <is>
          <t>0113 242 2585</t>
        </is>
      </c>
      <c r="M8" s="5" t="inlineStr">
        <is>
          <t>Ryans.2000@outlook.com</t>
        </is>
      </c>
      <c r="N8" s="5" t="inlineStr"/>
      <c r="O8" s="5" t="inlineStr">
        <is>
          <t>https://www.ryanstobacconist.co.uk/</t>
        </is>
      </c>
      <c r="P8" s="5" t="inlineStr">
        <is>
          <t>https://www.facebook.com/ryans.tobacconist/</t>
        </is>
      </c>
      <c r="Q8" s="5" t="inlineStr">
        <is>
          <t>https://www.instagram.com/ryansthetobacconist/</t>
        </is>
      </c>
      <c r="R8" s="5" t="inlineStr"/>
      <c r="S8" s="5" t="inlineStr"/>
      <c r="T8" s="5" t="inlineStr"/>
      <c r="U8" s="5" t="inlineStr"/>
      <c r="V8" s="5" t="inlineStr">
        <is>
          <t>High</t>
        </is>
      </c>
      <c r="W8" s="5" t="inlineStr">
        <is>
          <t>Independent retailer; Core relevant category; Public email available; Active website; Social presence</t>
        </is>
      </c>
      <c r="X8" s="5" t="inlineStr">
        <is>
          <t>Verified directory</t>
        </is>
      </c>
      <c r="Y8" s="5" t="inlineStr">
        <is>
          <t>Publicly Listed</t>
        </is>
      </c>
      <c r="Z8" s="5" t="inlineStr">
        <is>
          <t>Medium</t>
        </is>
      </c>
      <c r="AA8" s="5" t="inlineStr">
        <is>
          <t>Requires Verification</t>
        </is>
      </c>
      <c r="AB8" s="5" t="inlineStr">
        <is>
          <t>https://www.ryanstobacconist.co.uk/contact-us</t>
        </is>
      </c>
    </row>
    <row r="9">
      <c r="A9" s="10" t="inlineStr">
        <is>
          <t>WY-0147</t>
        </is>
      </c>
      <c r="B9" s="10" t="inlineStr">
        <is>
          <t>WY-0147-01</t>
        </is>
      </c>
      <c r="C9" s="10" t="inlineStr"/>
      <c r="D9" s="10" t="inlineStr">
        <is>
          <t>Shoesmiths Tobacconist</t>
        </is>
      </c>
      <c r="E9" s="10" t="inlineStr">
        <is>
          <t>Tobacco Specialist</t>
        </is>
      </c>
      <c r="F9" s="10" t="inlineStr">
        <is>
          <t>Traditional tobacconist and cigar shop</t>
        </is>
      </c>
      <c r="G9" s="10" t="inlineStr">
        <is>
          <t>Independent</t>
        </is>
      </c>
      <c r="H9" s="10" t="inlineStr">
        <is>
          <t>1</t>
        </is>
      </c>
      <c r="I9" s="10" t="inlineStr">
        <is>
          <t>65 Commercial Street</t>
        </is>
      </c>
      <c r="J9" s="10" t="inlineStr">
        <is>
          <t>Halifax</t>
        </is>
      </c>
      <c r="K9" s="10" t="inlineStr">
        <is>
          <t>HX1 1BE</t>
        </is>
      </c>
      <c r="L9" s="10" t="inlineStr"/>
      <c r="M9" s="10" t="inlineStr"/>
      <c r="N9" s="10" t="inlineStr"/>
      <c r="O9" s="10" t="inlineStr"/>
      <c r="P9" s="10" t="inlineStr">
        <is>
          <t>https://www.facebook.com/shoesmiths/</t>
        </is>
      </c>
      <c r="Q9" s="10" t="inlineStr"/>
      <c r="R9" s="10" t="inlineStr"/>
      <c r="S9" s="10" t="inlineStr"/>
      <c r="T9" s="10" t="inlineStr"/>
      <c r="U9" s="10" t="inlineStr"/>
      <c r="V9" s="10" t="inlineStr">
        <is>
          <t>Medium</t>
        </is>
      </c>
      <c r="W9" s="10" t="inlineStr">
        <is>
          <t>Independent retailer; Core relevant category; Social presence</t>
        </is>
      </c>
      <c r="X9" s="10" t="inlineStr">
        <is>
          <t>Not Found</t>
        </is>
      </c>
      <c r="Y9" s="10" t="inlineStr">
        <is>
          <t>Not Found</t>
        </is>
      </c>
      <c r="Z9" s="10" t="inlineStr">
        <is>
          <t>Medium</t>
        </is>
      </c>
      <c r="AA9" s="10" t="inlineStr">
        <is>
          <t>Requires Verification</t>
        </is>
      </c>
      <c r="AB9" s="10" t="inlineStr">
        <is>
          <t>https://www.facebook.com/shoesmiths/</t>
        </is>
      </c>
    </row>
    <row r="10">
      <c r="A10" s="5" t="inlineStr">
        <is>
          <t>WY-0148</t>
        </is>
      </c>
      <c r="B10" s="5" t="inlineStr">
        <is>
          <t>WY-0148-01</t>
        </is>
      </c>
      <c r="C10" s="5" t="inlineStr"/>
      <c r="D10" s="5" t="inlineStr">
        <is>
          <t>Smoke-King Tobacconist</t>
        </is>
      </c>
      <c r="E10" s="5" t="inlineStr">
        <is>
          <t>Tobacco Specialist</t>
        </is>
      </c>
      <c r="F10" s="5" t="inlineStr">
        <is>
          <t>Tobacconist - cigars, pipes, tobacco, online store</t>
        </is>
      </c>
      <c r="G10" s="5" t="inlineStr">
        <is>
          <t>Independent</t>
        </is>
      </c>
      <c r="H10" s="5" t="inlineStr">
        <is>
          <t>1</t>
        </is>
      </c>
      <c r="I10" s="5" t="inlineStr">
        <is>
          <t>Unit E2, Otley Mills</t>
        </is>
      </c>
      <c r="J10" s="5" t="inlineStr">
        <is>
          <t>Otley</t>
        </is>
      </c>
      <c r="K10" s="5" t="inlineStr">
        <is>
          <t>LS21 3EE</t>
        </is>
      </c>
      <c r="L10" s="5" t="inlineStr">
        <is>
          <t>0113 217 7723</t>
        </is>
      </c>
      <c r="M10" s="5" t="inlineStr">
        <is>
          <t>enquiries@smoke-king.co.uk</t>
        </is>
      </c>
      <c r="N10" s="5" t="inlineStr"/>
      <c r="O10" s="5" t="inlineStr">
        <is>
          <t>https://www.smoke-king.co.uk/</t>
        </is>
      </c>
      <c r="P10" s="5" t="inlineStr">
        <is>
          <t>https://www.facebook.com/smokekinguk/</t>
        </is>
      </c>
      <c r="Q10" s="5" t="inlineStr"/>
      <c r="R10" s="5" t="inlineStr"/>
      <c r="S10" s="5" t="inlineStr"/>
      <c r="T10" s="5" t="inlineStr"/>
      <c r="U10" s="5" t="inlineStr"/>
      <c r="V10" s="5" t="inlineStr">
        <is>
          <t>High</t>
        </is>
      </c>
      <c r="W10" s="5" t="inlineStr">
        <is>
          <t>Independent retailer; Core relevant category; Public email available; Active website; Social presence</t>
        </is>
      </c>
      <c r="X10" s="5" t="inlineStr">
        <is>
          <t>Verified directory</t>
        </is>
      </c>
      <c r="Y10" s="5" t="inlineStr">
        <is>
          <t>Website Found</t>
        </is>
      </c>
      <c r="Z10" s="5" t="inlineStr">
        <is>
          <t>Medium</t>
        </is>
      </c>
      <c r="AA10" s="5" t="inlineStr">
        <is>
          <t>Partially Verified</t>
        </is>
      </c>
      <c r="AB10" s="5" t="inlineStr">
        <is>
          <t>https://www.smoke-king.co.uk/pages/tobacconist-in-otley</t>
        </is>
      </c>
    </row>
    <row r="11">
      <c r="A11" s="10" t="inlineStr">
        <is>
          <t>WY-0150</t>
        </is>
      </c>
      <c r="B11" s="10" t="inlineStr">
        <is>
          <t>WY-0150-01</t>
        </is>
      </c>
      <c r="C11" s="10" t="inlineStr"/>
      <c r="D11" s="10" t="inlineStr">
        <is>
          <t>Somers of Keighley</t>
        </is>
      </c>
      <c r="E11" s="10" t="inlineStr">
        <is>
          <t>Tobacco Specialist</t>
        </is>
      </c>
      <c r="F11" s="10" t="inlineStr">
        <is>
          <t>Traditional tobacconist</t>
        </is>
      </c>
      <c r="G11" s="10" t="inlineStr">
        <is>
          <t>Independent</t>
        </is>
      </c>
      <c r="H11" s="10" t="inlineStr">
        <is>
          <t>1</t>
        </is>
      </c>
      <c r="I11" s="10" t="inlineStr">
        <is>
          <t>1 Bow Street</t>
        </is>
      </c>
      <c r="J11" s="10" t="inlineStr">
        <is>
          <t>Keighley</t>
        </is>
      </c>
      <c r="K11" s="10" t="inlineStr">
        <is>
          <t>BD21 3PB</t>
        </is>
      </c>
      <c r="L11" s="10" t="inlineStr">
        <is>
          <t>01535 604678</t>
        </is>
      </c>
      <c r="M11" s="10" t="inlineStr"/>
      <c r="N11" s="10" t="inlineStr"/>
      <c r="O11" s="10" t="inlineStr"/>
      <c r="P11" s="10" t="inlineStr"/>
      <c r="Q11" s="10" t="inlineStr"/>
      <c r="R11" s="10" t="inlineStr"/>
      <c r="S11" s="10" t="inlineStr"/>
      <c r="T11" s="10" t="inlineStr"/>
      <c r="U11" s="10" t="inlineStr"/>
      <c r="V11" s="10" t="inlineStr">
        <is>
          <t>Medium</t>
        </is>
      </c>
      <c r="W11" s="10" t="inlineStr">
        <is>
          <t>Independent retailer; Core relevant category</t>
        </is>
      </c>
      <c r="X11" s="10" t="inlineStr">
        <is>
          <t>Verified directory</t>
        </is>
      </c>
      <c r="Y11" s="10" t="inlineStr">
        <is>
          <t>Not Found</t>
        </is>
      </c>
      <c r="Z11" s="10" t="inlineStr">
        <is>
          <t>Medium</t>
        </is>
      </c>
      <c r="AA11" s="10" t="inlineStr">
        <is>
          <t>Requires Verification</t>
        </is>
      </c>
      <c r="AB11" s="10" t="inlineStr">
        <is>
          <t>https://www.yelp.com/biz/somers-of-keighley-keighley</t>
        </is>
      </c>
    </row>
    <row r="12">
      <c r="A12" s="5" t="inlineStr">
        <is>
          <t>WY-0160</t>
        </is>
      </c>
      <c r="B12" s="5" t="inlineStr">
        <is>
          <t>WY-0160-01</t>
        </is>
      </c>
      <c r="C12" s="5" t="inlineStr"/>
      <c r="D12" s="5" t="inlineStr">
        <is>
          <t>The Shisha Shop Bradford</t>
        </is>
      </c>
      <c r="E12" s="5" t="inlineStr">
        <is>
          <t>Smoke / Shisha Shop</t>
        </is>
      </c>
      <c r="F12" s="5" t="inlineStr">
        <is>
          <t>Shisha retail &amp; wholesale (pipes, flavour, charcoal)</t>
        </is>
      </c>
      <c r="G12" s="5" t="inlineStr">
        <is>
          <t>Independent</t>
        </is>
      </c>
      <c r="H12" s="5" t="inlineStr">
        <is>
          <t>1</t>
        </is>
      </c>
      <c r="I12" s="5" t="inlineStr">
        <is>
          <t>61 Leeds Road</t>
        </is>
      </c>
      <c r="J12" s="5" t="inlineStr">
        <is>
          <t>Bradford</t>
        </is>
      </c>
      <c r="K12" s="5" t="inlineStr">
        <is>
          <t>BD1 5DY</t>
        </is>
      </c>
      <c r="L12" s="5" t="inlineStr">
        <is>
          <t>07466 392838</t>
        </is>
      </c>
      <c r="M12" s="5" t="inlineStr"/>
      <c r="N12" s="5" t="inlineStr"/>
      <c r="O12" s="5" t="inlineStr"/>
      <c r="P12" s="5" t="inlineStr"/>
      <c r="Q12" s="5" t="inlineStr">
        <is>
          <t>https://www.instagram.com/theshishashopbradford/</t>
        </is>
      </c>
      <c r="R12" s="5" t="inlineStr"/>
      <c r="S12" s="5" t="inlineStr"/>
      <c r="T12" s="5" t="inlineStr"/>
      <c r="U12" s="5" t="inlineStr"/>
      <c r="V12" s="5" t="inlineStr">
        <is>
          <t>Medium</t>
        </is>
      </c>
      <c r="W12" s="5" t="inlineStr">
        <is>
          <t>Independent retailer; Core relevant category; Social presence</t>
        </is>
      </c>
      <c r="X12" s="5" t="inlineStr">
        <is>
          <t>Unverified</t>
        </is>
      </c>
      <c r="Y12" s="5" t="inlineStr">
        <is>
          <t>Not Found</t>
        </is>
      </c>
      <c r="Z12" s="5" t="inlineStr">
        <is>
          <t>Medium</t>
        </is>
      </c>
      <c r="AA12" s="5" t="inlineStr">
        <is>
          <t>Requires Verification</t>
        </is>
      </c>
      <c r="AB12" s="5" t="inlineStr">
        <is>
          <t>https://www.instagram.com/theshishashopbradford/</t>
        </is>
      </c>
    </row>
  </sheetData>
  <autoFilter ref="A1:AB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39"/>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5" customWidth="1" min="5" max="5"/>
    <col width="45" customWidth="1" min="6" max="6"/>
    <col width="24" customWidth="1" min="7" max="7"/>
    <col width="21" customWidth="1" min="8" max="8"/>
    <col width="45" customWidth="1" min="9" max="9"/>
    <col width="14" customWidth="1" min="10" max="10"/>
    <col width="10" customWidth="1" min="11" max="11"/>
    <col width="15" customWidth="1" min="12" max="12"/>
    <col width="34" customWidth="1" min="13" max="13"/>
    <col width="30" customWidth="1" min="14" max="14"/>
    <col width="45" customWidth="1" min="15" max="15"/>
    <col width="45" customWidth="1" min="16" max="16"/>
    <col width="45" customWidth="1" min="17" max="17"/>
    <col width="14" customWidth="1" min="18" max="18"/>
    <col width="18" customWidth="1" min="19" max="19"/>
    <col width="24" customWidth="1" min="20" max="20"/>
    <col width="40"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WY-0005</t>
        </is>
      </c>
      <c r="B2" s="5" t="inlineStr">
        <is>
          <t>AGPARFETTS-01</t>
        </is>
      </c>
      <c r="C2" s="5" t="inlineStr">
        <is>
          <t>A G Parfett &amp; Sons Ltd</t>
        </is>
      </c>
      <c r="D2" s="5" t="inlineStr">
        <is>
          <t>Parfetts Cash &amp; Carry (Halifax)</t>
        </is>
      </c>
      <c r="E2" s="5" t="inlineStr">
        <is>
          <t>Cash &amp; Carry</t>
        </is>
      </c>
      <c r="F2" s="5" t="inlineStr">
        <is>
          <t>Delivered &amp; cash-and-carry grocery wholesale depot</t>
        </is>
      </c>
      <c r="G2" s="5" t="inlineStr">
        <is>
          <t>Regional Chain</t>
        </is>
      </c>
      <c r="H2" s="5" t="inlineStr"/>
      <c r="I2" s="5" t="inlineStr">
        <is>
          <t>Shay Lane</t>
        </is>
      </c>
      <c r="J2" s="5" t="inlineStr">
        <is>
          <t>Halifax</t>
        </is>
      </c>
      <c r="K2" s="5" t="inlineStr">
        <is>
          <t>HX3 6RA</t>
        </is>
      </c>
      <c r="L2" s="5" t="inlineStr">
        <is>
          <t>01422 363167</t>
        </is>
      </c>
      <c r="M2" s="5" t="inlineStr"/>
      <c r="N2" s="5" t="inlineStr"/>
      <c r="O2" s="5" t="inlineStr">
        <is>
          <t>https://www.parfetts.co.uk/</t>
        </is>
      </c>
      <c r="P2" s="5" t="inlineStr">
        <is>
          <t>https://www.facebook.com/pages/parfetts-cash-carry-Halifax/253069908059088</t>
        </is>
      </c>
      <c r="Q2" s="5" t="inlineStr"/>
      <c r="R2" s="5" t="inlineStr"/>
      <c r="S2" s="5" t="inlineStr"/>
      <c r="T2" s="5" t="inlineStr"/>
      <c r="U2" s="5" t="inlineStr"/>
      <c r="V2" s="5" t="inlineStr">
        <is>
          <t>High</t>
        </is>
      </c>
      <c r="W2" s="5" t="inlineStr">
        <is>
          <t>Multi-site retailer; Core relevant category; Active website; Social presence</t>
        </is>
      </c>
      <c r="X2" s="5" t="inlineStr">
        <is>
          <t>Verified directory</t>
        </is>
      </c>
      <c r="Y2" s="5" t="inlineStr">
        <is>
          <t>Website Found</t>
        </is>
      </c>
      <c r="Z2" s="5" t="inlineStr">
        <is>
          <t>Medium</t>
        </is>
      </c>
      <c r="AA2" s="5" t="inlineStr">
        <is>
          <t>Requires Verification</t>
        </is>
      </c>
      <c r="AB2" s="5" t="inlineStr">
        <is>
          <t>https://www.facebook.com/pages/parfetts-cash-carry-Halifax/253069908059088</t>
        </is>
      </c>
    </row>
    <row r="3">
      <c r="A3" s="10" t="inlineStr">
        <is>
          <t>WY-0006</t>
        </is>
      </c>
      <c r="B3" s="10" t="inlineStr">
        <is>
          <t>ABUBAKRGRO-01</t>
        </is>
      </c>
      <c r="C3" s="10" t="inlineStr">
        <is>
          <t>Abu Bakr Group</t>
        </is>
      </c>
      <c r="D3" s="10" t="inlineStr">
        <is>
          <t>Abu Bakr Supermarket (Batley)</t>
        </is>
      </c>
      <c r="E3" s="10" t="inlineStr">
        <is>
          <t>Independent Supermarket</t>
        </is>
      </c>
      <c r="F3" s="10" t="inlineStr">
        <is>
          <t>Halal / world foods supermarket with retail &amp; wholesale supply</t>
        </is>
      </c>
      <c r="G3" s="10" t="inlineStr">
        <is>
          <t>Multi-Site Independent</t>
        </is>
      </c>
      <c r="H3" s="10" t="inlineStr">
        <is>
          <t>5</t>
        </is>
      </c>
      <c r="I3" s="10" t="inlineStr">
        <is>
          <t>Unit A, Blakeridge Mill Shopping Centre</t>
        </is>
      </c>
      <c r="J3" s="10" t="inlineStr">
        <is>
          <t>Batley</t>
        </is>
      </c>
      <c r="K3" s="10" t="inlineStr">
        <is>
          <t>WF17 8FU</t>
        </is>
      </c>
      <c r="L3" s="10" t="inlineStr">
        <is>
          <t>01924 950730</t>
        </is>
      </c>
      <c r="M3" s="10" t="inlineStr"/>
      <c r="N3" s="10" t="inlineStr"/>
      <c r="O3" s="10" t="inlineStr">
        <is>
          <t>https://www.abubakrgroup.com/</t>
        </is>
      </c>
      <c r="P3" s="10" t="inlineStr">
        <is>
          <t>https://www.facebook.com/abubakrsupermarketsleeds/</t>
        </is>
      </c>
      <c r="Q3" s="10" t="inlineStr">
        <is>
          <t>https://www.instagram.com/abubakrsupermarket/</t>
        </is>
      </c>
      <c r="R3" s="10" t="inlineStr"/>
      <c r="S3" s="10" t="inlineStr"/>
      <c r="T3" s="10" t="inlineStr">
        <is>
          <t>15303931</t>
        </is>
      </c>
      <c r="U3" s="10" t="inlineStr">
        <is>
          <t>Active</t>
        </is>
      </c>
      <c r="V3" s="10" t="inlineStr">
        <is>
          <t>High</t>
        </is>
      </c>
      <c r="W3" s="10" t="inlineStr">
        <is>
          <t>Multi-site retailer; Independent retailer; Relevant category; Active website; Social presence</t>
        </is>
      </c>
      <c r="X3" s="10" t="inlineStr">
        <is>
          <t>Verified directory</t>
        </is>
      </c>
      <c r="Y3" s="10" t="inlineStr">
        <is>
          <t>Website Found</t>
        </is>
      </c>
      <c r="Z3" s="10" t="inlineStr">
        <is>
          <t>Medium</t>
        </is>
      </c>
      <c r="AA3" s="10" t="inlineStr">
        <is>
          <t>Verified (website + Companies House)</t>
        </is>
      </c>
      <c r="AB3" s="10" t="inlineStr">
        <is>
          <t>https://find-and-update.company-information.service.gov.uk/company/15303931</t>
        </is>
      </c>
    </row>
    <row r="4">
      <c r="A4" s="5" t="inlineStr">
        <is>
          <t>WY-0007</t>
        </is>
      </c>
      <c r="B4" s="5" t="inlineStr">
        <is>
          <t>ABUBAKRGRO-02</t>
        </is>
      </c>
      <c r="C4" s="5" t="inlineStr">
        <is>
          <t>Abu Bakr Group</t>
        </is>
      </c>
      <c r="D4" s="5" t="inlineStr">
        <is>
          <t>Abu Bakr Supermarket (Dewsbury Road, Beeston, Leeds)</t>
        </is>
      </c>
      <c r="E4" s="5" t="inlineStr">
        <is>
          <t>Independent Supermarket</t>
        </is>
      </c>
      <c r="F4" s="5" t="inlineStr">
        <is>
          <t>Halal / world foods supermarket with retail &amp; wholesale supply</t>
        </is>
      </c>
      <c r="G4" s="5" t="inlineStr">
        <is>
          <t>Multi-Site Independent</t>
        </is>
      </c>
      <c r="H4" s="5" t="inlineStr">
        <is>
          <t>5</t>
        </is>
      </c>
      <c r="I4" s="5" t="inlineStr">
        <is>
          <t>Dewsbury Road</t>
        </is>
      </c>
      <c r="J4" s="5" t="inlineStr">
        <is>
          <t>Leeds</t>
        </is>
      </c>
      <c r="K4" s="5" t="inlineStr">
        <is>
          <t>LS11 5HY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WY-0008</t>
        </is>
      </c>
      <c r="B5" s="10" t="inlineStr">
        <is>
          <t>ABUBAKRGRO-03</t>
        </is>
      </c>
      <c r="C5" s="10" t="inlineStr">
        <is>
          <t>Abu Bakr Group</t>
        </is>
      </c>
      <c r="D5" s="10" t="inlineStr">
        <is>
          <t>Abu Bakr Supermarket (Kirkstall Road, Leeds)</t>
        </is>
      </c>
      <c r="E5" s="10" t="inlineStr">
        <is>
          <t>Independent Supermarket</t>
        </is>
      </c>
      <c r="F5" s="10" t="inlineStr">
        <is>
          <t>Halal / world foods supermarket with retail &amp; wholesale supply</t>
        </is>
      </c>
      <c r="G5" s="10" t="inlineStr">
        <is>
          <t>Multi-Site Independent</t>
        </is>
      </c>
      <c r="H5" s="10" t="inlineStr">
        <is>
          <t>5</t>
        </is>
      </c>
      <c r="I5" s="10" t="inlineStr">
        <is>
          <t>Kirkstall Road</t>
        </is>
      </c>
      <c r="J5" s="10" t="inlineStr">
        <is>
          <t>Leeds</t>
        </is>
      </c>
      <c r="K5" s="10" t="inlineStr">
        <is>
          <t>LS4 2DN</t>
        </is>
      </c>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Duplicate Review Required</t>
        </is>
      </c>
      <c r="AB5" s="10" t="inlineStr">
        <is>
          <t>https://www.abubakrgroup.com/</t>
        </is>
      </c>
    </row>
    <row r="6">
      <c r="A6" s="5" t="inlineStr">
        <is>
          <t>WY-0009</t>
        </is>
      </c>
      <c r="B6" s="5" t="inlineStr">
        <is>
          <t>ABUBAKRGRO-04</t>
        </is>
      </c>
      <c r="C6" s="5" t="inlineStr">
        <is>
          <t>Abu Bakr Group</t>
        </is>
      </c>
      <c r="D6" s="5" t="inlineStr">
        <is>
          <t>Abu Bakr Supermarket (Queens Road, Leeds)</t>
        </is>
      </c>
      <c r="E6" s="5" t="inlineStr">
        <is>
          <t>Independent Supermarket</t>
        </is>
      </c>
      <c r="F6" s="5" t="inlineStr">
        <is>
          <t>Halal / world foods supermarket with retail &amp; wholesale supply</t>
        </is>
      </c>
      <c r="G6" s="5" t="inlineStr">
        <is>
          <t>Multi-Site Independent</t>
        </is>
      </c>
      <c r="H6" s="5" t="inlineStr">
        <is>
          <t>5</t>
        </is>
      </c>
      <c r="I6" s="5" t="inlineStr">
        <is>
          <t>37 Queens Road</t>
        </is>
      </c>
      <c r="J6" s="5" t="inlineStr">
        <is>
          <t>Leeds</t>
        </is>
      </c>
      <c r="K6" s="5" t="inlineStr">
        <is>
          <t>LS6 1NY</t>
        </is>
      </c>
      <c r="L6" s="5" t="inlineStr"/>
      <c r="M6" s="5" t="inlineStr"/>
      <c r="N6" s="5" t="inlineStr"/>
      <c r="O6" s="5" t="inlineStr">
        <is>
          <t>https://www.abubakrgroup.com/</t>
        </is>
      </c>
      <c r="P6" s="5" t="inlineStr">
        <is>
          <t>https://www.facebook.com/abubakrsupermarketsleeds/</t>
        </is>
      </c>
      <c r="Q6" s="5" t="inlineStr">
        <is>
          <t>https://www.instagram.com/abubakrleeds/</t>
        </is>
      </c>
      <c r="R6" s="5" t="inlineStr"/>
      <c r="S6" s="5" t="inlineStr"/>
      <c r="T6" s="5" t="inlineStr"/>
      <c r="U6" s="5" t="inlineStr"/>
      <c r="V6" s="5" t="inlineStr">
        <is>
          <t>High</t>
        </is>
      </c>
      <c r="W6" s="5" t="inlineStr">
        <is>
          <t>Multi-site retailer; Independent retailer; Relevant category; Active website; Social presence</t>
        </is>
      </c>
      <c r="X6" s="5" t="inlineStr">
        <is>
          <t>Not Found</t>
        </is>
      </c>
      <c r="Y6" s="5" t="inlineStr">
        <is>
          <t>Website Found</t>
        </is>
      </c>
      <c r="Z6" s="5" t="inlineStr">
        <is>
          <t>Medium</t>
        </is>
      </c>
      <c r="AA6" s="5" t="inlineStr">
        <is>
          <t>Duplicate Review Required</t>
        </is>
      </c>
      <c r="AB6" s="5" t="inlineStr">
        <is>
          <t>https://www.abubakrgroup.com/</t>
        </is>
      </c>
    </row>
    <row r="7">
      <c r="A7" s="10" t="inlineStr">
        <is>
          <t>WY-0010</t>
        </is>
      </c>
      <c r="B7" s="10" t="inlineStr">
        <is>
          <t>ABUBAKRGRO-05</t>
        </is>
      </c>
      <c r="C7" s="10" t="inlineStr">
        <is>
          <t>Abu Bakr Group</t>
        </is>
      </c>
      <c r="D7" s="10" t="inlineStr">
        <is>
          <t>Abu Bakr Supermarket (Roundhay Road, Leeds)</t>
        </is>
      </c>
      <c r="E7" s="10" t="inlineStr">
        <is>
          <t>Independent Supermarket</t>
        </is>
      </c>
      <c r="F7" s="10" t="inlineStr">
        <is>
          <t>Halal / world foods supermarket with retail &amp; wholesale supply</t>
        </is>
      </c>
      <c r="G7" s="10" t="inlineStr">
        <is>
          <t>Multi-Site Independent</t>
        </is>
      </c>
      <c r="H7" s="10" t="inlineStr">
        <is>
          <t>5</t>
        </is>
      </c>
      <c r="I7" s="10" t="inlineStr">
        <is>
          <t>215 Roundhay Road</t>
        </is>
      </c>
      <c r="J7" s="10" t="inlineStr">
        <is>
          <t>Leeds</t>
        </is>
      </c>
      <c r="K7" s="10" t="inlineStr"/>
      <c r="L7" s="10" t="inlineStr"/>
      <c r="M7" s="10" t="inlineStr"/>
      <c r="N7" s="10" t="inlineStr"/>
      <c r="O7" s="10" t="inlineStr">
        <is>
          <t>https://www.abubakrgroup.com/</t>
        </is>
      </c>
      <c r="P7" s="10" t="inlineStr">
        <is>
          <t>https://www.facebook.com/abubakrsupermarketsleeds/</t>
        </is>
      </c>
      <c r="Q7" s="10" t="inlineStr">
        <is>
          <t>https://www.instagram.com/abubakrleeds/</t>
        </is>
      </c>
      <c r="R7" s="10" t="inlineStr"/>
      <c r="S7" s="10" t="inlineStr"/>
      <c r="T7" s="10" t="inlineStr"/>
      <c r="U7" s="10" t="inlineStr"/>
      <c r="V7" s="10" t="inlineStr">
        <is>
          <t>High</t>
        </is>
      </c>
      <c r="W7" s="10" t="inlineStr">
        <is>
          <t>Multi-site retailer; Independent retailer; Relevant category; Active website; Social presence</t>
        </is>
      </c>
      <c r="X7" s="10" t="inlineStr">
        <is>
          <t>Not Found</t>
        </is>
      </c>
      <c r="Y7" s="10" t="inlineStr">
        <is>
          <t>Website Found</t>
        </is>
      </c>
      <c r="Z7" s="10" t="inlineStr">
        <is>
          <t>Medium</t>
        </is>
      </c>
      <c r="AA7" s="10" t="inlineStr">
        <is>
          <t>Partially Verified</t>
        </is>
      </c>
      <c r="AB7" s="10" t="inlineStr">
        <is>
          <t>https://www.abubakrgroup.com/</t>
        </is>
      </c>
    </row>
    <row r="8">
      <c r="A8" s="5" t="inlineStr">
        <is>
          <t>WY-0017</t>
        </is>
      </c>
      <c r="B8" s="5" t="inlineStr">
        <is>
          <t>MANCHESTER-01</t>
        </is>
      </c>
      <c r="C8" s="5" t="inlineStr">
        <is>
          <t>Manchester Super Stores</t>
        </is>
      </c>
      <c r="D8" s="5" t="inlineStr">
        <is>
          <t>Manchester Superstore (Wakefield)</t>
        </is>
      </c>
      <c r="E8" s="5" t="inlineStr">
        <is>
          <t>Independent Supermarket</t>
        </is>
      </c>
      <c r="F8" s="5" t="inlineStr">
        <is>
          <t>Ethnic / Asian supermarket with halal meat</t>
        </is>
      </c>
      <c r="G8" s="5" t="inlineStr">
        <is>
          <t>Regional Chain</t>
        </is>
      </c>
      <c r="H8" s="5" t="inlineStr"/>
      <c r="I8" s="5" t="inlineStr">
        <is>
          <t>38 Park Lodge Lane</t>
        </is>
      </c>
      <c r="J8" s="5" t="inlineStr">
        <is>
          <t>Wakefield</t>
        </is>
      </c>
      <c r="K8" s="5" t="inlineStr">
        <is>
          <t>WF1 4NL</t>
        </is>
      </c>
      <c r="L8" s="5" t="inlineStr">
        <is>
          <t>01924 369105</t>
        </is>
      </c>
      <c r="M8" s="5" t="inlineStr"/>
      <c r="N8" s="5" t="inlineStr"/>
      <c r="O8" s="5" t="inlineStr">
        <is>
          <t>https://manchestersuperstores.co.uk/store-locations/manchester-super-stores-in-wakefield/</t>
        </is>
      </c>
      <c r="P8" s="5" t="inlineStr">
        <is>
          <t>https://www.facebook.com/p/Manchester-superstore-100067793681757/</t>
        </is>
      </c>
      <c r="Q8" s="5" t="inlineStr"/>
      <c r="R8" s="5" t="inlineStr"/>
      <c r="S8" s="5" t="inlineStr"/>
      <c r="T8" s="5" t="inlineStr">
        <is>
          <t>08447369</t>
        </is>
      </c>
      <c r="U8" s="5" t="inlineStr"/>
      <c r="V8" s="5" t="inlineStr">
        <is>
          <t>Medium</t>
        </is>
      </c>
      <c r="W8" s="5" t="inlineStr">
        <is>
          <t>Multi-site retailer; Relevant category; Active website; Social presence</t>
        </is>
      </c>
      <c r="X8" s="5" t="inlineStr">
        <is>
          <t>Verified directory</t>
        </is>
      </c>
      <c r="Y8" s="5" t="inlineStr">
        <is>
          <t>Website Found</t>
        </is>
      </c>
      <c r="Z8" s="5" t="inlineStr">
        <is>
          <t>Medium</t>
        </is>
      </c>
      <c r="AA8" s="5" t="inlineStr">
        <is>
          <t>Requires Verification</t>
        </is>
      </c>
      <c r="AB8" s="5" t="inlineStr">
        <is>
          <t>https://manchestersuperstores.co.uk/store-locations/manchester-super-stores-in-wakefield/</t>
        </is>
      </c>
    </row>
    <row r="9">
      <c r="A9" s="10" t="inlineStr">
        <is>
          <t>WY-0018</t>
        </is>
      </c>
      <c r="B9" s="10" t="inlineStr">
        <is>
          <t>MANCHESTER-02</t>
        </is>
      </c>
      <c r="C9" s="10" t="inlineStr">
        <is>
          <t>Manchester Super Stores</t>
        </is>
      </c>
      <c r="D9" s="10" t="inlineStr">
        <is>
          <t>Manchester Superstore Bradford</t>
        </is>
      </c>
      <c r="E9" s="10" t="inlineStr">
        <is>
          <t>Independent Supermarket</t>
        </is>
      </c>
      <c r="F9" s="10" t="inlineStr">
        <is>
          <t>Asian / halal superstore</t>
        </is>
      </c>
      <c r="G9" s="10" t="inlineStr">
        <is>
          <t>Multi-Site Independent</t>
        </is>
      </c>
      <c r="H9" s="10" t="inlineStr"/>
      <c r="I9" s="10" t="inlineStr">
        <is>
          <t>Florence Street</t>
        </is>
      </c>
      <c r="J9" s="10" t="inlineStr">
        <is>
          <t>Bradford</t>
        </is>
      </c>
      <c r="K9" s="10" t="inlineStr">
        <is>
          <t>BD3 8EX</t>
        </is>
      </c>
      <c r="L9" s="10" t="inlineStr">
        <is>
          <t>01274 668800</t>
        </is>
      </c>
      <c r="M9" s="10" t="inlineStr">
        <is>
          <t>mssbradford01@gmail.com</t>
        </is>
      </c>
      <c r="N9" s="10" t="inlineStr"/>
      <c r="O9" s="10" t="inlineStr">
        <is>
          <t>https://manchestersuperstores.co.uk/store-locations/manchester-super-stores-in-bradford/</t>
        </is>
      </c>
      <c r="P9" s="10" t="inlineStr">
        <is>
          <t>https://www.facebook.com/p/Manchester-SuperStore-Bradford-100066139307711/</t>
        </is>
      </c>
      <c r="Q9" s="10" t="inlineStr"/>
      <c r="R9" s="10" t="inlineStr"/>
      <c r="S9" s="10" t="inlineStr"/>
      <c r="T9" s="10" t="inlineStr"/>
      <c r="U9" s="10" t="inlineStr"/>
      <c r="V9" s="10" t="inlineStr">
        <is>
          <t>High</t>
        </is>
      </c>
      <c r="W9" s="10" t="inlineStr">
        <is>
          <t>Multi-site retailer; Independent retailer; Relevant category; Public email available; Active website; Social presence</t>
        </is>
      </c>
      <c r="X9" s="10" t="inlineStr">
        <is>
          <t>Verified directory</t>
        </is>
      </c>
      <c r="Y9" s="10" t="inlineStr">
        <is>
          <t>Website Found</t>
        </is>
      </c>
      <c r="Z9" s="10" t="inlineStr">
        <is>
          <t>Medium</t>
        </is>
      </c>
      <c r="AA9" s="10" t="inlineStr">
        <is>
          <t>Partially Verified</t>
        </is>
      </c>
      <c r="AB9" s="10" t="inlineStr">
        <is>
          <t>https://manchestersuperstores.co.uk/store-locations/manchester-super-stores-in-bradford/</t>
        </is>
      </c>
    </row>
    <row r="10">
      <c r="A10" s="5" t="inlineStr">
        <is>
          <t>WY-0019</t>
        </is>
      </c>
      <c r="B10" s="5" t="inlineStr">
        <is>
          <t>MULLACO-01</t>
        </is>
      </c>
      <c r="C10" s="5" t="inlineStr">
        <is>
          <t>Mullaco</t>
        </is>
      </c>
      <c r="D10" s="5" t="inlineStr">
        <is>
          <t>Mullaco (Batley)</t>
        </is>
      </c>
      <c r="E10" s="5" t="inlineStr">
        <is>
          <t>Independent Supermarket</t>
        </is>
      </c>
      <c r="F10" s="5" t="inlineStr">
        <is>
          <t>Asian and continental world foods store</t>
        </is>
      </c>
      <c r="G10" s="5" t="inlineStr">
        <is>
          <t>Regional Chain</t>
        </is>
      </c>
      <c r="H10" s="5" t="inlineStr">
        <is>
          <t>3</t>
        </is>
      </c>
      <c r="I10" s="5" t="inlineStr">
        <is>
          <t>35 Oxford Street</t>
        </is>
      </c>
      <c r="J10" s="5" t="inlineStr">
        <is>
          <t>Batley</t>
        </is>
      </c>
      <c r="K10" s="5" t="inlineStr">
        <is>
          <t>WF17 7PJ</t>
        </is>
      </c>
      <c r="L10" s="5" t="inlineStr">
        <is>
          <t>01924 939128</t>
        </is>
      </c>
      <c r="M10" s="5" t="inlineStr"/>
      <c r="N10" s="5" t="inlineStr"/>
      <c r="O10" s="5" t="inlineStr">
        <is>
          <t>https://mullaco.co.uk/</t>
        </is>
      </c>
      <c r="P10" s="5" t="inlineStr">
        <is>
          <t>https://www.facebook.com/mullaco.supermarket/</t>
        </is>
      </c>
      <c r="Q10" s="5" t="inlineStr">
        <is>
          <t>https://www.instagram.com/mullacosupermarket/</t>
        </is>
      </c>
      <c r="R10" s="5" t="inlineStr"/>
      <c r="S10" s="5" t="inlineStr"/>
      <c r="T10" s="5" t="inlineStr"/>
      <c r="U10" s="5" t="inlineStr"/>
      <c r="V10" s="5" t="inlineStr">
        <is>
          <t>Medium</t>
        </is>
      </c>
      <c r="W10" s="5" t="inlineStr">
        <is>
          <t>Multi-site retailer; Relevant category; Active website; Social presence</t>
        </is>
      </c>
      <c r="X10" s="5" t="inlineStr">
        <is>
          <t>Verified directory</t>
        </is>
      </c>
      <c r="Y10" s="5" t="inlineStr">
        <is>
          <t>Website Found</t>
        </is>
      </c>
      <c r="Z10" s="5" t="inlineStr">
        <is>
          <t>Medium</t>
        </is>
      </c>
      <c r="AA10" s="5" t="inlineStr">
        <is>
          <t>Requires Verification</t>
        </is>
      </c>
      <c r="AB10" s="5" t="inlineStr">
        <is>
          <t>https://mullaco.co.uk/contact-us/</t>
        </is>
      </c>
    </row>
    <row r="11">
      <c r="A11" s="10" t="inlineStr">
        <is>
          <t>WY-0021</t>
        </is>
      </c>
      <c r="B11" s="10" t="inlineStr">
        <is>
          <t>MULLACO-03</t>
        </is>
      </c>
      <c r="C11" s="10" t="inlineStr">
        <is>
          <t>Mullaco</t>
        </is>
      </c>
      <c r="D11" s="10" t="inlineStr">
        <is>
          <t>Mullaco Supermarket (Dewsbury)</t>
        </is>
      </c>
      <c r="E11" s="10" t="inlineStr">
        <is>
          <t>Independent Supermarket</t>
        </is>
      </c>
      <c r="F11" s="10" t="inlineStr">
        <is>
          <t>Asian and continental world foods supermarket</t>
        </is>
      </c>
      <c r="G11" s="10" t="inlineStr">
        <is>
          <t>Regional Chain</t>
        </is>
      </c>
      <c r="H11" s="10" t="inlineStr">
        <is>
          <t>3</t>
        </is>
      </c>
      <c r="I11" s="10" t="inlineStr">
        <is>
          <t>Mullaco Retail Park, Slaithwaite Road</t>
        </is>
      </c>
      <c r="J11" s="10" t="inlineStr">
        <is>
          <t>Dewsbury</t>
        </is>
      </c>
      <c r="K11" s="10" t="inlineStr">
        <is>
          <t>WF12 0AA</t>
        </is>
      </c>
      <c r="L11" s="10" t="inlineStr">
        <is>
          <t>01924 465909</t>
        </is>
      </c>
      <c r="M11" s="10" t="inlineStr"/>
      <c r="N11" s="10" t="inlineStr"/>
      <c r="O11" s="10" t="inlineStr">
        <is>
          <t>https://mullaco.co.uk/</t>
        </is>
      </c>
      <c r="P11" s="10" t="inlineStr">
        <is>
          <t>https://www.facebook.com/mullaco.supermarket/</t>
        </is>
      </c>
      <c r="Q11" s="10" t="inlineStr">
        <is>
          <t>https://www.instagram.com/mullacosupermarket/</t>
        </is>
      </c>
      <c r="R11" s="10" t="inlineStr"/>
      <c r="S11" s="10" t="inlineStr"/>
      <c r="T11" s="10" t="inlineStr">
        <is>
          <t>06629345</t>
        </is>
      </c>
      <c r="U11" s="10" t="inlineStr"/>
      <c r="V11" s="10" t="inlineStr">
        <is>
          <t>Medium</t>
        </is>
      </c>
      <c r="W11" s="10" t="inlineStr">
        <is>
          <t>Multi-site retailer; Relevant category; Active website; Social presence</t>
        </is>
      </c>
      <c r="X11" s="10" t="inlineStr">
        <is>
          <t>Verified directory</t>
        </is>
      </c>
      <c r="Y11" s="10" t="inlineStr">
        <is>
          <t>Website Found</t>
        </is>
      </c>
      <c r="Z11" s="10" t="inlineStr">
        <is>
          <t>Medium</t>
        </is>
      </c>
      <c r="AA11" s="10" t="inlineStr">
        <is>
          <t>Requires Verification</t>
        </is>
      </c>
      <c r="AB11" s="10" t="inlineStr">
        <is>
          <t>https://mullaco.co.uk/contact-us/</t>
        </is>
      </c>
    </row>
    <row r="12">
      <c r="A12" s="5" t="inlineStr">
        <is>
          <t>WY-0026</t>
        </is>
      </c>
      <c r="B12" s="5" t="inlineStr">
        <is>
          <t>SINGKEEFOO-01</t>
        </is>
      </c>
      <c r="C12" s="5" t="inlineStr">
        <is>
          <t>Sing Kee Foods (Sing-Ying Group)</t>
        </is>
      </c>
      <c r="D12" s="5" t="inlineStr">
        <is>
          <t>Sing Kee Foods (Sheepscar)</t>
        </is>
      </c>
      <c r="E12" s="5" t="inlineStr">
        <is>
          <t>Independent Supermarket</t>
        </is>
      </c>
      <c r="F12" s="5" t="inlineStr">
        <is>
          <t>Chinese / Oriental supermarket and catering supplier</t>
        </is>
      </c>
      <c r="G12" s="5" t="inlineStr">
        <is>
          <t>Multi-Site Independent</t>
        </is>
      </c>
      <c r="H12" s="5" t="inlineStr">
        <is>
          <t>2</t>
        </is>
      </c>
      <c r="I12" s="5" t="inlineStr">
        <is>
          <t>Sing Yang Building, 30-36 Cross Stamford Street</t>
        </is>
      </c>
      <c r="J12" s="5" t="inlineStr">
        <is>
          <t>Leeds</t>
        </is>
      </c>
      <c r="K12" s="5" t="inlineStr">
        <is>
          <t>LS7 1BA</t>
        </is>
      </c>
      <c r="L12" s="5" t="inlineStr">
        <is>
          <t>0113 898 0168</t>
        </is>
      </c>
      <c r="M12" s="5" t="inlineStr"/>
      <c r="N12" s="5" t="inlineStr">
        <is>
          <t>wholesale@singkeefoods.co.uk</t>
        </is>
      </c>
      <c r="O12" s="5" t="inlineStr">
        <is>
          <t>https://singkeefoods.co.uk/gb/</t>
        </is>
      </c>
      <c r="P12" s="5" t="inlineStr">
        <is>
          <t>https://www.facebook.com/singkee.chinesesupermarket/</t>
        </is>
      </c>
      <c r="Q12" s="5" t="inlineStr"/>
      <c r="R12" s="5" t="inlineStr"/>
      <c r="S12" s="5" t="inlineStr"/>
      <c r="T12" s="5" t="inlineStr">
        <is>
          <t>04025779</t>
        </is>
      </c>
      <c r="U12" s="5" t="inlineStr"/>
      <c r="V12" s="5" t="inlineStr">
        <is>
          <t>High</t>
        </is>
      </c>
      <c r="W12" s="5" t="inlineStr">
        <is>
          <t>Multi-site retailer; Independent retailer; Relevant category; Public trade/sales contact; Active website; Social presence</t>
        </is>
      </c>
      <c r="X12" s="5" t="inlineStr">
        <is>
          <t>Verified directory</t>
        </is>
      </c>
      <c r="Y12" s="5" t="inlineStr">
        <is>
          <t>Website Found</t>
        </is>
      </c>
      <c r="Z12" s="5" t="inlineStr">
        <is>
          <t>Medium</t>
        </is>
      </c>
      <c r="AA12" s="5" t="inlineStr">
        <is>
          <t>Partially Verified</t>
        </is>
      </c>
      <c r="AB12" s="5" t="inlineStr">
        <is>
          <t>https://singkeefoods.com/gb/contact-us</t>
        </is>
      </c>
    </row>
    <row r="13">
      <c r="A13" s="10" t="inlineStr">
        <is>
          <t>WY-0027</t>
        </is>
      </c>
      <c r="B13" s="10" t="inlineStr">
        <is>
          <t>SINGKEEFOO-02</t>
        </is>
      </c>
      <c r="C13" s="10" t="inlineStr">
        <is>
          <t>Sing Kee Foods (Sing-Ying Group)</t>
        </is>
      </c>
      <c r="D13" s="10" t="inlineStr">
        <is>
          <t>Sing Kee Oriental Supermarket (Merrion Centre)</t>
        </is>
      </c>
      <c r="E13" s="10" t="inlineStr">
        <is>
          <t>Independent Supermarket</t>
        </is>
      </c>
      <c r="F13" s="10" t="inlineStr">
        <is>
          <t>Chinese / Oriental supermarket</t>
        </is>
      </c>
      <c r="G13" s="10" t="inlineStr">
        <is>
          <t>Multi-Site Independent</t>
        </is>
      </c>
      <c r="H13" s="10" t="inlineStr">
        <is>
          <t>2</t>
        </is>
      </c>
      <c r="I13" s="10" t="inlineStr">
        <is>
          <t>26-28 Woodhouse Lane, Merrion Centre</t>
        </is>
      </c>
      <c r="J13" s="10" t="inlineStr">
        <is>
          <t>Leeds</t>
        </is>
      </c>
      <c r="K13" s="10" t="inlineStr">
        <is>
          <t>LS2 8LX</t>
        </is>
      </c>
      <c r="L13" s="10" t="inlineStr"/>
      <c r="M13" s="10" t="inlineStr"/>
      <c r="N13" s="10" t="inlineStr"/>
      <c r="O13" s="10" t="inlineStr">
        <is>
          <t>https://singkeefoods.co.uk/gb/</t>
        </is>
      </c>
      <c r="P13" s="10" t="inlineStr">
        <is>
          <t>https://www.facebook.com/SingKeeLeedsCentre/</t>
        </is>
      </c>
      <c r="Q13" s="10" t="inlineStr"/>
      <c r="R13" s="10" t="inlineStr"/>
      <c r="S13" s="10" t="inlineStr"/>
      <c r="T13" s="10" t="inlineStr"/>
      <c r="U13" s="10" t="inlineStr"/>
      <c r="V13" s="10" t="inlineStr">
        <is>
          <t>High</t>
        </is>
      </c>
      <c r="W13" s="10" t="inlineStr">
        <is>
          <t>Multi-site retailer; Independent retailer; Relevant category; Active website; Social presence</t>
        </is>
      </c>
      <c r="X13" s="10" t="inlineStr">
        <is>
          <t>Not Found</t>
        </is>
      </c>
      <c r="Y13" s="10" t="inlineStr">
        <is>
          <t>Website Found</t>
        </is>
      </c>
      <c r="Z13" s="10" t="inlineStr">
        <is>
          <t>Medium</t>
        </is>
      </c>
      <c r="AA13" s="10" t="inlineStr">
        <is>
          <t>Requires Verification</t>
        </is>
      </c>
      <c r="AB13" s="10" t="inlineStr">
        <is>
          <t>https://singkeefoods.co.uk/gb/stores</t>
        </is>
      </c>
    </row>
    <row r="14">
      <c r="A14" s="5" t="inlineStr">
        <is>
          <t>WY-0029</t>
        </is>
      </c>
      <c r="B14" s="5" t="inlineStr">
        <is>
          <t>TBCASHCARR-01</t>
        </is>
      </c>
      <c r="C14" s="5" t="inlineStr">
        <is>
          <t>TB Cash &amp; Carry</t>
        </is>
      </c>
      <c r="D14" s="5" t="inlineStr">
        <is>
          <t>TB Cash &amp; Carry (Bradford)</t>
        </is>
      </c>
      <c r="E14" s="5" t="inlineStr">
        <is>
          <t>Cash &amp; Carry</t>
        </is>
      </c>
      <c r="F14" s="5" t="inlineStr">
        <is>
          <t>Confectionery, soft drinks, crisps &amp; snacks wholesaler</t>
        </is>
      </c>
      <c r="G14" s="5" t="inlineStr">
        <is>
          <t>Multi-Site Independent</t>
        </is>
      </c>
      <c r="H14" s="5" t="inlineStr">
        <is>
          <t>2</t>
        </is>
      </c>
      <c r="I14" s="5" t="inlineStr">
        <is>
          <t>91 Legrams Lane</t>
        </is>
      </c>
      <c r="J14" s="5" t="inlineStr">
        <is>
          <t>Bradford</t>
        </is>
      </c>
      <c r="K14" s="5" t="inlineStr">
        <is>
          <t>BD7 1NH</t>
        </is>
      </c>
      <c r="L14" s="5" t="inlineStr">
        <is>
          <t>01274 740555</t>
        </is>
      </c>
      <c r="M14" s="5" t="inlineStr">
        <is>
          <t>info@tbcashandcarry.co.uk</t>
        </is>
      </c>
      <c r="N14" s="5" t="inlineStr"/>
      <c r="O14" s="5" t="inlineStr">
        <is>
          <t>https://tbcashandcarry.co.uk/</t>
        </is>
      </c>
      <c r="P14" s="5" t="inlineStr">
        <is>
          <t>https://www.facebook.com/p/TB-Cash-Carry-100077147298501/</t>
        </is>
      </c>
      <c r="Q14" s="5" t="inlineStr"/>
      <c r="R14" s="5" t="inlineStr"/>
      <c r="S14" s="5" t="inlineStr"/>
      <c r="T14" s="5" t="inlineStr"/>
      <c r="U14" s="5" t="inlineStr"/>
      <c r="V14" s="5" t="inlineStr">
        <is>
          <t>High</t>
        </is>
      </c>
      <c r="W14" s="5" t="inlineStr">
        <is>
          <t>Multi-site retailer; Independent retailer; Core relevant category; Public email available; Active website; Social presence</t>
        </is>
      </c>
      <c r="X14" s="5" t="inlineStr">
        <is>
          <t>Verified directory</t>
        </is>
      </c>
      <c r="Y14" s="5" t="inlineStr">
        <is>
          <t>Unverified</t>
        </is>
      </c>
      <c r="Z14" s="5" t="inlineStr">
        <is>
          <t>Medium</t>
        </is>
      </c>
      <c r="AA14" s="5" t="inlineStr">
        <is>
          <t>Verified (website + Companies House)</t>
        </is>
      </c>
      <c r="AB14" s="5" t="inlineStr">
        <is>
          <t>https://tbcashandcarry.co.uk/</t>
        </is>
      </c>
    </row>
    <row r="15">
      <c r="A15" s="10" t="inlineStr">
        <is>
          <t>WY-0030</t>
        </is>
      </c>
      <c r="B15" s="10" t="inlineStr">
        <is>
          <t>TBCASHCARR-02</t>
        </is>
      </c>
      <c r="C15" s="10" t="inlineStr">
        <is>
          <t>TB Cash &amp; Carry</t>
        </is>
      </c>
      <c r="D15" s="10" t="inlineStr">
        <is>
          <t>TB Cash &amp; Carry (Leeds)</t>
        </is>
      </c>
      <c r="E15" s="10" t="inlineStr">
        <is>
          <t>Cash &amp; Carry</t>
        </is>
      </c>
      <c r="F15" s="10" t="inlineStr">
        <is>
          <t>Confectionery, soft drinks, crisps &amp; snacks wholesaler</t>
        </is>
      </c>
      <c r="G15" s="10" t="inlineStr">
        <is>
          <t>Multi-Site Independent</t>
        </is>
      </c>
      <c r="H15" s="10" t="inlineStr">
        <is>
          <t>2</t>
        </is>
      </c>
      <c r="I15" s="10" t="inlineStr">
        <is>
          <t>90 Gelderd Road</t>
        </is>
      </c>
      <c r="J15" s="10" t="inlineStr">
        <is>
          <t>Leeds</t>
        </is>
      </c>
      <c r="K15" s="10" t="inlineStr">
        <is>
          <t>LS12 6HD</t>
        </is>
      </c>
      <c r="L15" s="10" t="inlineStr">
        <is>
          <t>0113 245 1454</t>
        </is>
      </c>
      <c r="M15" s="10" t="inlineStr">
        <is>
          <t>info@tbcashandcarry.co.uk</t>
        </is>
      </c>
      <c r="N15" s="10" t="inlineStr"/>
      <c r="O15" s="10" t="inlineStr">
        <is>
          <t>https://tbcashandcarry.co.uk/</t>
        </is>
      </c>
      <c r="P15" s="10" t="inlineStr">
        <is>
          <t>https://www.facebook.com/p/TB-Cash-Carry-100064390671766/</t>
        </is>
      </c>
      <c r="Q15" s="10" t="inlineStr"/>
      <c r="R15" s="10" t="inlineStr"/>
      <c r="S15" s="10" t="inlineStr"/>
      <c r="T15" s="10" t="inlineStr"/>
      <c r="U15" s="10" t="inlineStr"/>
      <c r="V15" s="10" t="inlineStr">
        <is>
          <t>High</t>
        </is>
      </c>
      <c r="W15" s="10" t="inlineStr">
        <is>
          <t>Multi-site retailer; Independent retailer; Core relevant category; Public email available; Active website; Social presence</t>
        </is>
      </c>
      <c r="X15" s="10" t="inlineStr">
        <is>
          <t>Verified directory</t>
        </is>
      </c>
      <c r="Y15" s="10" t="inlineStr">
        <is>
          <t>Unverified</t>
        </is>
      </c>
      <c r="Z15" s="10" t="inlineStr">
        <is>
          <t>Medium</t>
        </is>
      </c>
      <c r="AA15" s="10" t="inlineStr">
        <is>
          <t>Verified (website + Companies House)</t>
        </is>
      </c>
      <c r="AB15" s="10" t="inlineStr">
        <is>
          <t>https://tbcashandcarry.co.uk/</t>
        </is>
      </c>
    </row>
    <row r="16">
      <c r="A16" s="5" t="inlineStr">
        <is>
          <t>WY-0044</t>
        </is>
      </c>
      <c r="B16" s="5" t="inlineStr">
        <is>
          <t>WORLDWIDEF-01</t>
        </is>
      </c>
      <c r="C16" s="5" t="inlineStr">
        <is>
          <t>Worldwide Foods Group</t>
        </is>
      </c>
      <c r="D16" s="5" t="inlineStr">
        <is>
          <t>Worldwide Foods Bradford (Great Horton Road)</t>
        </is>
      </c>
      <c r="E16" s="5" t="inlineStr">
        <is>
          <t>Independent Supermarket</t>
        </is>
      </c>
      <c r="F16" s="5" t="inlineStr">
        <is>
          <t>Halal / world food supermarket</t>
        </is>
      </c>
      <c r="G16" s="5" t="inlineStr">
        <is>
          <t>Regional Chain</t>
        </is>
      </c>
      <c r="H16" s="5" t="inlineStr"/>
      <c r="I16" s="5" t="inlineStr">
        <is>
          <t>607 Great Horton Road</t>
        </is>
      </c>
      <c r="J16" s="5" t="inlineStr">
        <is>
          <t>Bradford</t>
        </is>
      </c>
      <c r="K16" s="5" t="inlineStr">
        <is>
          <t>BD7 4ED</t>
        </is>
      </c>
      <c r="L16" s="5" t="inlineStr">
        <is>
          <t>01274 572661</t>
        </is>
      </c>
      <c r="M16" s="5" t="inlineStr">
        <is>
          <t>info@worldwidefoods.co.uk</t>
        </is>
      </c>
      <c r="N16" s="5" t="inlineStr"/>
      <c r="O16" s="5" t="inlineStr">
        <is>
          <t>https://worldwidefoods.co.uk/</t>
        </is>
      </c>
      <c r="P16" s="5" t="inlineStr">
        <is>
          <t>https://www.facebook.com/worldwidefoods/</t>
        </is>
      </c>
      <c r="Q16" s="5" t="inlineStr"/>
      <c r="R16" s="5" t="inlineStr"/>
      <c r="S16" s="5" t="inlineStr"/>
      <c r="T16" s="5" t="inlineStr">
        <is>
          <t>04179487</t>
        </is>
      </c>
      <c r="U16" s="5" t="inlineStr"/>
      <c r="V16" s="5" t="inlineStr">
        <is>
          <t>High</t>
        </is>
      </c>
      <c r="W16" s="5" t="inlineStr">
        <is>
          <t>Multi-site retailer; Relevant category; Public email available; Active website; Social presence</t>
        </is>
      </c>
      <c r="X16" s="5" t="inlineStr">
        <is>
          <t>Verified directory</t>
        </is>
      </c>
      <c r="Y16" s="5" t="inlineStr">
        <is>
          <t>Website Found</t>
        </is>
      </c>
      <c r="Z16" s="5" t="inlineStr">
        <is>
          <t>Medium</t>
        </is>
      </c>
      <c r="AA16" s="5" t="inlineStr">
        <is>
          <t>Partially Verified</t>
        </is>
      </c>
      <c r="AB16" s="5" t="inlineStr">
        <is>
          <t>https://worldwidefoods.co.uk/worldwide-bradford-great-horton-road/</t>
        </is>
      </c>
    </row>
    <row r="17">
      <c r="A17" s="10" t="inlineStr">
        <is>
          <t>WY-0045</t>
        </is>
      </c>
      <c r="B17" s="10" t="inlineStr">
        <is>
          <t>WORLDWIDEF-02</t>
        </is>
      </c>
      <c r="C17" s="10" t="inlineStr">
        <is>
          <t>Worldwide Foods Group</t>
        </is>
      </c>
      <c r="D17" s="10" t="inlineStr">
        <is>
          <t>Worldwide Foods Bradford (Leeds Road)</t>
        </is>
      </c>
      <c r="E17" s="10" t="inlineStr">
        <is>
          <t>Independent Supermarket</t>
        </is>
      </c>
      <c r="F17" s="10" t="inlineStr">
        <is>
          <t>Halal / world food supermarket (24 hours)</t>
        </is>
      </c>
      <c r="G17" s="10" t="inlineStr">
        <is>
          <t>Regional Chain</t>
        </is>
      </c>
      <c r="H17" s="10" t="inlineStr"/>
      <c r="I17" s="10" t="inlineStr">
        <is>
          <t>1001 Leeds Road</t>
        </is>
      </c>
      <c r="J17" s="10" t="inlineStr">
        <is>
          <t>Bradford</t>
        </is>
      </c>
      <c r="K17" s="10" t="inlineStr">
        <is>
          <t>BD3 7NH</t>
        </is>
      </c>
      <c r="L17" s="10" t="inlineStr">
        <is>
          <t>01274 656638</t>
        </is>
      </c>
      <c r="M17" s="10" t="inlineStr"/>
      <c r="N17" s="10" t="inlineStr"/>
      <c r="O17" s="10" t="inlineStr">
        <is>
          <t>https://worldwidefoods.co.uk/</t>
        </is>
      </c>
      <c r="P17" s="10" t="inlineStr">
        <is>
          <t>https://www.facebook.com/worldwidefoods/</t>
        </is>
      </c>
      <c r="Q17" s="10" t="inlineStr"/>
      <c r="R17" s="10" t="inlineStr"/>
      <c r="S17" s="10" t="inlineStr"/>
      <c r="T17" s="10" t="inlineStr">
        <is>
          <t>04179487</t>
        </is>
      </c>
      <c r="U17" s="10" t="inlineStr"/>
      <c r="V17" s="10" t="inlineStr">
        <is>
          <t>Medium</t>
        </is>
      </c>
      <c r="W17" s="10" t="inlineStr">
        <is>
          <t>Multi-site retailer; Relevant category; Active website; Social presence</t>
        </is>
      </c>
      <c r="X17" s="10" t="inlineStr">
        <is>
          <t>Verified directory</t>
        </is>
      </c>
      <c r="Y17" s="10" t="inlineStr">
        <is>
          <t>Website Found</t>
        </is>
      </c>
      <c r="Z17" s="10" t="inlineStr">
        <is>
          <t>Medium</t>
        </is>
      </c>
      <c r="AA17" s="10" t="inlineStr">
        <is>
          <t>Partially Verified</t>
        </is>
      </c>
      <c r="AB17" s="10" t="inlineStr">
        <is>
          <t>https://worldwidefoods.co.uk/worldwide-bradford-leeds-road/</t>
        </is>
      </c>
    </row>
    <row r="18">
      <c r="A18" s="5" t="inlineStr">
        <is>
          <t>WY-0046</t>
        </is>
      </c>
      <c r="B18" s="5" t="inlineStr">
        <is>
          <t>WORLDWIDEF-03</t>
        </is>
      </c>
      <c r="C18" s="5" t="inlineStr">
        <is>
          <t>Worldwide Foods Group</t>
        </is>
      </c>
      <c r="D18" s="5" t="inlineStr">
        <is>
          <t>Worldwide Foods Bradford (Woodhead Road)</t>
        </is>
      </c>
      <c r="E18" s="5" t="inlineStr">
        <is>
          <t>Independent Supermarket</t>
        </is>
      </c>
      <c r="F18" s="5" t="inlineStr">
        <is>
          <t>Halal / world food supermarket</t>
        </is>
      </c>
      <c r="G18" s="5" t="inlineStr">
        <is>
          <t>Regional Chain</t>
        </is>
      </c>
      <c r="H18" s="5" t="inlineStr"/>
      <c r="I18" s="5" t="inlineStr">
        <is>
          <t>Woodhead Road</t>
        </is>
      </c>
      <c r="J18" s="5" t="inlineStr">
        <is>
          <t>Bradford</t>
        </is>
      </c>
      <c r="K18" s="5" t="inlineStr"/>
      <c r="L18" s="5" t="inlineStr"/>
      <c r="M18" s="5" t="inlineStr"/>
      <c r="N18" s="5" t="inlineStr"/>
      <c r="O18" s="5" t="inlineStr">
        <is>
          <t>https://worldwidefoods.co.uk/</t>
        </is>
      </c>
      <c r="P18" s="5" t="inlineStr">
        <is>
          <t>https://www.facebook.com/worldwidefoods/</t>
        </is>
      </c>
      <c r="Q18" s="5" t="inlineStr"/>
      <c r="R18" s="5" t="inlineStr"/>
      <c r="S18" s="5" t="inlineStr"/>
      <c r="T18" s="5" t="inlineStr">
        <is>
          <t>04179487</t>
        </is>
      </c>
      <c r="U18" s="5" t="inlineStr"/>
      <c r="V18" s="5" t="inlineStr">
        <is>
          <t>Medium</t>
        </is>
      </c>
      <c r="W18" s="5" t="inlineStr">
        <is>
          <t>Multi-site retailer; Relevant category; Active website; Social presence</t>
        </is>
      </c>
      <c r="X18" s="5" t="inlineStr">
        <is>
          <t>Not Found</t>
        </is>
      </c>
      <c r="Y18" s="5" t="inlineStr">
        <is>
          <t>Website Found</t>
        </is>
      </c>
      <c r="Z18" s="5" t="inlineStr">
        <is>
          <t>Low</t>
        </is>
      </c>
      <c r="AA18" s="5" t="inlineStr">
        <is>
          <t>Partially Verified</t>
        </is>
      </c>
      <c r="AB18" s="5" t="inlineStr">
        <is>
          <t>https://worldwidefoods.co.uk/locations/</t>
        </is>
      </c>
    </row>
    <row r="19">
      <c r="A19" s="10" t="inlineStr">
        <is>
          <t>WY-0049</t>
        </is>
      </c>
      <c r="B19" s="10" t="inlineStr">
        <is>
          <t>WY-0049-01</t>
        </is>
      </c>
      <c r="C19" s="10" t="inlineStr"/>
      <c r="D19" s="10" t="inlineStr">
        <is>
          <t>Al-Falah Supermarket</t>
        </is>
      </c>
      <c r="E19" s="10" t="inlineStr">
        <is>
          <t>Independent Supermarket</t>
        </is>
      </c>
      <c r="F19" s="10" t="inlineStr">
        <is>
          <t>Halal / international supermarket</t>
        </is>
      </c>
      <c r="G19" s="10" t="inlineStr">
        <is>
          <t>Independent</t>
        </is>
      </c>
      <c r="H19" s="10" t="inlineStr">
        <is>
          <t>1</t>
        </is>
      </c>
      <c r="I19" s="10" t="inlineStr">
        <is>
          <t>150 Manningham Lane</t>
        </is>
      </c>
      <c r="J19" s="10" t="inlineStr">
        <is>
          <t>Bradford</t>
        </is>
      </c>
      <c r="K19" s="10" t="inlineStr"/>
      <c r="L19" s="10" t="inlineStr"/>
      <c r="M19" s="10" t="inlineStr"/>
      <c r="N19" s="10" t="inlineStr"/>
      <c r="O19" s="10" t="inlineStr"/>
      <c r="P19" s="10" t="inlineStr">
        <is>
          <t>https://www.facebook.com/alfalahbradford/</t>
        </is>
      </c>
      <c r="Q19" s="10" t="inlineStr"/>
      <c r="R19" s="10" t="inlineStr"/>
      <c r="S19" s="10" t="inlineStr"/>
      <c r="T19" s="10" t="inlineStr"/>
      <c r="U19" s="10" t="inlineStr"/>
      <c r="V19" s="10" t="inlineStr">
        <is>
          <t>Medium</t>
        </is>
      </c>
      <c r="W19" s="10" t="inlineStr">
        <is>
          <t>Independent retailer; Relevant category; Social presence</t>
        </is>
      </c>
      <c r="X19" s="10" t="inlineStr">
        <is>
          <t>Not Found</t>
        </is>
      </c>
      <c r="Y19" s="10" t="inlineStr">
        <is>
          <t>Not Found</t>
        </is>
      </c>
      <c r="Z19" s="10" t="inlineStr">
        <is>
          <t>Medium</t>
        </is>
      </c>
      <c r="AA19" s="10" t="inlineStr">
        <is>
          <t>Requires Verification</t>
        </is>
      </c>
      <c r="AB19" s="10" t="inlineStr">
        <is>
          <t>https://www.facebook.com/alfalahbradford/</t>
        </is>
      </c>
    </row>
    <row r="20">
      <c r="A20" s="5" t="inlineStr">
        <is>
          <t>WY-0052</t>
        </is>
      </c>
      <c r="B20" s="5" t="inlineStr">
        <is>
          <t>WY-0052-01</t>
        </is>
      </c>
      <c r="C20" s="5" t="inlineStr"/>
      <c r="D20" s="5" t="inlineStr">
        <is>
          <t>Asia Foods</t>
        </is>
      </c>
      <c r="E20" s="5" t="inlineStr">
        <is>
          <t>Independent Supermarket</t>
        </is>
      </c>
      <c r="F20" s="5" t="inlineStr">
        <is>
          <t>Asian grocery and halal meat store</t>
        </is>
      </c>
      <c r="G20" s="5" t="inlineStr">
        <is>
          <t>Independent</t>
        </is>
      </c>
      <c r="H20" s="5" t="inlineStr">
        <is>
          <t>1</t>
        </is>
      </c>
      <c r="I20" s="5" t="inlineStr">
        <is>
          <t>97-99 Yews Hill Road</t>
        </is>
      </c>
      <c r="J20" s="5" t="inlineStr">
        <is>
          <t>Huddersfield</t>
        </is>
      </c>
      <c r="K20" s="5" t="inlineStr">
        <is>
          <t>HD1 3SG</t>
        </is>
      </c>
      <c r="L20" s="5" t="inlineStr">
        <is>
          <t>01484 514828</t>
        </is>
      </c>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Verified directory</t>
        </is>
      </c>
      <c r="Y20" s="5" t="inlineStr">
        <is>
          <t>Not Found</t>
        </is>
      </c>
      <c r="Z20" s="5" t="inlineStr">
        <is>
          <t>Medium</t>
        </is>
      </c>
      <c r="AA20" s="5" t="inlineStr">
        <is>
          <t>Requires Verification</t>
        </is>
      </c>
      <c r="AB20" s="5" t="inlineStr">
        <is>
          <t>https://asia-foods-huddersfield.edan.io/</t>
        </is>
      </c>
    </row>
    <row r="21">
      <c r="A21" s="10" t="inlineStr">
        <is>
          <t>WY-0055</t>
        </is>
      </c>
      <c r="B21" s="10" t="inlineStr">
        <is>
          <t>WY-0055-01</t>
        </is>
      </c>
      <c r="C21" s="10" t="inlineStr"/>
      <c r="D21" s="10" t="inlineStr">
        <is>
          <t>BGC Wholesale</t>
        </is>
      </c>
      <c r="E21" s="10" t="inlineStr">
        <is>
          <t>Cash &amp; Carry</t>
        </is>
      </c>
      <c r="F21" s="10" t="inlineStr">
        <is>
          <t>Greeting cards, gifts &amp; retail sundries wholesaler</t>
        </is>
      </c>
      <c r="G21" s="10" t="inlineStr">
        <is>
          <t>Independent</t>
        </is>
      </c>
      <c r="H21" s="10" t="inlineStr">
        <is>
          <t>1</t>
        </is>
      </c>
      <c r="I21" s="10" t="inlineStr">
        <is>
          <t>12 Roydsdale Way</t>
        </is>
      </c>
      <c r="J21" s="10" t="inlineStr">
        <is>
          <t>Bradford</t>
        </is>
      </c>
      <c r="K21" s="10" t="inlineStr">
        <is>
          <t>BD4 6SE</t>
        </is>
      </c>
      <c r="L21" s="10" t="inlineStr">
        <is>
          <t>01274 651059</t>
        </is>
      </c>
      <c r="M21" s="10" t="inlineStr"/>
      <c r="N21" s="10" t="inlineStr"/>
      <c r="O21" s="10" t="inlineStr">
        <is>
          <t>https://bgcwholesale.com/locations/bradford</t>
        </is>
      </c>
      <c r="P21" s="10" t="inlineStr"/>
      <c r="Q21" s="10" t="inlineStr"/>
      <c r="R21" s="10" t="inlineStr"/>
      <c r="S21" s="10" t="inlineStr"/>
      <c r="T21" s="10" t="inlineStr">
        <is>
          <t>12428420</t>
        </is>
      </c>
      <c r="U21" s="10" t="inlineStr"/>
      <c r="V21" s="10" t="inlineStr">
        <is>
          <t>Medium</t>
        </is>
      </c>
      <c r="W21" s="10" t="inlineStr">
        <is>
          <t>Independent retailer; Core relevant category; Active website</t>
        </is>
      </c>
      <c r="X21" s="10" t="inlineStr">
        <is>
          <t>Verified directory</t>
        </is>
      </c>
      <c r="Y21" s="10" t="inlineStr">
        <is>
          <t>Website Found</t>
        </is>
      </c>
      <c r="Z21" s="10" t="inlineStr">
        <is>
          <t>Medium</t>
        </is>
      </c>
      <c r="AA21" s="10" t="inlineStr">
        <is>
          <t>Partially Verified</t>
        </is>
      </c>
      <c r="AB21" s="10" t="inlineStr">
        <is>
          <t>https://find-and-update.company-information.service.gov.uk/company/12428420/officers</t>
        </is>
      </c>
    </row>
    <row r="22">
      <c r="A22" s="5" t="inlineStr">
        <is>
          <t>WY-0059</t>
        </is>
      </c>
      <c r="B22" s="5" t="inlineStr">
        <is>
          <t>WY-0059-01</t>
        </is>
      </c>
      <c r="C22" s="5" t="inlineStr"/>
      <c r="D22" s="5" t="inlineStr">
        <is>
          <t>Barry's Cash &amp; Carry</t>
        </is>
      </c>
      <c r="E22" s="5" t="inlineStr">
        <is>
          <t>Cash &amp; Carry</t>
        </is>
      </c>
      <c r="F22" s="5" t="inlineStr">
        <is>
          <t>Clearance food and drink cash &amp; carry (open to trade and public)</t>
        </is>
      </c>
      <c r="G22" s="5" t="inlineStr">
        <is>
          <t>Independent</t>
        </is>
      </c>
      <c r="H22" s="5" t="inlineStr">
        <is>
          <t>1</t>
        </is>
      </c>
      <c r="I22" s="5" t="inlineStr">
        <is>
          <t>163 King Cross Road</t>
        </is>
      </c>
      <c r="J22" s="5" t="inlineStr">
        <is>
          <t>Halifax</t>
        </is>
      </c>
      <c r="K22" s="5" t="inlineStr">
        <is>
          <t>HX1 3LN</t>
        </is>
      </c>
      <c r="L22" s="5" t="inlineStr">
        <is>
          <t>01422 646060</t>
        </is>
      </c>
      <c r="M22" s="5" t="inlineStr">
        <is>
          <t>info@cutpricebarrys.co.uk</t>
        </is>
      </c>
      <c r="N22" s="5" t="inlineStr"/>
      <c r="O22" s="5" t="inlineStr">
        <is>
          <t>http://www.cutpricebarrys.co.uk/</t>
        </is>
      </c>
      <c r="P22" s="5" t="inlineStr">
        <is>
          <t>https://www.facebook.com/p/Barrys-Cash-Carry-61550239916577/</t>
        </is>
      </c>
      <c r="Q22" s="5" t="inlineStr">
        <is>
          <t>https://www.instagram.com/barryscashandcarry/</t>
        </is>
      </c>
      <c r="R22" s="5" t="inlineStr"/>
      <c r="S22" s="5" t="inlineStr"/>
      <c r="T22" s="5" t="inlineStr">
        <is>
          <t>11123434</t>
        </is>
      </c>
      <c r="U22" s="5" t="inlineStr">
        <is>
          <t>Active - Active proposal to strike off</t>
        </is>
      </c>
      <c r="V22" s="5" t="inlineStr">
        <is>
          <t>High</t>
        </is>
      </c>
      <c r="W22" s="5" t="inlineStr">
        <is>
          <t>Independent retailer; Core relevant category; Public email available; Active website; Social presence</t>
        </is>
      </c>
      <c r="X22" s="5" t="inlineStr">
        <is>
          <t>Verified directory</t>
        </is>
      </c>
      <c r="Y22" s="5" t="inlineStr">
        <is>
          <t>Unverified</t>
        </is>
      </c>
      <c r="Z22" s="5" t="inlineStr">
        <is>
          <t>Medium</t>
        </is>
      </c>
      <c r="AA22" s="5" t="inlineStr">
        <is>
          <t>Partially Verified</t>
        </is>
      </c>
      <c r="AB22" s="5" t="inlineStr">
        <is>
          <t>https://cutpricebarrys.co.uk/barrys-cash-and-carry/</t>
        </is>
      </c>
    </row>
    <row r="23">
      <c r="A23" s="10" t="inlineStr">
        <is>
          <t>WY-0063</t>
        </is>
      </c>
      <c r="B23" s="10" t="inlineStr">
        <is>
          <t>WY-0063-01</t>
        </is>
      </c>
      <c r="C23" s="10" t="inlineStr"/>
      <c r="D23" s="10" t="inlineStr">
        <is>
          <t>Best Choice Wholesale</t>
        </is>
      </c>
      <c r="E23" s="10" t="inlineStr">
        <is>
          <t>Cash &amp; Carry</t>
        </is>
      </c>
      <c r="F23" s="10" t="inlineStr">
        <is>
          <t>General cash &amp; carry supplying convenience retailers</t>
        </is>
      </c>
      <c r="G23" s="10" t="inlineStr">
        <is>
          <t>Independent</t>
        </is>
      </c>
      <c r="H23" s="10" t="inlineStr">
        <is>
          <t>1</t>
        </is>
      </c>
      <c r="I23" s="10" t="inlineStr">
        <is>
          <t>Unit 5, Sheepscar House, Sheepscar Street South</t>
        </is>
      </c>
      <c r="J23" s="10" t="inlineStr">
        <is>
          <t>Leeds</t>
        </is>
      </c>
      <c r="K23" s="10" t="inlineStr">
        <is>
          <t>LS7 1AD</t>
        </is>
      </c>
      <c r="L23" s="10" t="inlineStr">
        <is>
          <t>0113 531 6345</t>
        </is>
      </c>
      <c r="M23" s="10" t="inlineStr">
        <is>
          <t>info@bestchoicewholesale.co.uk</t>
        </is>
      </c>
      <c r="N23" s="10" t="inlineStr"/>
      <c r="O23" s="10" t="inlineStr">
        <is>
          <t>https://www.bestchoicewholesale.co.uk/</t>
        </is>
      </c>
      <c r="P23" s="10" t="inlineStr"/>
      <c r="Q23" s="10" t="inlineStr"/>
      <c r="R23" s="10" t="inlineStr"/>
      <c r="S23" s="10" t="inlineStr"/>
      <c r="T23" s="10" t="inlineStr"/>
      <c r="U23" s="10" t="inlineStr"/>
      <c r="V23" s="10" t="inlineStr">
        <is>
          <t>High</t>
        </is>
      </c>
      <c r="W23" s="10" t="inlineStr">
        <is>
          <t>Independent retailer; Core relevant category; Public email available; Active website; Phone verified on official website</t>
        </is>
      </c>
      <c r="X23" s="10" t="inlineStr">
        <is>
          <t>Verified on official website</t>
        </is>
      </c>
      <c r="Y23" s="10" t="inlineStr">
        <is>
          <t>Publicly Listed</t>
        </is>
      </c>
      <c r="Z23" s="10" t="inlineStr">
        <is>
          <t>Medium</t>
        </is>
      </c>
      <c r="AA23" s="10" t="inlineStr">
        <is>
          <t>Requires Verification</t>
        </is>
      </c>
      <c r="AB23" s="10" t="inlineStr">
        <is>
          <t>https://www.bestchoicewholesale.co.uk/contact-us/</t>
        </is>
      </c>
    </row>
    <row r="24">
      <c r="A24" s="5" t="inlineStr">
        <is>
          <t>WY-0084</t>
        </is>
      </c>
      <c r="B24" s="5" t="inlineStr">
        <is>
          <t>WY-0084-01</t>
        </is>
      </c>
      <c r="C24" s="5" t="inlineStr"/>
      <c r="D24" s="5" t="inlineStr">
        <is>
          <t>FilFoods Filipino Store</t>
        </is>
      </c>
      <c r="E24" s="5" t="inlineStr">
        <is>
          <t>Independent Supermarket</t>
        </is>
      </c>
      <c r="F24" s="5" t="inlineStr">
        <is>
          <t>Filipino supermarket</t>
        </is>
      </c>
      <c r="G24" s="5" t="inlineStr">
        <is>
          <t>Independent</t>
        </is>
      </c>
      <c r="H24" s="5" t="inlineStr">
        <is>
          <t>1</t>
        </is>
      </c>
      <c r="I24" s="5" t="inlineStr">
        <is>
          <t>46b Harehills Road</t>
        </is>
      </c>
      <c r="J24" s="5" t="inlineStr">
        <is>
          <t>Leeds</t>
        </is>
      </c>
      <c r="K24" s="5" t="inlineStr">
        <is>
          <t>LS8 5PB</t>
        </is>
      </c>
      <c r="L24" s="5" t="inlineStr">
        <is>
          <t>0113 440 1031</t>
        </is>
      </c>
      <c r="M24" s="5" t="inlineStr"/>
      <c r="N24" s="5" t="inlineStr"/>
      <c r="O24" s="5" t="inlineStr"/>
      <c r="P24" s="5" t="inlineStr">
        <is>
          <t>https://www.facebook.com/FilFoods/</t>
        </is>
      </c>
      <c r="Q24" s="5" t="inlineStr"/>
      <c r="R24" s="5" t="inlineStr"/>
      <c r="S24" s="5" t="inlineStr"/>
      <c r="T24" s="5" t="inlineStr"/>
      <c r="U24" s="5" t="inlineStr"/>
      <c r="V24" s="5" t="inlineStr">
        <is>
          <t>Medium</t>
        </is>
      </c>
      <c r="W24" s="5" t="inlineStr">
        <is>
          <t>Independent retailer; Relevant category; Social presence</t>
        </is>
      </c>
      <c r="X24" s="5" t="inlineStr">
        <is>
          <t>Verified directory</t>
        </is>
      </c>
      <c r="Y24" s="5" t="inlineStr">
        <is>
          <t>Not Found</t>
        </is>
      </c>
      <c r="Z24" s="5" t="inlineStr">
        <is>
          <t>Medium</t>
        </is>
      </c>
      <c r="AA24" s="5" t="inlineStr">
        <is>
          <t>Requires Verification</t>
        </is>
      </c>
      <c r="AB24" s="5" t="inlineStr">
        <is>
          <t>https://www.yell.com/biz/filfoods-filipino-store-leeds-8549203/</t>
        </is>
      </c>
    </row>
    <row r="25">
      <c r="A25" s="10" t="inlineStr">
        <is>
          <t>WY-0086</t>
        </is>
      </c>
      <c r="B25" s="10" t="inlineStr">
        <is>
          <t>WY-0086-01</t>
        </is>
      </c>
      <c r="C25" s="10" t="inlineStr"/>
      <c r="D25" s="10" t="inlineStr">
        <is>
          <t>FreshCo Wakefield</t>
        </is>
      </c>
      <c r="E25" s="10" t="inlineStr">
        <is>
          <t>Independent Supermarket</t>
        </is>
      </c>
      <c r="F25" s="10" t="inlineStr">
        <is>
          <t>Halal / world foods supermarket with Turkish restaurant and cafe</t>
        </is>
      </c>
      <c r="G25" s="10" t="inlineStr">
        <is>
          <t>Independent</t>
        </is>
      </c>
      <c r="H25" s="10" t="inlineStr">
        <is>
          <t>1</t>
        </is>
      </c>
      <c r="I25" s="10" t="inlineStr">
        <is>
          <t>St Andrews Hall, Upper Warrengate</t>
        </is>
      </c>
      <c r="J25" s="10" t="inlineStr">
        <is>
          <t>Wakefield</t>
        </is>
      </c>
      <c r="K25" s="10" t="inlineStr">
        <is>
          <t>WF1 4JZ</t>
        </is>
      </c>
      <c r="L25" s="10" t="inlineStr">
        <is>
          <t>01924 781869</t>
        </is>
      </c>
      <c r="M25" s="10" t="inlineStr">
        <is>
          <t>Hoa1@hotmail.co.uk</t>
        </is>
      </c>
      <c r="N25" s="10" t="inlineStr"/>
      <c r="O25" s="10" t="inlineStr">
        <is>
          <t>https://freshcowakefield.com</t>
        </is>
      </c>
      <c r="P25" s="10" t="inlineStr">
        <is>
          <t>https://www.facebook.com/FreshCoWakefield/</t>
        </is>
      </c>
      <c r="Q25" s="10" t="inlineStr"/>
      <c r="R25" s="10" t="inlineStr">
        <is>
          <t>Aras Ali</t>
        </is>
      </c>
      <c r="S25" s="10" t="inlineStr">
        <is>
          <t>Owner</t>
        </is>
      </c>
      <c r="T25" s="10" t="inlineStr">
        <is>
          <t>13746881</t>
        </is>
      </c>
      <c r="U25" s="10" t="inlineStr">
        <is>
          <t>Active</t>
        </is>
      </c>
      <c r="V25" s="10" t="inlineStr">
        <is>
          <t>Medium</t>
        </is>
      </c>
      <c r="W25" s="10" t="inlineStr">
        <is>
          <t>Independent retailer; Relevant category; Public email available; Active website; Social presence</t>
        </is>
      </c>
      <c r="X25" s="10" t="inlineStr">
        <is>
          <t>Verified directory</t>
        </is>
      </c>
      <c r="Y25" s="10" t="inlineStr">
        <is>
          <t>Website Found</t>
        </is>
      </c>
      <c r="Z25" s="10" t="inlineStr">
        <is>
          <t>Medium</t>
        </is>
      </c>
      <c r="AA25" s="10" t="inlineStr">
        <is>
          <t>Partially Verified</t>
        </is>
      </c>
      <c r="AB25" s="10" t="inlineStr">
        <is>
          <t>https://freshcowakefield.com/restaurant</t>
        </is>
      </c>
    </row>
    <row r="26">
      <c r="A26" s="5" t="inlineStr">
        <is>
          <t>WY-0093</t>
        </is>
      </c>
      <c r="B26" s="5" t="inlineStr">
        <is>
          <t>WY-0093-01</t>
        </is>
      </c>
      <c r="C26" s="5" t="inlineStr"/>
      <c r="D26" s="5" t="inlineStr">
        <is>
          <t>Halal Sweets Company</t>
        </is>
      </c>
      <c r="E26" s="5" t="inlineStr">
        <is>
          <t>Cash &amp; Carry</t>
        </is>
      </c>
      <c r="F26" s="5" t="inlineStr">
        <is>
          <t>Sweets &amp; snacks wholesaler / cash &amp; carry</t>
        </is>
      </c>
      <c r="G26" s="5" t="inlineStr">
        <is>
          <t>Independent</t>
        </is>
      </c>
      <c r="H26" s="5" t="inlineStr">
        <is>
          <t>1</t>
        </is>
      </c>
      <c r="I26" s="5" t="inlineStr"/>
      <c r="J26" s="5" t="inlineStr">
        <is>
          <t>Bradford</t>
        </is>
      </c>
      <c r="K26" s="5" t="inlineStr"/>
      <c r="L26" s="5" t="inlineStr"/>
      <c r="M26" s="5" t="inlineStr">
        <is>
          <t>support@halalsweetscompany.co.uk</t>
        </is>
      </c>
      <c r="N26" s="5" t="inlineStr"/>
      <c r="O26" s="5" t="inlineStr">
        <is>
          <t>https://halalsweets.company.site/</t>
        </is>
      </c>
      <c r="P26" s="5" t="inlineStr">
        <is>
          <t>https://www.facebook.com/halalsweetscompany/</t>
        </is>
      </c>
      <c r="Q26" s="5" t="inlineStr"/>
      <c r="R26" s="5" t="inlineStr"/>
      <c r="S26" s="5" t="inlineStr"/>
      <c r="T26" s="5" t="inlineStr"/>
      <c r="U26" s="5" t="inlineStr"/>
      <c r="V26" s="5" t="inlineStr">
        <is>
          <t>High</t>
        </is>
      </c>
      <c r="W26" s="5" t="inlineStr">
        <is>
          <t>Independent retailer; Core relevant category; Public email available; Active website; Social presence</t>
        </is>
      </c>
      <c r="X26" s="5" t="inlineStr">
        <is>
          <t>Not Found</t>
        </is>
      </c>
      <c r="Y26" s="5" t="inlineStr">
        <is>
          <t>Website Found</t>
        </is>
      </c>
      <c r="Z26" s="5" t="inlineStr">
        <is>
          <t>Medium</t>
        </is>
      </c>
      <c r="AA26" s="5" t="inlineStr">
        <is>
          <t>Partially Verified</t>
        </is>
      </c>
      <c r="AB26" s="5" t="inlineStr">
        <is>
          <t>https://halalsweets.company.site/</t>
        </is>
      </c>
    </row>
    <row r="27">
      <c r="A27" s="10" t="inlineStr">
        <is>
          <t>WY-0094</t>
        </is>
      </c>
      <c r="B27" s="10" t="inlineStr">
        <is>
          <t>WY-0094-01</t>
        </is>
      </c>
      <c r="C27" s="10" t="inlineStr"/>
      <c r="D27" s="10" t="inlineStr">
        <is>
          <t>Hang Sing Hong</t>
        </is>
      </c>
      <c r="E27" s="10" t="inlineStr">
        <is>
          <t>Independent Supermarket</t>
        </is>
      </c>
      <c r="F27" s="10" t="inlineStr">
        <is>
          <t>Chinese / Oriental supermarket</t>
        </is>
      </c>
      <c r="G27" s="10" t="inlineStr">
        <is>
          <t>Independent</t>
        </is>
      </c>
      <c r="H27" s="10" t="inlineStr">
        <is>
          <t>1</t>
        </is>
      </c>
      <c r="I27" s="10" t="inlineStr">
        <is>
          <t>117-119 Vicar Lane</t>
        </is>
      </c>
      <c r="J27" s="10" t="inlineStr">
        <is>
          <t>Leeds</t>
        </is>
      </c>
      <c r="K27" s="10" t="inlineStr">
        <is>
          <t>LS1 6PJ</t>
        </is>
      </c>
      <c r="L27" s="10" t="inlineStr"/>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Not Found</t>
        </is>
      </c>
      <c r="Y27" s="10" t="inlineStr">
        <is>
          <t>Not Found</t>
        </is>
      </c>
      <c r="Z27" s="10" t="inlineStr">
        <is>
          <t>Medium</t>
        </is>
      </c>
      <c r="AA27" s="10" t="inlineStr">
        <is>
          <t>Requires Verification</t>
        </is>
      </c>
      <c r="AB27" s="10" t="inlineStr">
        <is>
          <t>https://www.yelp.co.uk/biz/hang-sing-hong-leeds-2</t>
        </is>
      </c>
    </row>
    <row r="28">
      <c r="A28" s="5" t="inlineStr">
        <is>
          <t>WY-0099</t>
        </is>
      </c>
      <c r="B28" s="5" t="inlineStr">
        <is>
          <t>WY-0099-01</t>
        </is>
      </c>
      <c r="C28" s="5" t="inlineStr"/>
      <c r="D28" s="5" t="inlineStr">
        <is>
          <t>International Foods</t>
        </is>
      </c>
      <c r="E28" s="5" t="inlineStr">
        <is>
          <t>Independent Supermarket</t>
        </is>
      </c>
      <c r="F28" s="5" t="inlineStr">
        <is>
          <t>South Asian supermarket with halal meat</t>
        </is>
      </c>
      <c r="G28" s="5" t="inlineStr">
        <is>
          <t>Independent</t>
        </is>
      </c>
      <c r="H28" s="5" t="inlineStr">
        <is>
          <t>1</t>
        </is>
      </c>
      <c r="I28" s="5" t="inlineStr">
        <is>
          <t>166 Harehills Lane</t>
        </is>
      </c>
      <c r="J28" s="5" t="inlineStr">
        <is>
          <t>Leeds</t>
        </is>
      </c>
      <c r="K28" s="5" t="inlineStr">
        <is>
          <t>LS8 5JP</t>
        </is>
      </c>
      <c r="L28" s="5" t="inlineStr"/>
      <c r="M28" s="5" t="inlineStr"/>
      <c r="N28" s="5" t="inlineStr"/>
      <c r="O28" s="5" t="inlineStr"/>
      <c r="P28" s="5" t="inlineStr"/>
      <c r="Q28" s="5" t="inlineStr"/>
      <c r="R28" s="5" t="inlineStr"/>
      <c r="S28" s="5" t="inlineStr"/>
      <c r="T28" s="5" t="inlineStr">
        <is>
          <t>09552908</t>
        </is>
      </c>
      <c r="U28" s="5" t="inlineStr"/>
      <c r="V28" s="5" t="inlineStr">
        <is>
          <t>Low</t>
        </is>
      </c>
      <c r="W28" s="5" t="inlineStr">
        <is>
          <t>Independent retailer; Relevant category</t>
        </is>
      </c>
      <c r="X28" s="5" t="inlineStr">
        <is>
          <t>Not Found</t>
        </is>
      </c>
      <c r="Y28" s="5" t="inlineStr">
        <is>
          <t>Not Found</t>
        </is>
      </c>
      <c r="Z28" s="5" t="inlineStr">
        <is>
          <t>Medium</t>
        </is>
      </c>
      <c r="AA28" s="5" t="inlineStr">
        <is>
          <t>Partially Verified</t>
        </is>
      </c>
      <c r="AB28" s="5" t="inlineStr">
        <is>
          <t>https://find-and-update.company-information.service.gov.uk/company/09552908</t>
        </is>
      </c>
    </row>
    <row r="29">
      <c r="A29" s="10" t="inlineStr">
        <is>
          <t>WY-0100</t>
        </is>
      </c>
      <c r="B29" s="10" t="inlineStr">
        <is>
          <t>WY-0100-01</t>
        </is>
      </c>
      <c r="C29" s="10" t="inlineStr"/>
      <c r="D29" s="10" t="inlineStr">
        <is>
          <t>Javid Supermarket</t>
        </is>
      </c>
      <c r="E29" s="10" t="inlineStr">
        <is>
          <t>Independent Supermarket</t>
        </is>
      </c>
      <c r="F29" s="10" t="inlineStr">
        <is>
          <t>Halal, Asian, Caribbean and world foods supermarket</t>
        </is>
      </c>
      <c r="G29" s="10" t="inlineStr">
        <is>
          <t>Independent</t>
        </is>
      </c>
      <c r="H29" s="10" t="inlineStr">
        <is>
          <t>1</t>
        </is>
      </c>
      <c r="I29" s="10" t="inlineStr">
        <is>
          <t>177-179 Bradford Road</t>
        </is>
      </c>
      <c r="J29" s="10" t="inlineStr">
        <is>
          <t>Huddersfield</t>
        </is>
      </c>
      <c r="K29" s="10" t="inlineStr">
        <is>
          <t>HD1 6EQ</t>
        </is>
      </c>
      <c r="L29" s="10" t="inlineStr">
        <is>
          <t>01484 517411</t>
        </is>
      </c>
      <c r="M29" s="10" t="inlineStr">
        <is>
          <t>contact@javidsupermarket.co.uk</t>
        </is>
      </c>
      <c r="N29" s="10" t="inlineStr"/>
      <c r="O29" s="10" t="inlineStr">
        <is>
          <t>https://www.javidsupermarket.co.uk/</t>
        </is>
      </c>
      <c r="P29" s="10" t="inlineStr"/>
      <c r="Q29" s="10" t="inlineStr">
        <is>
          <t>https://www.instagram.com/javidsupermarket/</t>
        </is>
      </c>
      <c r="R29" s="10" t="inlineStr"/>
      <c r="S29" s="10" t="inlineStr"/>
      <c r="T29" s="10" t="inlineStr"/>
      <c r="U29" s="10" t="inlineStr"/>
      <c r="V29" s="10" t="inlineStr">
        <is>
          <t>Medium</t>
        </is>
      </c>
      <c r="W29" s="10" t="inlineStr">
        <is>
          <t>Independent retailer; Relevant category; Public email available; Active website; Social presence</t>
        </is>
      </c>
      <c r="X29" s="10" t="inlineStr">
        <is>
          <t>Verified directory</t>
        </is>
      </c>
      <c r="Y29" s="10" t="inlineStr">
        <is>
          <t>Publicly Listed</t>
        </is>
      </c>
      <c r="Z29" s="10" t="inlineStr">
        <is>
          <t>Medium</t>
        </is>
      </c>
      <c r="AA29" s="10" t="inlineStr">
        <is>
          <t>Requires Verification</t>
        </is>
      </c>
      <c r="AB29" s="10" t="inlineStr">
        <is>
          <t>https://www.javidsupermarket.co.uk/contact/</t>
        </is>
      </c>
    </row>
    <row r="30">
      <c r="A30" s="5" t="inlineStr">
        <is>
          <t>WY-0106</t>
        </is>
      </c>
      <c r="B30" s="5" t="inlineStr">
        <is>
          <t>WY-0106-01</t>
        </is>
      </c>
      <c r="C30" s="5" t="inlineStr"/>
      <c r="D30" s="5" t="inlineStr">
        <is>
          <t>Khadim Supersave</t>
        </is>
      </c>
      <c r="E30" s="5" t="inlineStr">
        <is>
          <t>Independent Supermarket</t>
        </is>
      </c>
      <c r="F30" s="5" t="inlineStr">
        <is>
          <t>Halal grocery store</t>
        </is>
      </c>
      <c r="G30" s="5" t="inlineStr">
        <is>
          <t>Independent</t>
        </is>
      </c>
      <c r="H30" s="5" t="inlineStr">
        <is>
          <t>1</t>
        </is>
      </c>
      <c r="I30" s="5" t="inlineStr">
        <is>
          <t>1 Blacker Road</t>
        </is>
      </c>
      <c r="J30" s="5" t="inlineStr">
        <is>
          <t>Huddersfield</t>
        </is>
      </c>
      <c r="K30" s="5" t="inlineStr">
        <is>
          <t>HD1 5HU</t>
        </is>
      </c>
      <c r="L30" s="5" t="inlineStr">
        <is>
          <t>01484 360513</t>
        </is>
      </c>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Verified directory</t>
        </is>
      </c>
      <c r="Y30" s="5" t="inlineStr">
        <is>
          <t>Not Found</t>
        </is>
      </c>
      <c r="Z30" s="5" t="inlineStr">
        <is>
          <t>Medium</t>
        </is>
      </c>
      <c r="AA30" s="5" t="inlineStr">
        <is>
          <t>Requires Verification</t>
        </is>
      </c>
      <c r="AB30" s="5" t="inlineStr">
        <is>
          <t>https://no-divide.co.uk/khadim-supersave/</t>
        </is>
      </c>
    </row>
    <row r="31">
      <c r="A31" s="10" t="inlineStr">
        <is>
          <t>WY-0130</t>
        </is>
      </c>
      <c r="B31" s="10" t="inlineStr">
        <is>
          <t>WY-0130-01</t>
        </is>
      </c>
      <c r="C31" s="10" t="inlineStr"/>
      <c r="D31" s="10" t="inlineStr">
        <is>
          <t>Pakeezah Superstore</t>
        </is>
      </c>
      <c r="E31" s="10" t="inlineStr">
        <is>
          <t>Independent Supermarket</t>
        </is>
      </c>
      <c r="F31" s="10" t="inlineStr">
        <is>
          <t>Asian / halal superstore with curry counter</t>
        </is>
      </c>
      <c r="G31" s="10" t="inlineStr">
        <is>
          <t>Independent</t>
        </is>
      </c>
      <c r="H31" s="10" t="inlineStr">
        <is>
          <t>1</t>
        </is>
      </c>
      <c r="I31" s="10" t="inlineStr">
        <is>
          <t>91 Edderthorpe Street</t>
        </is>
      </c>
      <c r="J31" s="10" t="inlineStr">
        <is>
          <t>Bradford</t>
        </is>
      </c>
      <c r="K31" s="10" t="inlineStr">
        <is>
          <t>BD3 9UD</t>
        </is>
      </c>
      <c r="L31" s="10" t="inlineStr">
        <is>
          <t>01274 739500</t>
        </is>
      </c>
      <c r="M31" s="10" t="inlineStr">
        <is>
          <t>info@pakeezah.com</t>
        </is>
      </c>
      <c r="N31" s="10" t="inlineStr"/>
      <c r="O31" s="10" t="inlineStr">
        <is>
          <t>https://www.pakeezah.com/</t>
        </is>
      </c>
      <c r="P31" s="10" t="inlineStr">
        <is>
          <t>https://www.facebook.com/PakeezahGourmet/</t>
        </is>
      </c>
      <c r="Q31" s="10" t="inlineStr"/>
      <c r="R31" s="10" t="inlineStr"/>
      <c r="S31" s="10" t="inlineStr"/>
      <c r="T31" s="10" t="inlineStr"/>
      <c r="U31" s="10" t="inlineStr"/>
      <c r="V31" s="10" t="inlineStr">
        <is>
          <t>Medium</t>
        </is>
      </c>
      <c r="W31" s="10" t="inlineStr">
        <is>
          <t>Independent retailer; Relevant category; Public email available; Active website; Social presence</t>
        </is>
      </c>
      <c r="X31" s="10" t="inlineStr">
        <is>
          <t>Verified directory</t>
        </is>
      </c>
      <c r="Y31" s="10" t="inlineStr">
        <is>
          <t>Website Found</t>
        </is>
      </c>
      <c r="Z31" s="10" t="inlineStr">
        <is>
          <t>Medium</t>
        </is>
      </c>
      <c r="AA31" s="10" t="inlineStr">
        <is>
          <t>Partially Verified</t>
        </is>
      </c>
      <c r="AB31" s="10" t="inlineStr">
        <is>
          <t>https://www.thomsonlocal.com/search/supermarkets/bradford-keighley-skipton/pakeezah/1241547/01274739500</t>
        </is>
      </c>
    </row>
    <row r="32">
      <c r="A32" s="5" t="inlineStr">
        <is>
          <t>WY-0135</t>
        </is>
      </c>
      <c r="B32" s="5" t="inlineStr">
        <is>
          <t>WY-0135-01</t>
        </is>
      </c>
      <c r="C32" s="5" t="inlineStr"/>
      <c r="D32" s="5" t="inlineStr">
        <is>
          <t>Premier Wholesale Cash &amp; Carry</t>
        </is>
      </c>
      <c r="E32" s="5" t="inlineStr">
        <is>
          <t>Cash &amp; Carry</t>
        </is>
      </c>
      <c r="F32" s="5" t="inlineStr">
        <is>
          <t>General cash and carry wholesaler</t>
        </is>
      </c>
      <c r="G32" s="5" t="inlineStr">
        <is>
          <t>Independent</t>
        </is>
      </c>
      <c r="H32" s="5" t="inlineStr">
        <is>
          <t>1</t>
        </is>
      </c>
      <c r="I32" s="5" t="inlineStr">
        <is>
          <t>Clough Lane</t>
        </is>
      </c>
      <c r="J32" s="5" t="inlineStr">
        <is>
          <t>Huddersfield</t>
        </is>
      </c>
      <c r="K32" s="5" t="inlineStr">
        <is>
          <t>HD1 4UW</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Independent retailer; Core relevant category</t>
        </is>
      </c>
      <c r="X32" s="5" t="inlineStr">
        <is>
          <t>Not Found</t>
        </is>
      </c>
      <c r="Y32" s="5" t="inlineStr">
        <is>
          <t>Not Found</t>
        </is>
      </c>
      <c r="Z32" s="5" t="inlineStr">
        <is>
          <t>Low</t>
        </is>
      </c>
      <c r="AA32" s="5" t="inlineStr">
        <is>
          <t>Requires Verification</t>
        </is>
      </c>
      <c r="AB32" s="5" t="inlineStr">
        <is>
          <t>https://www.yell.com/biz/premier-wholesale-cash-and-carry-huddersfield-943025/</t>
        </is>
      </c>
    </row>
    <row r="33">
      <c r="A33" s="10" t="inlineStr">
        <is>
          <t>WY-0143</t>
        </is>
      </c>
      <c r="B33" s="10" t="inlineStr">
        <is>
          <t>WY-0143-01</t>
        </is>
      </c>
      <c r="C33" s="10" t="inlineStr"/>
      <c r="D33" s="10" t="inlineStr">
        <is>
          <t>SaveCo Cash &amp; Carry Bradford</t>
        </is>
      </c>
      <c r="E33" s="10" t="inlineStr">
        <is>
          <t>Cash &amp; Carry</t>
        </is>
      </c>
      <c r="F33" s="10" t="inlineStr">
        <is>
          <t>Halal supermarket &amp; food cash and carry</t>
        </is>
      </c>
      <c r="G33" s="10" t="inlineStr">
        <is>
          <t>Independent</t>
        </is>
      </c>
      <c r="H33" s="10" t="inlineStr">
        <is>
          <t>1</t>
        </is>
      </c>
      <c r="I33" s="10" t="inlineStr">
        <is>
          <t>Carter Gear Works, Thornbury Road</t>
        </is>
      </c>
      <c r="J33" s="10" t="inlineStr">
        <is>
          <t>Bradford</t>
        </is>
      </c>
      <c r="K33" s="10" t="inlineStr">
        <is>
          <t>BD3 8HE</t>
        </is>
      </c>
      <c r="L33" s="10" t="inlineStr">
        <is>
          <t>01274 665555</t>
        </is>
      </c>
      <c r="M33" s="10" t="inlineStr"/>
      <c r="N33" s="10" t="inlineStr"/>
      <c r="O33" s="10" t="inlineStr">
        <is>
          <t>https://savecobradford.co.uk/</t>
        </is>
      </c>
      <c r="P33" s="10" t="inlineStr">
        <is>
          <t>https://www.facebook.com/savecobradford/</t>
        </is>
      </c>
      <c r="Q33" s="10" t="inlineStr"/>
      <c r="R33" s="10" t="inlineStr"/>
      <c r="S33" s="10" t="inlineStr"/>
      <c r="T33" s="10" t="inlineStr"/>
      <c r="U33" s="10" t="inlineStr"/>
      <c r="V33" s="10" t="inlineStr">
        <is>
          <t>Medium</t>
        </is>
      </c>
      <c r="W33" s="10" t="inlineStr">
        <is>
          <t>Independent retailer; Core relevant category; Active website; Social presence</t>
        </is>
      </c>
      <c r="X33" s="10" t="inlineStr">
        <is>
          <t>Verified directory</t>
        </is>
      </c>
      <c r="Y33" s="10" t="inlineStr">
        <is>
          <t>Website Found</t>
        </is>
      </c>
      <c r="Z33" s="10" t="inlineStr">
        <is>
          <t>Medium</t>
        </is>
      </c>
      <c r="AA33" s="10" t="inlineStr">
        <is>
          <t>Requires Verification</t>
        </is>
      </c>
      <c r="AB33" s="10" t="inlineStr">
        <is>
          <t>https://savecobradford.co.uk/</t>
        </is>
      </c>
    </row>
    <row r="34">
      <c r="A34" s="5" t="inlineStr">
        <is>
          <t>WY-0145</t>
        </is>
      </c>
      <c r="B34" s="5" t="inlineStr">
        <is>
          <t>WY-0145-01</t>
        </is>
      </c>
      <c r="C34" s="5" t="inlineStr"/>
      <c r="D34" s="5" t="inlineStr">
        <is>
          <t>Shans Supermarket</t>
        </is>
      </c>
      <c r="E34" s="5" t="inlineStr">
        <is>
          <t>Independent Supermarket</t>
        </is>
      </c>
      <c r="F34" s="5" t="inlineStr">
        <is>
          <t>Multicultural halal supermarket</t>
        </is>
      </c>
      <c r="G34" s="5" t="inlineStr">
        <is>
          <t>Independent</t>
        </is>
      </c>
      <c r="H34" s="5" t="inlineStr">
        <is>
          <t>1</t>
        </is>
      </c>
      <c r="I34" s="5" t="inlineStr">
        <is>
          <t>Alice Street</t>
        </is>
      </c>
      <c r="J34" s="5" t="inlineStr">
        <is>
          <t>Keighley</t>
        </is>
      </c>
      <c r="K34" s="5" t="inlineStr"/>
      <c r="L34" s="5" t="inlineStr">
        <is>
          <t>01535 667889</t>
        </is>
      </c>
      <c r="M34" s="5" t="inlineStr"/>
      <c r="N34" s="5" t="inlineStr"/>
      <c r="O34" s="5" t="inlineStr"/>
      <c r="P34" s="5" t="inlineStr">
        <is>
          <t>https://www.facebook.com/ShansSupermarket/</t>
        </is>
      </c>
      <c r="Q34" s="5" t="inlineStr"/>
      <c r="R34" s="5" t="inlineStr"/>
      <c r="S34" s="5" t="inlineStr"/>
      <c r="T34" s="5" t="inlineStr"/>
      <c r="U34" s="5" t="inlineStr"/>
      <c r="V34" s="5" t="inlineStr">
        <is>
          <t>Medium</t>
        </is>
      </c>
      <c r="W34" s="5" t="inlineStr">
        <is>
          <t>Independent retailer; Relevant category; Social presence</t>
        </is>
      </c>
      <c r="X34" s="5" t="inlineStr">
        <is>
          <t>Verified directory</t>
        </is>
      </c>
      <c r="Y34" s="5" t="inlineStr">
        <is>
          <t>Not Found</t>
        </is>
      </c>
      <c r="Z34" s="5" t="inlineStr">
        <is>
          <t>Medium</t>
        </is>
      </c>
      <c r="AA34" s="5" t="inlineStr">
        <is>
          <t>Requires Verification</t>
        </is>
      </c>
      <c r="AB34" s="5" t="inlineStr">
        <is>
          <t>https://www.facebook.com/ShansSupermarket/</t>
        </is>
      </c>
    </row>
    <row r="35">
      <c r="A35" s="10" t="inlineStr">
        <is>
          <t>WY-0156</t>
        </is>
      </c>
      <c r="B35" s="10" t="inlineStr">
        <is>
          <t>WY-0156-01</t>
        </is>
      </c>
      <c r="C35" s="10" t="inlineStr"/>
      <c r="D35" s="10" t="inlineStr">
        <is>
          <t>Suki's Cash &amp; Carry</t>
        </is>
      </c>
      <c r="E35" s="10" t="inlineStr">
        <is>
          <t>Cash &amp; Carry</t>
        </is>
      </c>
      <c r="F35" s="10" t="inlineStr">
        <is>
          <t>Household goods, partyware, toys &amp; disposables wholesaler</t>
        </is>
      </c>
      <c r="G35" s="10" t="inlineStr">
        <is>
          <t>Independent</t>
        </is>
      </c>
      <c r="H35" s="10" t="inlineStr">
        <is>
          <t>1</t>
        </is>
      </c>
      <c r="I35" s="10" t="inlineStr">
        <is>
          <t>Garnett Street</t>
        </is>
      </c>
      <c r="J35" s="10" t="inlineStr">
        <is>
          <t>Bradford</t>
        </is>
      </c>
      <c r="K35" s="10" t="inlineStr">
        <is>
          <t>BD3 9HN</t>
        </is>
      </c>
      <c r="L35" s="10" t="inlineStr">
        <is>
          <t>01274 736093</t>
        </is>
      </c>
      <c r="M35" s="10" t="inlineStr"/>
      <c r="N35" s="10" t="inlineStr"/>
      <c r="O35" s="10" t="inlineStr">
        <is>
          <t>https://sukiscashandcarry.co.uk/</t>
        </is>
      </c>
      <c r="P35" s="10" t="inlineStr">
        <is>
          <t>https://www.facebook.com/sukiscashandcarry/</t>
        </is>
      </c>
      <c r="Q35" s="10" t="inlineStr">
        <is>
          <t>https://www.instagram.com/sukiscashandcarrybradford/</t>
        </is>
      </c>
      <c r="R35" s="10" t="inlineStr"/>
      <c r="S35" s="10" t="inlineStr"/>
      <c r="T35" s="10" t="inlineStr"/>
      <c r="U35" s="10" t="inlineStr"/>
      <c r="V35" s="10" t="inlineStr">
        <is>
          <t>Medium</t>
        </is>
      </c>
      <c r="W35" s="10" t="inlineStr">
        <is>
          <t>Independent retailer; Core relevant category; Active website; Social presence</t>
        </is>
      </c>
      <c r="X35" s="10" t="inlineStr">
        <is>
          <t>Verified directory</t>
        </is>
      </c>
      <c r="Y35" s="10" t="inlineStr">
        <is>
          <t>Website Found</t>
        </is>
      </c>
      <c r="Z35" s="10" t="inlineStr">
        <is>
          <t>Medium</t>
        </is>
      </c>
      <c r="AA35" s="10" t="inlineStr">
        <is>
          <t>Partially Verified</t>
        </is>
      </c>
      <c r="AB35" s="10" t="inlineStr">
        <is>
          <t>https://sukiscashandcarry.co.uk/</t>
        </is>
      </c>
    </row>
    <row r="36">
      <c r="A36" s="5" t="inlineStr">
        <is>
          <t>WY-0158</t>
        </is>
      </c>
      <c r="B36" s="5" t="inlineStr">
        <is>
          <t>WY-0158-01</t>
        </is>
      </c>
      <c r="C36" s="5" t="inlineStr"/>
      <c r="D36" s="5" t="inlineStr">
        <is>
          <t>Thali Outlet</t>
        </is>
      </c>
      <c r="E36" s="5" t="inlineStr">
        <is>
          <t>Cash &amp; Carry</t>
        </is>
      </c>
      <c r="F36" s="5" t="inlineStr">
        <is>
          <t>Trade cash &amp; carry - food packaging, disposables and cleaning products</t>
        </is>
      </c>
      <c r="G36" s="5" t="inlineStr">
        <is>
          <t>Independent</t>
        </is>
      </c>
      <c r="H36" s="5" t="inlineStr">
        <is>
          <t>1</t>
        </is>
      </c>
      <c r="I36" s="5" t="inlineStr">
        <is>
          <t>Meanwood Buildings, 277a Meanwood Road</t>
        </is>
      </c>
      <c r="J36" s="5" t="inlineStr">
        <is>
          <t>Leeds</t>
        </is>
      </c>
      <c r="K36" s="5" t="inlineStr">
        <is>
          <t>LS7 2JD</t>
        </is>
      </c>
      <c r="L36" s="5" t="inlineStr">
        <is>
          <t>0113 394 8000</t>
        </is>
      </c>
      <c r="M36" s="5" t="inlineStr">
        <is>
          <t>sales@thalioutlet.com</t>
        </is>
      </c>
      <c r="N36" s="5" t="inlineStr">
        <is>
          <t>sales@thalioutlet.com</t>
        </is>
      </c>
      <c r="O36" s="5" t="inlineStr">
        <is>
          <t>https://www.thalioutlet.com/</t>
        </is>
      </c>
      <c r="P36" s="5" t="inlineStr">
        <is>
          <t>https://www.facebook.com/thalioutlet/</t>
        </is>
      </c>
      <c r="Q36" s="5" t="inlineStr"/>
      <c r="R36" s="5" t="inlineStr"/>
      <c r="S36" s="5" t="inlineStr"/>
      <c r="T36" s="5" t="inlineStr">
        <is>
          <t>08555459</t>
        </is>
      </c>
      <c r="U36" s="5" t="inlineStr"/>
      <c r="V36" s="5" t="inlineStr">
        <is>
          <t>High</t>
        </is>
      </c>
      <c r="W36" s="5" t="inlineStr">
        <is>
          <t>Independent retailer; Core relevant category; Public trade/sales contact; Active website; Social presence</t>
        </is>
      </c>
      <c r="X36" s="5" t="inlineStr">
        <is>
          <t>Verified directory</t>
        </is>
      </c>
      <c r="Y36" s="5" t="inlineStr">
        <is>
          <t>Publicly Listed</t>
        </is>
      </c>
      <c r="Z36" s="5" t="inlineStr">
        <is>
          <t>Medium</t>
        </is>
      </c>
      <c r="AA36" s="5" t="inlineStr">
        <is>
          <t>Requires Verification</t>
        </is>
      </c>
      <c r="AB36" s="5" t="inlineStr">
        <is>
          <t>https://www.thalioutlet.com/pages/contact</t>
        </is>
      </c>
    </row>
    <row r="37">
      <c r="A37" s="10" t="inlineStr">
        <is>
          <t>WY-0170</t>
        </is>
      </c>
      <c r="B37" s="10" t="inlineStr">
        <is>
          <t>WY-0170-01</t>
        </is>
      </c>
      <c r="C37" s="10" t="inlineStr"/>
      <c r="D37" s="10" t="inlineStr">
        <is>
          <t>Umrah Supermarket</t>
        </is>
      </c>
      <c r="E37" s="10" t="inlineStr">
        <is>
          <t>Independent Supermarket</t>
        </is>
      </c>
      <c r="F37" s="10" t="inlineStr">
        <is>
          <t>South Asian, Middle Eastern and African foods supermarket</t>
        </is>
      </c>
      <c r="G37" s="10" t="inlineStr">
        <is>
          <t>Independent</t>
        </is>
      </c>
      <c r="H37" s="10" t="inlineStr">
        <is>
          <t>1</t>
        </is>
      </c>
      <c r="I37" s="10" t="inlineStr">
        <is>
          <t>Trinity Street</t>
        </is>
      </c>
      <c r="J37" s="10" t="inlineStr">
        <is>
          <t>Huddersfield</t>
        </is>
      </c>
      <c r="K37" s="10" t="inlineStr"/>
      <c r="L37" s="10" t="inlineStr"/>
      <c r="M37" s="10" t="inlineStr"/>
      <c r="N37" s="10" t="inlineStr"/>
      <c r="O37" s="10" t="inlineStr"/>
      <c r="P37" s="10" t="inlineStr">
        <is>
          <t>https://www.facebook.com/p/Umrah-Supermarket-Huddersfield-61555683256072/</t>
        </is>
      </c>
      <c r="Q37" s="10" t="inlineStr"/>
      <c r="R37" s="10" t="inlineStr"/>
      <c r="S37" s="10" t="inlineStr"/>
      <c r="T37" s="10" t="inlineStr"/>
      <c r="U37" s="10" t="inlineStr"/>
      <c r="V37" s="10" t="inlineStr">
        <is>
          <t>Medium</t>
        </is>
      </c>
      <c r="W37" s="10" t="inlineStr">
        <is>
          <t>Independent retailer; Relevant category; Social presence</t>
        </is>
      </c>
      <c r="X37" s="10" t="inlineStr">
        <is>
          <t>Not Found</t>
        </is>
      </c>
      <c r="Y37" s="10" t="inlineStr">
        <is>
          <t>Not Found</t>
        </is>
      </c>
      <c r="Z37" s="10" t="inlineStr">
        <is>
          <t>Low</t>
        </is>
      </c>
      <c r="AA37" s="10" t="inlineStr">
        <is>
          <t>Requires Verification</t>
        </is>
      </c>
      <c r="AB37" s="10" t="inlineStr">
        <is>
          <t>https://www.facebook.com/p/Umrah-Supermarket-Huddersfield-61555683256072/</t>
        </is>
      </c>
    </row>
    <row r="38">
      <c r="A38" s="5" t="inlineStr">
        <is>
          <t>WY-0188</t>
        </is>
      </c>
      <c r="B38" s="5" t="inlineStr">
        <is>
          <t>WY-0188-01</t>
        </is>
      </c>
      <c r="C38" s="5" t="inlineStr"/>
      <c r="D38" s="5" t="inlineStr">
        <is>
          <t>White Rose Catering</t>
        </is>
      </c>
      <c r="E38" s="5" t="inlineStr">
        <is>
          <t>Cash &amp; Carry</t>
        </is>
      </c>
      <c r="F38" s="5" t="inlineStr">
        <is>
          <t>Catering cash and carry wholesaler</t>
        </is>
      </c>
      <c r="G38" s="5" t="inlineStr">
        <is>
          <t>Independent</t>
        </is>
      </c>
      <c r="H38" s="5" t="inlineStr">
        <is>
          <t>1</t>
        </is>
      </c>
      <c r="I38" s="5" t="inlineStr">
        <is>
          <t>225 Ravenshouse Road</t>
        </is>
      </c>
      <c r="J38" s="5" t="inlineStr">
        <is>
          <t>Dewsbury</t>
        </is>
      </c>
      <c r="K38" s="5" t="inlineStr">
        <is>
          <t>WF13 3QU</t>
        </is>
      </c>
      <c r="L38" s="5" t="inlineStr">
        <is>
          <t>01924 467054</t>
        </is>
      </c>
      <c r="M38" s="5" t="inlineStr"/>
      <c r="N38" s="5" t="inlineStr"/>
      <c r="O38" s="5" t="inlineStr"/>
      <c r="P38" s="5" t="inlineStr"/>
      <c r="Q38" s="5" t="inlineStr"/>
      <c r="R38" s="5" t="inlineStr"/>
      <c r="S38" s="5" t="inlineStr"/>
      <c r="T38" s="5" t="inlineStr"/>
      <c r="U38" s="5" t="inlineStr"/>
      <c r="V38" s="5" t="inlineStr">
        <is>
          <t>Medium</t>
        </is>
      </c>
      <c r="W38" s="5" t="inlineStr">
        <is>
          <t>Independent retailer; Core relevant category</t>
        </is>
      </c>
      <c r="X38" s="5" t="inlineStr">
        <is>
          <t>Verified directory</t>
        </is>
      </c>
      <c r="Y38" s="5" t="inlineStr">
        <is>
          <t>Not Found</t>
        </is>
      </c>
      <c r="Z38" s="5" t="inlineStr">
        <is>
          <t>Medium</t>
        </is>
      </c>
      <c r="AA38" s="5" t="inlineStr">
        <is>
          <t>Requires Verification</t>
        </is>
      </c>
      <c r="AB38" s="5" t="inlineStr">
        <is>
          <t>https://www.192.com/atoz/business/dewsbury-wf13/cash-and-carry-wholesalers/white-rose-catering-ltd/1cd73791cf719e65496fe8e9a0a2d1c534c879e1/ml/</t>
        </is>
      </c>
    </row>
    <row r="39">
      <c r="A39" s="10" t="inlineStr">
        <is>
          <t>WY-0189</t>
        </is>
      </c>
      <c r="B39" s="10" t="inlineStr">
        <is>
          <t>WY-0189-01</t>
        </is>
      </c>
      <c r="C39" s="10" t="inlineStr"/>
      <c r="D39" s="10" t="inlineStr">
        <is>
          <t>Wigton Cash &amp; Carry (Wigton Distribution)</t>
        </is>
      </c>
      <c r="E39" s="10" t="inlineStr">
        <is>
          <t>Cash &amp; Carry</t>
        </is>
      </c>
      <c r="F39" s="10" t="inlineStr">
        <is>
          <t>Food and dessert wholesaler, open to the public</t>
        </is>
      </c>
      <c r="G39" s="10" t="inlineStr">
        <is>
          <t>Independent</t>
        </is>
      </c>
      <c r="H39" s="10" t="inlineStr">
        <is>
          <t>1</t>
        </is>
      </c>
      <c r="I39" s="10" t="inlineStr">
        <is>
          <t>27 Lockwood Way</t>
        </is>
      </c>
      <c r="J39" s="10" t="inlineStr">
        <is>
          <t>Leeds</t>
        </is>
      </c>
      <c r="K39" s="10" t="inlineStr">
        <is>
          <t>LS11 5TH</t>
        </is>
      </c>
      <c r="L39" s="10" t="inlineStr">
        <is>
          <t>07833 840327</t>
        </is>
      </c>
      <c r="M39" s="10" t="inlineStr"/>
      <c r="N39" s="10" t="inlineStr"/>
      <c r="O39" s="10" t="inlineStr">
        <is>
          <t>http://wigtonfoodservice.co.uk/</t>
        </is>
      </c>
      <c r="P39" s="10" t="inlineStr">
        <is>
          <t>https://www.facebook.com/p/Wigton-Distribution-61573554642844/</t>
        </is>
      </c>
      <c r="Q39" s="10" t="inlineStr">
        <is>
          <t>https://www.instagram.com/wigtonwholesale/</t>
        </is>
      </c>
      <c r="R39" s="10" t="inlineStr"/>
      <c r="S39" s="10" t="inlineStr"/>
      <c r="T39" s="10" t="inlineStr">
        <is>
          <t>09821856</t>
        </is>
      </c>
      <c r="U39" s="10" t="inlineStr"/>
      <c r="V39" s="10" t="inlineStr">
        <is>
          <t>Medium</t>
        </is>
      </c>
      <c r="W39" s="10" t="inlineStr">
        <is>
          <t>Independent retailer; Core relevant category; Active website; Social presence</t>
        </is>
      </c>
      <c r="X39" s="10" t="inlineStr">
        <is>
          <t>Unverified</t>
        </is>
      </c>
      <c r="Y39" s="10" t="inlineStr">
        <is>
          <t>Website Found</t>
        </is>
      </c>
      <c r="Z39" s="10" t="inlineStr">
        <is>
          <t>Medium</t>
        </is>
      </c>
      <c r="AA39" s="10" t="inlineStr">
        <is>
          <t>Partially Verified</t>
        </is>
      </c>
      <c r="AB39" s="10" t="inlineStr">
        <is>
          <t>https://find-and-update.company-information.service.gov.uk/company/09821856</t>
        </is>
      </c>
    </row>
  </sheetData>
  <autoFilter ref="A1:AB3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B48"/>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7" customWidth="1" min="3" max="3"/>
    <col width="45" customWidth="1" min="4" max="4"/>
    <col width="28" customWidth="1" min="5" max="5"/>
    <col width="45" customWidth="1" min="6" max="6"/>
    <col width="26" customWidth="1" min="7" max="7"/>
    <col width="21" customWidth="1" min="8" max="8"/>
    <col width="45" customWidth="1" min="9" max="9"/>
    <col width="15" customWidth="1" min="10" max="10"/>
    <col width="10" customWidth="1" min="11" max="11"/>
    <col width="15" customWidth="1" min="12" max="12"/>
    <col width="27" customWidth="1" min="13" max="13"/>
    <col width="30" customWidth="1" min="14" max="14"/>
    <col width="45" customWidth="1" min="15" max="15"/>
    <col width="45" customWidth="1" min="16" max="16"/>
    <col width="45" customWidth="1" min="17" max="17"/>
    <col width="27" customWidth="1" min="18" max="18"/>
    <col width="20" customWidth="1" min="19" max="19"/>
    <col width="24" customWidth="1" min="20" max="20"/>
    <col width="16" customWidth="1" min="21" max="21"/>
    <col width="15" customWidth="1" min="22" max="22"/>
    <col width="45" customWidth="1" min="23" max="23"/>
    <col width="30" customWidth="1" min="24" max="24"/>
    <col width="17" customWidth="1" min="25" max="25"/>
    <col width="17" customWidth="1" min="26" max="26"/>
    <col width="38"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WY-0001</t>
        </is>
      </c>
      <c r="B2" s="5" t="inlineStr">
        <is>
          <t>1865CIGARS-01</t>
        </is>
      </c>
      <c r="C2" s="5" t="inlineStr">
        <is>
          <t>1865 Cigars</t>
        </is>
      </c>
      <c r="D2" s="5" t="inlineStr">
        <is>
          <t>1865 Cigars (Huddersfield)</t>
        </is>
      </c>
      <c r="E2" s="5" t="inlineStr">
        <is>
          <t>Tobacco Specialist</t>
        </is>
      </c>
      <c r="F2" s="5" t="inlineStr">
        <is>
          <t>Cigar and tobacco specialist</t>
        </is>
      </c>
      <c r="G2" s="5" t="inlineStr">
        <is>
          <t>Regional Chain</t>
        </is>
      </c>
      <c r="H2" s="5" t="inlineStr">
        <is>
          <t>7</t>
        </is>
      </c>
      <c r="I2" s="5" t="inlineStr">
        <is>
          <t>Sheffield House, 13 Cross Church Street</t>
        </is>
      </c>
      <c r="J2" s="5" t="inlineStr">
        <is>
          <t>Huddersfield</t>
        </is>
      </c>
      <c r="K2" s="5" t="inlineStr">
        <is>
          <t>HD1 2PY</t>
        </is>
      </c>
      <c r="L2" s="5" t="inlineStr">
        <is>
          <t>01484 530457</t>
        </is>
      </c>
      <c r="M2" s="5" t="inlineStr">
        <is>
          <t>sales@1865cigars.com</t>
        </is>
      </c>
      <c r="N2" s="5" t="inlineStr">
        <is>
          <t>sales@1865cigars.com</t>
        </is>
      </c>
      <c r="O2" s="5" t="inlineStr">
        <is>
          <t>https://1865cigars.com/</t>
        </is>
      </c>
      <c r="P2" s="5" t="inlineStr">
        <is>
          <t>https://www.facebook.com/p/1865Cigars-61555796965999/</t>
        </is>
      </c>
      <c r="Q2" s="5" t="inlineStr">
        <is>
          <t>https://www.instagram.com/1865.cigars/</t>
        </is>
      </c>
      <c r="R2" s="5" t="inlineStr"/>
      <c r="S2" s="5" t="inlineStr"/>
      <c r="T2" s="5" t="inlineStr"/>
      <c r="U2" s="5" t="inlineStr"/>
      <c r="V2" s="5" t="inlineStr">
        <is>
          <t>High</t>
        </is>
      </c>
      <c r="W2" s="5" t="inlineStr">
        <is>
          <t>Multi-site retailer; Core relevant category; Public trade/sales contact; Active website; Social presence; Phone verified on official website</t>
        </is>
      </c>
      <c r="X2" s="5" t="inlineStr">
        <is>
          <t>Verified on official website</t>
        </is>
      </c>
      <c r="Y2" s="5" t="inlineStr">
        <is>
          <t>Publicly Listed</t>
        </is>
      </c>
      <c r="Z2" s="5" t="inlineStr">
        <is>
          <t>Medium</t>
        </is>
      </c>
      <c r="AA2" s="5" t="inlineStr">
        <is>
          <t>Requires Verification</t>
        </is>
      </c>
      <c r="AB2" s="5" t="inlineStr">
        <is>
          <t>https://1865cigars.com/locations/sheffield/tobacconist-in-sheffield/</t>
        </is>
      </c>
    </row>
    <row r="3">
      <c r="A3" s="10" t="inlineStr">
        <is>
          <t>WY-0002</t>
        </is>
      </c>
      <c r="B3" s="10" t="inlineStr">
        <is>
          <t>420VAPESHO-01</t>
        </is>
      </c>
      <c r="C3" s="10" t="inlineStr">
        <is>
          <t>420 Vape Shop</t>
        </is>
      </c>
      <c r="D3" s="10" t="inlineStr">
        <is>
          <t>420 Vape Shop (Leeds Road, Shipley)</t>
        </is>
      </c>
      <c r="E3" s="10" t="inlineStr">
        <is>
          <t>Vape Shop</t>
        </is>
      </c>
      <c r="F3" s="10" t="inlineStr">
        <is>
          <t>Vape hardware, e-liquids, disposables &amp; CBD</t>
        </is>
      </c>
      <c r="G3" s="10" t="inlineStr">
        <is>
          <t>Multi-Site Independent</t>
        </is>
      </c>
      <c r="H3" s="10" t="inlineStr">
        <is>
          <t>3</t>
        </is>
      </c>
      <c r="I3" s="10" t="inlineStr">
        <is>
          <t>206 Leeds Road</t>
        </is>
      </c>
      <c r="J3" s="10" t="inlineStr">
        <is>
          <t>Shipley</t>
        </is>
      </c>
      <c r="K3" s="10" t="inlineStr">
        <is>
          <t>BD18 1EA</t>
        </is>
      </c>
      <c r="L3" s="10" t="inlineStr">
        <is>
          <t>01274 011507</t>
        </is>
      </c>
      <c r="M3" s="10" t="inlineStr"/>
      <c r="N3" s="10" t="inlineStr"/>
      <c r="O3" s="10" t="inlineStr">
        <is>
          <t>https://420vapeshop.co.uk/</t>
        </is>
      </c>
      <c r="P3" s="10" t="inlineStr">
        <is>
          <t>https://www.facebook.com/420vapeshopBD4/</t>
        </is>
      </c>
      <c r="Q3" s="10" t="inlineStr">
        <is>
          <t>https://www.instagram.com/420vapeshopuk/</t>
        </is>
      </c>
      <c r="R3" s="10" t="inlineStr"/>
      <c r="S3" s="10" t="inlineStr"/>
      <c r="T3" s="10" t="inlineStr"/>
      <c r="U3" s="10" t="inlineStr"/>
      <c r="V3" s="10" t="inlineStr">
        <is>
          <t>High</t>
        </is>
      </c>
      <c r="W3" s="10" t="inlineStr">
        <is>
          <t>Multi-site retailer; Independent retailer; Core relevant category; Active website; Social presence; Phone verified on official website</t>
        </is>
      </c>
      <c r="X3" s="10" t="inlineStr">
        <is>
          <t>Verified on official website</t>
        </is>
      </c>
      <c r="Y3" s="10" t="inlineStr">
        <is>
          <t>Website Found</t>
        </is>
      </c>
      <c r="Z3" s="10" t="inlineStr">
        <is>
          <t>Medium</t>
        </is>
      </c>
      <c r="AA3" s="10" t="inlineStr">
        <is>
          <t>Verified (website + Companies House)</t>
        </is>
      </c>
      <c r="AB3" s="10" t="inlineStr">
        <is>
          <t>https://420vapeshop.co.uk/pages/contact</t>
        </is>
      </c>
    </row>
    <row r="4">
      <c r="A4" s="5" t="inlineStr">
        <is>
          <t>WY-0003</t>
        </is>
      </c>
      <c r="B4" s="5" t="inlineStr">
        <is>
          <t>420VAPESHO-02</t>
        </is>
      </c>
      <c r="C4" s="5" t="inlineStr">
        <is>
          <t>420 Vape Shop</t>
        </is>
      </c>
      <c r="D4" s="5" t="inlineStr">
        <is>
          <t>420 Vape Shop (Tong Street, Bradford)</t>
        </is>
      </c>
      <c r="E4" s="5" t="inlineStr">
        <is>
          <t>Vape Shop</t>
        </is>
      </c>
      <c r="F4" s="5" t="inlineStr">
        <is>
          <t>Vape hardware, e-liquids, disposables &amp; CBD</t>
        </is>
      </c>
      <c r="G4" s="5" t="inlineStr">
        <is>
          <t>Multi-Site Independent</t>
        </is>
      </c>
      <c r="H4" s="5" t="inlineStr">
        <is>
          <t>3</t>
        </is>
      </c>
      <c r="I4" s="5" t="inlineStr">
        <is>
          <t>104 Tong Street</t>
        </is>
      </c>
      <c r="J4" s="5" t="inlineStr">
        <is>
          <t>Bradford</t>
        </is>
      </c>
      <c r="K4" s="5" t="inlineStr">
        <is>
          <t>BD4 6HD</t>
        </is>
      </c>
      <c r="L4" s="5" t="inlineStr">
        <is>
          <t>01274 962277</t>
        </is>
      </c>
      <c r="M4" s="5" t="inlineStr"/>
      <c r="N4" s="5" t="inlineStr"/>
      <c r="O4" s="5" t="inlineStr">
        <is>
          <t>https://420vapeshop.co.uk/</t>
        </is>
      </c>
      <c r="P4" s="5" t="inlineStr">
        <is>
          <t>https://www.facebook.com/420vapeshopBD4/</t>
        </is>
      </c>
      <c r="Q4" s="5" t="inlineStr">
        <is>
          <t>https://www.instagram.com/420vapeshopuk/</t>
        </is>
      </c>
      <c r="R4" s="5" t="inlineStr"/>
      <c r="S4" s="5" t="inlineStr"/>
      <c r="T4" s="5" t="inlineStr"/>
      <c r="U4" s="5" t="inlineStr"/>
      <c r="V4" s="5" t="inlineStr">
        <is>
          <t>High</t>
        </is>
      </c>
      <c r="W4" s="5" t="inlineStr">
        <is>
          <t>Multi-site retailer; Independent retailer; Core relevant category; Active website; Social presence; Phone verified on official website</t>
        </is>
      </c>
      <c r="X4" s="5" t="inlineStr">
        <is>
          <t>Verified on official website</t>
        </is>
      </c>
      <c r="Y4" s="5" t="inlineStr">
        <is>
          <t>Website Found</t>
        </is>
      </c>
      <c r="Z4" s="5" t="inlineStr">
        <is>
          <t>Medium</t>
        </is>
      </c>
      <c r="AA4" s="5" t="inlineStr">
        <is>
          <t>Verified (website + Companies House)</t>
        </is>
      </c>
      <c r="AB4" s="5" t="inlineStr">
        <is>
          <t>https://420vapeshop.co.uk/pages/contact</t>
        </is>
      </c>
    </row>
    <row r="5">
      <c r="A5" s="10" t="inlineStr">
        <is>
          <t>WY-0004</t>
        </is>
      </c>
      <c r="B5" s="10" t="inlineStr">
        <is>
          <t>420VAPESHO-03</t>
        </is>
      </c>
      <c r="C5" s="10" t="inlineStr">
        <is>
          <t>420 Vape Shop</t>
        </is>
      </c>
      <c r="D5" s="10" t="inlineStr">
        <is>
          <t>420 Vape Shop (Town Street, Stanningley)</t>
        </is>
      </c>
      <c r="E5" s="10" t="inlineStr">
        <is>
          <t>Vape Shop</t>
        </is>
      </c>
      <c r="F5" s="10" t="inlineStr">
        <is>
          <t>Vape hardware, e-liquids, disposables &amp; CBD</t>
        </is>
      </c>
      <c r="G5" s="10" t="inlineStr">
        <is>
          <t>Multi-Site Independent</t>
        </is>
      </c>
      <c r="H5" s="10" t="inlineStr">
        <is>
          <t>3</t>
        </is>
      </c>
      <c r="I5" s="10" t="inlineStr">
        <is>
          <t>145 Town Street</t>
        </is>
      </c>
      <c r="J5" s="10" t="inlineStr">
        <is>
          <t>Pudsey</t>
        </is>
      </c>
      <c r="K5" s="10" t="inlineStr">
        <is>
          <t>LS28 6ES</t>
        </is>
      </c>
      <c r="L5" s="10" t="inlineStr">
        <is>
          <t>07551 009824</t>
        </is>
      </c>
      <c r="M5" s="10" t="inlineStr"/>
      <c r="N5" s="10" t="inlineStr"/>
      <c r="O5" s="10" t="inlineStr">
        <is>
          <t>https://420vapeshop.co.uk/</t>
        </is>
      </c>
      <c r="P5" s="10" t="inlineStr">
        <is>
          <t>https://www.facebook.com/420vapeshopBD4/</t>
        </is>
      </c>
      <c r="Q5" s="10" t="inlineStr">
        <is>
          <t>https://www.instagram.com/420vapeshopuk/</t>
        </is>
      </c>
      <c r="R5" s="10" t="inlineStr"/>
      <c r="S5" s="10" t="inlineStr"/>
      <c r="T5" s="10" t="inlineStr"/>
      <c r="U5" s="10" t="inlineStr"/>
      <c r="V5" s="10" t="inlineStr">
        <is>
          <t>High</t>
        </is>
      </c>
      <c r="W5" s="10" t="inlineStr">
        <is>
          <t>Multi-site retailer; Independent retailer; Core relevant category; Active website; Social presence; Phone verified on official website</t>
        </is>
      </c>
      <c r="X5" s="10" t="inlineStr">
        <is>
          <t>Verified on official website</t>
        </is>
      </c>
      <c r="Y5" s="10" t="inlineStr">
        <is>
          <t>Website Found</t>
        </is>
      </c>
      <c r="Z5" s="10" t="inlineStr">
        <is>
          <t>Medium</t>
        </is>
      </c>
      <c r="AA5" s="10" t="inlineStr">
        <is>
          <t>Verified (website + Companies House)</t>
        </is>
      </c>
      <c r="AB5" s="10" t="inlineStr">
        <is>
          <t>https://420vapeshop.co.uk/pages/contact</t>
        </is>
      </c>
    </row>
    <row r="6">
      <c r="A6" s="5" t="inlineStr">
        <is>
          <t>WY-0005</t>
        </is>
      </c>
      <c r="B6" s="5" t="inlineStr">
        <is>
          <t>AGPARFETTS-01</t>
        </is>
      </c>
      <c r="C6" s="5" t="inlineStr">
        <is>
          <t>A G Parfett &amp; Sons Ltd</t>
        </is>
      </c>
      <c r="D6" s="5" t="inlineStr">
        <is>
          <t>Parfetts Cash &amp; Carry (Halifax)</t>
        </is>
      </c>
      <c r="E6" s="5" t="inlineStr">
        <is>
          <t>Cash &amp; Carry</t>
        </is>
      </c>
      <c r="F6" s="5" t="inlineStr">
        <is>
          <t>Delivered &amp; cash-and-carry grocery wholesale depot</t>
        </is>
      </c>
      <c r="G6" s="5" t="inlineStr">
        <is>
          <t>Regional Chain</t>
        </is>
      </c>
      <c r="H6" s="5" t="inlineStr"/>
      <c r="I6" s="5" t="inlineStr">
        <is>
          <t>Shay Lane</t>
        </is>
      </c>
      <c r="J6" s="5" t="inlineStr">
        <is>
          <t>Halifax</t>
        </is>
      </c>
      <c r="K6" s="5" t="inlineStr">
        <is>
          <t>HX3 6RA</t>
        </is>
      </c>
      <c r="L6" s="5" t="inlineStr">
        <is>
          <t>01422 363167</t>
        </is>
      </c>
      <c r="M6" s="5" t="inlineStr"/>
      <c r="N6" s="5" t="inlineStr"/>
      <c r="O6" s="5" t="inlineStr">
        <is>
          <t>https://www.parfetts.co.uk/</t>
        </is>
      </c>
      <c r="P6" s="5" t="inlineStr">
        <is>
          <t>https://www.facebook.com/pages/parfetts-cash-carry-Halifax/253069908059088</t>
        </is>
      </c>
      <c r="Q6" s="5" t="inlineStr"/>
      <c r="R6" s="5" t="inlineStr"/>
      <c r="S6" s="5" t="inlineStr"/>
      <c r="T6" s="5" t="inlineStr"/>
      <c r="U6" s="5" t="inlineStr"/>
      <c r="V6" s="5" t="inlineStr">
        <is>
          <t>High</t>
        </is>
      </c>
      <c r="W6" s="5" t="inlineStr">
        <is>
          <t>Multi-site retailer; Core relevant category; Active website; Social presence</t>
        </is>
      </c>
      <c r="X6" s="5" t="inlineStr">
        <is>
          <t>Verified directory</t>
        </is>
      </c>
      <c r="Y6" s="5" t="inlineStr">
        <is>
          <t>Website Found</t>
        </is>
      </c>
      <c r="Z6" s="5" t="inlineStr">
        <is>
          <t>Medium</t>
        </is>
      </c>
      <c r="AA6" s="5" t="inlineStr">
        <is>
          <t>Requires Verification</t>
        </is>
      </c>
      <c r="AB6" s="5" t="inlineStr">
        <is>
          <t>https://www.facebook.com/pages/parfetts-cash-carry-Halifax/253069908059088</t>
        </is>
      </c>
    </row>
    <row r="7">
      <c r="A7" s="10" t="inlineStr">
        <is>
          <t>WY-0006</t>
        </is>
      </c>
      <c r="B7" s="10" t="inlineStr">
        <is>
          <t>ABUBAKRGRO-01</t>
        </is>
      </c>
      <c r="C7" s="10" t="inlineStr">
        <is>
          <t>Abu Bakr Group</t>
        </is>
      </c>
      <c r="D7" s="10" t="inlineStr">
        <is>
          <t>Abu Bakr Supermarket (Batley)</t>
        </is>
      </c>
      <c r="E7" s="10" t="inlineStr">
        <is>
          <t>Independent Supermarket</t>
        </is>
      </c>
      <c r="F7" s="10" t="inlineStr">
        <is>
          <t>Halal / world foods supermarket with retail &amp; wholesale supply</t>
        </is>
      </c>
      <c r="G7" s="10" t="inlineStr">
        <is>
          <t>Multi-Site Independent</t>
        </is>
      </c>
      <c r="H7" s="10" t="inlineStr">
        <is>
          <t>5</t>
        </is>
      </c>
      <c r="I7" s="10" t="inlineStr">
        <is>
          <t>Unit A, Blakeridge Mill Shopping Centre</t>
        </is>
      </c>
      <c r="J7" s="10" t="inlineStr">
        <is>
          <t>Batley</t>
        </is>
      </c>
      <c r="K7" s="10" t="inlineStr">
        <is>
          <t>WF17 8FU</t>
        </is>
      </c>
      <c r="L7" s="10" t="inlineStr">
        <is>
          <t>01924 950730</t>
        </is>
      </c>
      <c r="M7" s="10" t="inlineStr"/>
      <c r="N7" s="10" t="inlineStr"/>
      <c r="O7" s="10" t="inlineStr">
        <is>
          <t>https://www.abubakrgroup.com/</t>
        </is>
      </c>
      <c r="P7" s="10" t="inlineStr">
        <is>
          <t>https://www.facebook.com/abubakrsupermarketsleeds/</t>
        </is>
      </c>
      <c r="Q7" s="10" t="inlineStr">
        <is>
          <t>https://www.instagram.com/abubakrsupermarket/</t>
        </is>
      </c>
      <c r="R7" s="10" t="inlineStr"/>
      <c r="S7" s="10" t="inlineStr"/>
      <c r="T7" s="10" t="inlineStr">
        <is>
          <t>15303931</t>
        </is>
      </c>
      <c r="U7" s="10" t="inlineStr">
        <is>
          <t>Active</t>
        </is>
      </c>
      <c r="V7" s="10" t="inlineStr">
        <is>
          <t>High</t>
        </is>
      </c>
      <c r="W7" s="10" t="inlineStr">
        <is>
          <t>Multi-site retailer; Independent retailer; Relevant category; Active website; Social presence</t>
        </is>
      </c>
      <c r="X7" s="10" t="inlineStr">
        <is>
          <t>Verified directory</t>
        </is>
      </c>
      <c r="Y7" s="10" t="inlineStr">
        <is>
          <t>Website Found</t>
        </is>
      </c>
      <c r="Z7" s="10" t="inlineStr">
        <is>
          <t>Medium</t>
        </is>
      </c>
      <c r="AA7" s="10" t="inlineStr">
        <is>
          <t>Verified (website + Companies House)</t>
        </is>
      </c>
      <c r="AB7" s="10" t="inlineStr">
        <is>
          <t>https://find-and-update.company-information.service.gov.uk/company/15303931</t>
        </is>
      </c>
    </row>
    <row r="8">
      <c r="A8" s="5" t="inlineStr">
        <is>
          <t>WY-0007</t>
        </is>
      </c>
      <c r="B8" s="5" t="inlineStr">
        <is>
          <t>ABUBAKRGRO-02</t>
        </is>
      </c>
      <c r="C8" s="5" t="inlineStr">
        <is>
          <t>Abu Bakr Group</t>
        </is>
      </c>
      <c r="D8" s="5" t="inlineStr">
        <is>
          <t>Abu Bakr Supermarket (Dewsbury Road, Beeston, Leeds)</t>
        </is>
      </c>
      <c r="E8" s="5" t="inlineStr">
        <is>
          <t>Independent Supermarket</t>
        </is>
      </c>
      <c r="F8" s="5" t="inlineStr">
        <is>
          <t>Halal / world foods supermarket with retail &amp; wholesale supply</t>
        </is>
      </c>
      <c r="G8" s="5" t="inlineStr">
        <is>
          <t>Multi-Site Independent</t>
        </is>
      </c>
      <c r="H8" s="5" t="inlineStr">
        <is>
          <t>5</t>
        </is>
      </c>
      <c r="I8" s="5" t="inlineStr">
        <is>
          <t>Dewsbury Road</t>
        </is>
      </c>
      <c r="J8" s="5" t="inlineStr">
        <is>
          <t>Leeds</t>
        </is>
      </c>
      <c r="K8" s="5" t="inlineStr">
        <is>
          <t>LS11 5HY</t>
        </is>
      </c>
      <c r="L8" s="5" t="inlineStr"/>
      <c r="M8" s="5" t="inlineStr"/>
      <c r="N8" s="5" t="inlineStr"/>
      <c r="O8" s="5" t="inlineStr">
        <is>
          <t>https://www.abubakrgroup.com/</t>
        </is>
      </c>
      <c r="P8" s="5" t="inlineStr">
        <is>
          <t>https://www.facebook.com/abubakrsupermarketsleeds/</t>
        </is>
      </c>
      <c r="Q8" s="5" t="inlineStr">
        <is>
          <t>https://www.instagram.com/abubakrleeds/</t>
        </is>
      </c>
      <c r="R8" s="5" t="inlineStr"/>
      <c r="S8" s="5" t="inlineStr"/>
      <c r="T8" s="5" t="inlineStr"/>
      <c r="U8" s="5" t="inlineStr"/>
      <c r="V8" s="5" t="inlineStr">
        <is>
          <t>High</t>
        </is>
      </c>
      <c r="W8" s="5" t="inlineStr">
        <is>
          <t>Multi-site retailer; Independent retailer; Relevant category; Active website; Social presence</t>
        </is>
      </c>
      <c r="X8" s="5" t="inlineStr">
        <is>
          <t>Not Found</t>
        </is>
      </c>
      <c r="Y8" s="5" t="inlineStr">
        <is>
          <t>Website Found</t>
        </is>
      </c>
      <c r="Z8" s="5" t="inlineStr">
        <is>
          <t>Medium</t>
        </is>
      </c>
      <c r="AA8" s="5" t="inlineStr">
        <is>
          <t>Duplicate Review Required</t>
        </is>
      </c>
      <c r="AB8" s="5" t="inlineStr">
        <is>
          <t>https://www.abubakrgroup.com/</t>
        </is>
      </c>
    </row>
    <row r="9">
      <c r="A9" s="10" t="inlineStr">
        <is>
          <t>WY-0008</t>
        </is>
      </c>
      <c r="B9" s="10" t="inlineStr">
        <is>
          <t>ABUBAKRGRO-03</t>
        </is>
      </c>
      <c r="C9" s="10" t="inlineStr">
        <is>
          <t>Abu Bakr Group</t>
        </is>
      </c>
      <c r="D9" s="10" t="inlineStr">
        <is>
          <t>Abu Bakr Supermarket (Kirkstall Road, Leeds)</t>
        </is>
      </c>
      <c r="E9" s="10" t="inlineStr">
        <is>
          <t>Independent Supermarket</t>
        </is>
      </c>
      <c r="F9" s="10" t="inlineStr">
        <is>
          <t>Halal / world foods supermarket with retail &amp; wholesale supply</t>
        </is>
      </c>
      <c r="G9" s="10" t="inlineStr">
        <is>
          <t>Multi-Site Independent</t>
        </is>
      </c>
      <c r="H9" s="10" t="inlineStr">
        <is>
          <t>5</t>
        </is>
      </c>
      <c r="I9" s="10" t="inlineStr">
        <is>
          <t>Kirkstall Road</t>
        </is>
      </c>
      <c r="J9" s="10" t="inlineStr">
        <is>
          <t>Leeds</t>
        </is>
      </c>
      <c r="K9" s="10" t="inlineStr">
        <is>
          <t>LS4 2DN</t>
        </is>
      </c>
      <c r="L9" s="10" t="inlineStr"/>
      <c r="M9" s="10" t="inlineStr"/>
      <c r="N9" s="10" t="inlineStr"/>
      <c r="O9" s="10" t="inlineStr">
        <is>
          <t>https://www.abubakrgroup.com/</t>
        </is>
      </c>
      <c r="P9" s="10" t="inlineStr">
        <is>
          <t>https://www.facebook.com/abubakrsupermarketsleeds/</t>
        </is>
      </c>
      <c r="Q9" s="10" t="inlineStr">
        <is>
          <t>https://www.instagram.com/abubakrleeds/</t>
        </is>
      </c>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Duplicate Review Required</t>
        </is>
      </c>
      <c r="AB9" s="10" t="inlineStr">
        <is>
          <t>https://www.abubakrgroup.com/</t>
        </is>
      </c>
    </row>
    <row r="10">
      <c r="A10" s="5" t="inlineStr">
        <is>
          <t>WY-0009</t>
        </is>
      </c>
      <c r="B10" s="5" t="inlineStr">
        <is>
          <t>ABUBAKRGRO-04</t>
        </is>
      </c>
      <c r="C10" s="5" t="inlineStr">
        <is>
          <t>Abu Bakr Group</t>
        </is>
      </c>
      <c r="D10" s="5" t="inlineStr">
        <is>
          <t>Abu Bakr Supermarket (Queens Road, Leeds)</t>
        </is>
      </c>
      <c r="E10" s="5" t="inlineStr">
        <is>
          <t>Independent Supermarket</t>
        </is>
      </c>
      <c r="F10" s="5" t="inlineStr">
        <is>
          <t>Halal / world foods supermarket with retail &amp; wholesale supply</t>
        </is>
      </c>
      <c r="G10" s="5" t="inlineStr">
        <is>
          <t>Multi-Site Independent</t>
        </is>
      </c>
      <c r="H10" s="5" t="inlineStr">
        <is>
          <t>5</t>
        </is>
      </c>
      <c r="I10" s="5" t="inlineStr">
        <is>
          <t>37 Queens Road</t>
        </is>
      </c>
      <c r="J10" s="5" t="inlineStr">
        <is>
          <t>Leeds</t>
        </is>
      </c>
      <c r="K10" s="5" t="inlineStr">
        <is>
          <t>LS6 1NY</t>
        </is>
      </c>
      <c r="L10" s="5" t="inlineStr"/>
      <c r="M10" s="5" t="inlineStr"/>
      <c r="N10" s="5" t="inlineStr"/>
      <c r="O10" s="5" t="inlineStr">
        <is>
          <t>https://www.abubakrgroup.com/</t>
        </is>
      </c>
      <c r="P10" s="5" t="inlineStr">
        <is>
          <t>https://www.facebook.com/abubakrsupermarketsleeds/</t>
        </is>
      </c>
      <c r="Q10" s="5" t="inlineStr">
        <is>
          <t>https://www.instagram.com/abubakrleeds/</t>
        </is>
      </c>
      <c r="R10" s="5" t="inlineStr"/>
      <c r="S10" s="5" t="inlineStr"/>
      <c r="T10" s="5" t="inlineStr"/>
      <c r="U10" s="5" t="inlineStr"/>
      <c r="V10" s="5" t="inlineStr">
        <is>
          <t>High</t>
        </is>
      </c>
      <c r="W10" s="5" t="inlineStr">
        <is>
          <t>Multi-site retailer; Independent retailer; Relevant category; Active website; Social presence</t>
        </is>
      </c>
      <c r="X10" s="5" t="inlineStr">
        <is>
          <t>Not Found</t>
        </is>
      </c>
      <c r="Y10" s="5" t="inlineStr">
        <is>
          <t>Website Found</t>
        </is>
      </c>
      <c r="Z10" s="5" t="inlineStr">
        <is>
          <t>Medium</t>
        </is>
      </c>
      <c r="AA10" s="5" t="inlineStr">
        <is>
          <t>Duplicate Review Required</t>
        </is>
      </c>
      <c r="AB10" s="5" t="inlineStr">
        <is>
          <t>https://www.abubakrgroup.com/</t>
        </is>
      </c>
    </row>
    <row r="11">
      <c r="A11" s="10" t="inlineStr">
        <is>
          <t>WY-0010</t>
        </is>
      </c>
      <c r="B11" s="10" t="inlineStr">
        <is>
          <t>ABUBAKRGRO-05</t>
        </is>
      </c>
      <c r="C11" s="10" t="inlineStr">
        <is>
          <t>Abu Bakr Group</t>
        </is>
      </c>
      <c r="D11" s="10" t="inlineStr">
        <is>
          <t>Abu Bakr Supermarket (Roundhay Road, Leeds)</t>
        </is>
      </c>
      <c r="E11" s="10" t="inlineStr">
        <is>
          <t>Independent Supermarket</t>
        </is>
      </c>
      <c r="F11" s="10" t="inlineStr">
        <is>
          <t>Halal / world foods supermarket with retail &amp; wholesale supply</t>
        </is>
      </c>
      <c r="G11" s="10" t="inlineStr">
        <is>
          <t>Multi-Site Independent</t>
        </is>
      </c>
      <c r="H11" s="10" t="inlineStr">
        <is>
          <t>5</t>
        </is>
      </c>
      <c r="I11" s="10" t="inlineStr">
        <is>
          <t>215 Roundhay Road</t>
        </is>
      </c>
      <c r="J11" s="10" t="inlineStr">
        <is>
          <t>Leeds</t>
        </is>
      </c>
      <c r="K11" s="10" t="inlineStr"/>
      <c r="L11" s="10" t="inlineStr"/>
      <c r="M11" s="10" t="inlineStr"/>
      <c r="N11" s="10" t="inlineStr"/>
      <c r="O11" s="10" t="inlineStr">
        <is>
          <t>https://www.abubakrgroup.com/</t>
        </is>
      </c>
      <c r="P11" s="10" t="inlineStr">
        <is>
          <t>https://www.facebook.com/abubakrsupermarketsleeds/</t>
        </is>
      </c>
      <c r="Q11" s="10" t="inlineStr">
        <is>
          <t>https://www.instagram.com/abubakrleeds/</t>
        </is>
      </c>
      <c r="R11" s="10" t="inlineStr"/>
      <c r="S11" s="10" t="inlineStr"/>
      <c r="T11" s="10" t="inlineStr"/>
      <c r="U11" s="10" t="inlineStr"/>
      <c r="V11" s="10" t="inlineStr">
        <is>
          <t>High</t>
        </is>
      </c>
      <c r="W11" s="10" t="inlineStr">
        <is>
          <t>Multi-site retailer; Independent retailer; Relevant category; Active website; Social presence</t>
        </is>
      </c>
      <c r="X11" s="10" t="inlineStr">
        <is>
          <t>Not Found</t>
        </is>
      </c>
      <c r="Y11" s="10" t="inlineStr">
        <is>
          <t>Website Found</t>
        </is>
      </c>
      <c r="Z11" s="10" t="inlineStr">
        <is>
          <t>Medium</t>
        </is>
      </c>
      <c r="AA11" s="10" t="inlineStr">
        <is>
          <t>Partially Verified</t>
        </is>
      </c>
      <c r="AB11" s="10" t="inlineStr">
        <is>
          <t>https://www.abubakrgroup.com/</t>
        </is>
      </c>
    </row>
    <row r="12">
      <c r="A12" s="5" t="inlineStr">
        <is>
          <t>WY-0011</t>
        </is>
      </c>
      <c r="B12" s="5" t="inlineStr">
        <is>
          <t>CHEAPASMOK-01</t>
        </is>
      </c>
      <c r="C12" s="5" t="inlineStr">
        <is>
          <t>Cheapasmokes</t>
        </is>
      </c>
      <c r="D12" s="5" t="inlineStr">
        <is>
          <t>Cheapasmokes</t>
        </is>
      </c>
      <c r="E12" s="5" t="inlineStr">
        <is>
          <t>Tobacco Specialist</t>
        </is>
      </c>
      <c r="F12" s="5" t="inlineStr">
        <is>
          <t>Cut-price cigarette, tobacco and cigar specialist</t>
        </is>
      </c>
      <c r="G12" s="5" t="inlineStr">
        <is>
          <t>Regional Chain</t>
        </is>
      </c>
      <c r="H12" s="5" t="inlineStr"/>
      <c r="I12" s="5" t="inlineStr">
        <is>
          <t>Unit 24, Borough Market</t>
        </is>
      </c>
      <c r="J12" s="5" t="inlineStr">
        <is>
          <t>Halifax</t>
        </is>
      </c>
      <c r="K12" s="5" t="inlineStr">
        <is>
          <t>HX1 1DZ</t>
        </is>
      </c>
      <c r="L12" s="5" t="inlineStr">
        <is>
          <t>01422 355554</t>
        </is>
      </c>
      <c r="M12" s="5" t="inlineStr"/>
      <c r="N12" s="5" t="inlineStr">
        <is>
          <t>sales@cheapasmokes.com</t>
        </is>
      </c>
      <c r="O12" s="5" t="inlineStr">
        <is>
          <t>https://www.cheapasmokes.com/pages/cheapasmokes-halifax</t>
        </is>
      </c>
      <c r="P12" s="5" t="inlineStr"/>
      <c r="Q12" s="5" t="inlineStr"/>
      <c r="R12" s="5" t="inlineStr"/>
      <c r="S12" s="5" t="inlineStr"/>
      <c r="T12" s="5" t="inlineStr"/>
      <c r="U12" s="5" t="inlineStr"/>
      <c r="V12" s="5" t="inlineStr">
        <is>
          <t>High</t>
        </is>
      </c>
      <c r="W12" s="5" t="inlineStr">
        <is>
          <t>Multi-site retailer; Core relevant category; Public trade/sales contact; Active website</t>
        </is>
      </c>
      <c r="X12" s="5" t="inlineStr">
        <is>
          <t>Verified directory</t>
        </is>
      </c>
      <c r="Y12" s="5" t="inlineStr">
        <is>
          <t>Website Found</t>
        </is>
      </c>
      <c r="Z12" s="5" t="inlineStr">
        <is>
          <t>Medium</t>
        </is>
      </c>
      <c r="AA12" s="5" t="inlineStr">
        <is>
          <t>Partially Verified</t>
        </is>
      </c>
      <c r="AB12" s="5" t="inlineStr">
        <is>
          <t>https://www.cheapasmokes.com/pages/cheapasmokes-halifax</t>
        </is>
      </c>
    </row>
    <row r="13">
      <c r="A13" s="10" t="inlineStr">
        <is>
          <t>WY-0012</t>
        </is>
      </c>
      <c r="B13" s="10" t="inlineStr">
        <is>
          <t>DOMINIQUEL-01</t>
        </is>
      </c>
      <c r="C13" s="10" t="inlineStr">
        <is>
          <t>Dominique London Group / C.Gars Ltd</t>
        </is>
      </c>
      <c r="D13" s="10" t="inlineStr">
        <is>
          <t>C.Gars Leeds (Dominique London)</t>
        </is>
      </c>
      <c r="E13" s="10" t="inlineStr">
        <is>
          <t>Tobacco Specialist</t>
        </is>
      </c>
      <c r="F13" s="10" t="inlineStr">
        <is>
          <t>Havana cigar specialist - cigars, whisky, accessories</t>
        </is>
      </c>
      <c r="G13" s="10" t="inlineStr">
        <is>
          <t>National Chain</t>
        </is>
      </c>
      <c r="H13" s="10" t="inlineStr"/>
      <c r="I13" s="10" t="inlineStr">
        <is>
          <t>22 Thornton's Arcade</t>
        </is>
      </c>
      <c r="J13" s="10" t="inlineStr">
        <is>
          <t>Leeds</t>
        </is>
      </c>
      <c r="K13" s="10" t="inlineStr">
        <is>
          <t>LS1 6LQ</t>
        </is>
      </c>
      <c r="L13" s="10" t="inlineStr">
        <is>
          <t>0113 244 5556</t>
        </is>
      </c>
      <c r="M13" s="10" t="inlineStr"/>
      <c r="N13" s="10" t="inlineStr"/>
      <c r="O13" s="10" t="inlineStr">
        <is>
          <t>https://www.cgarsltd.co.uk/</t>
        </is>
      </c>
      <c r="P13" s="10" t="inlineStr">
        <is>
          <t>https://www.facebook.com/DominiqueLDN/</t>
        </is>
      </c>
      <c r="Q13" s="10" t="inlineStr"/>
      <c r="R13" s="10" t="inlineStr"/>
      <c r="S13" s="10" t="inlineStr"/>
      <c r="T13" s="10" t="inlineStr"/>
      <c r="U13" s="10" t="inlineStr"/>
      <c r="V13" s="10" t="inlineStr">
        <is>
          <t>High</t>
        </is>
      </c>
      <c r="W13" s="10" t="inlineStr">
        <is>
          <t>Multi-site retailer; Core relevant category; Active website; Social presence</t>
        </is>
      </c>
      <c r="X13" s="10" t="inlineStr">
        <is>
          <t>Verified directory</t>
        </is>
      </c>
      <c r="Y13" s="10" t="inlineStr">
        <is>
          <t>Website Found</t>
        </is>
      </c>
      <c r="Z13" s="10" t="inlineStr">
        <is>
          <t>Medium</t>
        </is>
      </c>
      <c r="AA13" s="10" t="inlineStr">
        <is>
          <t>Requires Verification</t>
        </is>
      </c>
      <c r="AB13" s="10" t="inlineStr">
        <is>
          <t>https://www.cgarsltd.co.uk/new-cgars-ltd-store-leeds-a-521.html</t>
        </is>
      </c>
    </row>
    <row r="14">
      <c r="A14" s="5" t="inlineStr">
        <is>
          <t>WY-0013</t>
        </is>
      </c>
      <c r="B14" s="5" t="inlineStr">
        <is>
          <t>ECIGNVAPE-01</t>
        </is>
      </c>
      <c r="C14" s="5" t="inlineStr">
        <is>
          <t>Ecig N Vape</t>
        </is>
      </c>
      <c r="D14" s="5" t="inlineStr">
        <is>
          <t>Ecig N Vape South Elmsall</t>
        </is>
      </c>
      <c r="E14" s="5" t="inlineStr">
        <is>
          <t>Vape Shop</t>
        </is>
      </c>
      <c r="F14" s="5" t="inlineStr">
        <is>
          <t>Vape retailer</t>
        </is>
      </c>
      <c r="G14" s="5" t="inlineStr">
        <is>
          <t>Multi-Site Independent</t>
        </is>
      </c>
      <c r="H14" s="5" t="inlineStr">
        <is>
          <t>2</t>
        </is>
      </c>
      <c r="I14" s="5" t="inlineStr">
        <is>
          <t>13 Barnsley Road</t>
        </is>
      </c>
      <c r="J14" s="5" t="inlineStr">
        <is>
          <t>South Elmsall</t>
        </is>
      </c>
      <c r="K14" s="5" t="inlineStr">
        <is>
          <t>WF9 2RJ</t>
        </is>
      </c>
      <c r="L14" s="5" t="inlineStr">
        <is>
          <t>01977 647267</t>
        </is>
      </c>
      <c r="M14" s="5" t="inlineStr"/>
      <c r="N14" s="5" t="inlineStr"/>
      <c r="O14" s="5" t="inlineStr"/>
      <c r="P14" s="5" t="inlineStr">
        <is>
          <t>https://www.facebook.com/Ecignvapesouthelmsall/</t>
        </is>
      </c>
      <c r="Q14" s="5" t="inlineStr"/>
      <c r="R14" s="5" t="inlineStr"/>
      <c r="S14" s="5" t="inlineStr"/>
      <c r="T14" s="5" t="inlineStr">
        <is>
          <t>12772350</t>
        </is>
      </c>
      <c r="U14" s="5" t="inlineStr"/>
      <c r="V14" s="5" t="inlineStr">
        <is>
          <t>High</t>
        </is>
      </c>
      <c r="W14" s="5" t="inlineStr">
        <is>
          <t>Multi-site retailer; Independent retailer; Core relevant category; Social presence</t>
        </is>
      </c>
      <c r="X14" s="5" t="inlineStr">
        <is>
          <t>Verified directory</t>
        </is>
      </c>
      <c r="Y14" s="5" t="inlineStr">
        <is>
          <t>Not Found</t>
        </is>
      </c>
      <c r="Z14" s="5" t="inlineStr">
        <is>
          <t>Medium</t>
        </is>
      </c>
      <c r="AA14" s="5" t="inlineStr">
        <is>
          <t>Requires Verification</t>
        </is>
      </c>
      <c r="AB14" s="5" t="inlineStr">
        <is>
          <t>https://find-and-update.company-information.service.gov.uk/company/12772350</t>
        </is>
      </c>
    </row>
    <row r="15">
      <c r="A15" s="10" t="inlineStr">
        <is>
          <t>WY-0014</t>
        </is>
      </c>
      <c r="B15" s="10" t="inlineStr">
        <is>
          <t>GTNEWS-01</t>
        </is>
      </c>
      <c r="C15" s="10" t="inlineStr">
        <is>
          <t>GT News</t>
        </is>
      </c>
      <c r="D15" s="10" t="inlineStr">
        <is>
          <t>GT News (White Rose Shopping Centre)</t>
        </is>
      </c>
      <c r="E15" s="10" t="inlineStr">
        <is>
          <t>Newsagent</t>
        </is>
      </c>
      <c r="F15" s="10" t="inlineStr">
        <is>
          <t>Shopping-centre newsagent and convenience kiosk</t>
        </is>
      </c>
      <c r="G15" s="10" t="inlineStr">
        <is>
          <t>Multi-Site Independent</t>
        </is>
      </c>
      <c r="H15" s="10" t="inlineStr">
        <is>
          <t>2</t>
        </is>
      </c>
      <c r="I15" s="10" t="inlineStr">
        <is>
          <t>Unit 28E Lower Level, White Rose Shopping Centre</t>
        </is>
      </c>
      <c r="J15" s="10" t="inlineStr">
        <is>
          <t>Leeds</t>
        </is>
      </c>
      <c r="K15" s="10" t="inlineStr">
        <is>
          <t>LS11 8LU</t>
        </is>
      </c>
      <c r="L15" s="10" t="inlineStr">
        <is>
          <t>0113 228 6446</t>
        </is>
      </c>
      <c r="M15" s="10" t="inlineStr"/>
      <c r="N15" s="10" t="inlineStr"/>
      <c r="O15" s="10" t="inlineStr">
        <is>
          <t>http://www.gtnews.co.uk/</t>
        </is>
      </c>
      <c r="P15" s="10" t="inlineStr"/>
      <c r="Q15" s="10" t="inlineStr"/>
      <c r="R15" s="10" t="inlineStr"/>
      <c r="S15" s="10" t="inlineStr"/>
      <c r="T15" s="10" t="inlineStr"/>
      <c r="U15" s="10" t="inlineStr"/>
      <c r="V15" s="10" t="inlineStr">
        <is>
          <t>Medium</t>
        </is>
      </c>
      <c r="W15" s="10" t="inlineStr">
        <is>
          <t>Multi-site retailer; Independent retailer; Relevant category; Active website</t>
        </is>
      </c>
      <c r="X15" s="10" t="inlineStr">
        <is>
          <t>Verified directory</t>
        </is>
      </c>
      <c r="Y15" s="10" t="inlineStr">
        <is>
          <t>Website Found</t>
        </is>
      </c>
      <c r="Z15" s="10" t="inlineStr">
        <is>
          <t>Medium</t>
        </is>
      </c>
      <c r="AA15" s="10" t="inlineStr">
        <is>
          <t>Requires Verification</t>
        </is>
      </c>
      <c r="AB15" s="10" t="inlineStr">
        <is>
          <t>https://www.leedsonline.co.uk/info/17974/</t>
        </is>
      </c>
    </row>
    <row r="16">
      <c r="A16" s="5" t="inlineStr">
        <is>
          <t>WY-0015</t>
        </is>
      </c>
      <c r="B16" s="5" t="inlineStr">
        <is>
          <t>KPMVAPES-01</t>
        </is>
      </c>
      <c r="C16" s="5" t="inlineStr">
        <is>
          <t>KPM Vapes</t>
        </is>
      </c>
      <c r="D16" s="5" t="inlineStr">
        <is>
          <t>KPM Vapes</t>
        </is>
      </c>
      <c r="E16" s="5" t="inlineStr">
        <is>
          <t>Vape Shop</t>
        </is>
      </c>
      <c r="F16" s="5" t="inlineStr">
        <is>
          <t>Vape retail and wholesale</t>
        </is>
      </c>
      <c r="G16" s="5" t="inlineStr">
        <is>
          <t>Multi-Site Independent</t>
        </is>
      </c>
      <c r="H16" s="5" t="inlineStr">
        <is>
          <t>2</t>
        </is>
      </c>
      <c r="I16" s="5" t="inlineStr">
        <is>
          <t>87/89 Wakefield Road</t>
        </is>
      </c>
      <c r="J16" s="5" t="inlineStr">
        <is>
          <t>Huddersfield</t>
        </is>
      </c>
      <c r="K16" s="5" t="inlineStr">
        <is>
          <t>HD5 9AB</t>
        </is>
      </c>
      <c r="L16" s="5" t="inlineStr">
        <is>
          <t>07463 530406</t>
        </is>
      </c>
      <c r="M16" s="5" t="inlineStr">
        <is>
          <t>kpmvapes@outlook.com</t>
        </is>
      </c>
      <c r="N16" s="5" t="inlineStr"/>
      <c r="O16" s="5" t="inlineStr"/>
      <c r="P16" s="5" t="inlineStr">
        <is>
          <t>https://www.facebook.com/people/KPM-Vapes/61556161391449/</t>
        </is>
      </c>
      <c r="Q16" s="5" t="inlineStr">
        <is>
          <t>https://www.instagram.com/kpmvapes/</t>
        </is>
      </c>
      <c r="R16" s="5" t="inlineStr"/>
      <c r="S16" s="5" t="inlineStr"/>
      <c r="T16" s="5" t="inlineStr"/>
      <c r="U16" s="5" t="inlineStr"/>
      <c r="V16" s="5" t="inlineStr">
        <is>
          <t>High</t>
        </is>
      </c>
      <c r="W16" s="5" t="inlineStr">
        <is>
          <t>Multi-site retailer; Independent retailer; Core relevant category; Public email available; Social presence</t>
        </is>
      </c>
      <c r="X16" s="5" t="inlineStr">
        <is>
          <t>Verified directory</t>
        </is>
      </c>
      <c r="Y16" s="5" t="inlineStr">
        <is>
          <t>Unverified</t>
        </is>
      </c>
      <c r="Z16" s="5" t="inlineStr">
        <is>
          <t>Medium</t>
        </is>
      </c>
      <c r="AA16" s="5" t="inlineStr">
        <is>
          <t>Requires Verification</t>
        </is>
      </c>
      <c r="AB16" s="5" t="inlineStr">
        <is>
          <t>https://www.facebook.com/people/KPM-Vapes/61556161391449/</t>
        </is>
      </c>
    </row>
    <row r="17">
      <c r="A17" s="10" t="inlineStr">
        <is>
          <t>WY-0016</t>
        </is>
      </c>
      <c r="B17" s="10" t="inlineStr">
        <is>
          <t>KARANRETAI-01</t>
        </is>
      </c>
      <c r="C17" s="10" t="inlineStr">
        <is>
          <t>Karan Retail Ltd</t>
        </is>
      </c>
      <c r="D17" s="10" t="inlineStr">
        <is>
          <t>Chidswell Service Station (Karan Retail)</t>
        </is>
      </c>
      <c r="E17" s="10" t="inlineStr">
        <is>
          <t>Petrol Station / Forecourt</t>
        </is>
      </c>
      <c r="F17" s="10" t="inlineStr">
        <is>
          <t>Forecourt with convenience store</t>
        </is>
      </c>
      <c r="G17" s="10" t="inlineStr">
        <is>
          <t>Multi-Site Independent</t>
        </is>
      </c>
      <c r="H17" s="10" t="inlineStr"/>
      <c r="I17" s="10" t="inlineStr">
        <is>
          <t>Off A653 (Chidswell)</t>
        </is>
      </c>
      <c r="J17" s="10" t="inlineStr">
        <is>
          <t>Dewsbury</t>
        </is>
      </c>
      <c r="K17" s="10" t="inlineStr"/>
      <c r="L17" s="10" t="inlineStr"/>
      <c r="M17" s="10" t="inlineStr"/>
      <c r="N17" s="10" t="inlineStr"/>
      <c r="O17" s="10" t="inlineStr"/>
      <c r="P17" s="10" t="inlineStr"/>
      <c r="Q17" s="10" t="inlineStr"/>
      <c r="R17" s="10" t="inlineStr"/>
      <c r="S17" s="10" t="inlineStr"/>
      <c r="T17" s="10" t="inlineStr"/>
      <c r="U17" s="10" t="inlineStr"/>
      <c r="V17" s="10" t="inlineStr">
        <is>
          <t>Medium</t>
        </is>
      </c>
      <c r="W17" s="10" t="inlineStr">
        <is>
          <t>Multi-site retailer; Independent retailer; Relevant category</t>
        </is>
      </c>
      <c r="X17" s="10" t="inlineStr">
        <is>
          <t>Not Found</t>
        </is>
      </c>
      <c r="Y17" s="10" t="inlineStr">
        <is>
          <t>Not Found</t>
        </is>
      </c>
      <c r="Z17" s="10" t="inlineStr">
        <is>
          <t>Low</t>
        </is>
      </c>
      <c r="AA17" s="10" t="inlineStr">
        <is>
          <t>Requires Verification</t>
        </is>
      </c>
      <c r="AB17" s="10" t="inlineStr">
        <is>
          <t>https://www.asiantrader.biz/karan-retail-chidswell-service-station-acquisition</t>
        </is>
      </c>
    </row>
    <row r="18">
      <c r="A18" s="5" t="inlineStr">
        <is>
          <t>WY-0017</t>
        </is>
      </c>
      <c r="B18" s="5" t="inlineStr">
        <is>
          <t>MANCHESTER-01</t>
        </is>
      </c>
      <c r="C18" s="5" t="inlineStr">
        <is>
          <t>Manchester Super Stores</t>
        </is>
      </c>
      <c r="D18" s="5" t="inlineStr">
        <is>
          <t>Manchester Superstore (Wakefield)</t>
        </is>
      </c>
      <c r="E18" s="5" t="inlineStr">
        <is>
          <t>Independent Supermarket</t>
        </is>
      </c>
      <c r="F18" s="5" t="inlineStr">
        <is>
          <t>Ethnic / Asian supermarket with halal meat</t>
        </is>
      </c>
      <c r="G18" s="5" t="inlineStr">
        <is>
          <t>Regional Chain</t>
        </is>
      </c>
      <c r="H18" s="5" t="inlineStr"/>
      <c r="I18" s="5" t="inlineStr">
        <is>
          <t>38 Park Lodge Lane</t>
        </is>
      </c>
      <c r="J18" s="5" t="inlineStr">
        <is>
          <t>Wakefield</t>
        </is>
      </c>
      <c r="K18" s="5" t="inlineStr">
        <is>
          <t>WF1 4NL</t>
        </is>
      </c>
      <c r="L18" s="5" t="inlineStr">
        <is>
          <t>01924 369105</t>
        </is>
      </c>
      <c r="M18" s="5" t="inlineStr"/>
      <c r="N18" s="5" t="inlineStr"/>
      <c r="O18" s="5" t="inlineStr">
        <is>
          <t>https://manchestersuperstores.co.uk/store-locations/manchester-super-stores-in-wakefield/</t>
        </is>
      </c>
      <c r="P18" s="5" t="inlineStr">
        <is>
          <t>https://www.facebook.com/p/Manchester-superstore-100067793681757/</t>
        </is>
      </c>
      <c r="Q18" s="5" t="inlineStr"/>
      <c r="R18" s="5" t="inlineStr"/>
      <c r="S18" s="5" t="inlineStr"/>
      <c r="T18" s="5" t="inlineStr">
        <is>
          <t>08447369</t>
        </is>
      </c>
      <c r="U18" s="5" t="inlineStr"/>
      <c r="V18" s="5" t="inlineStr">
        <is>
          <t>Medium</t>
        </is>
      </c>
      <c r="W18" s="5" t="inlineStr">
        <is>
          <t>Multi-site retailer; Relevant category; Active website; Social presence</t>
        </is>
      </c>
      <c r="X18" s="5" t="inlineStr">
        <is>
          <t>Verified directory</t>
        </is>
      </c>
      <c r="Y18" s="5" t="inlineStr">
        <is>
          <t>Website Found</t>
        </is>
      </c>
      <c r="Z18" s="5" t="inlineStr">
        <is>
          <t>Medium</t>
        </is>
      </c>
      <c r="AA18" s="5" t="inlineStr">
        <is>
          <t>Requires Verification</t>
        </is>
      </c>
      <c r="AB18" s="5" t="inlineStr">
        <is>
          <t>https://manchestersuperstores.co.uk/store-locations/manchester-super-stores-in-wakefield/</t>
        </is>
      </c>
    </row>
    <row r="19">
      <c r="A19" s="10" t="inlineStr">
        <is>
          <t>WY-0018</t>
        </is>
      </c>
      <c r="B19" s="10" t="inlineStr">
        <is>
          <t>MANCHESTER-02</t>
        </is>
      </c>
      <c r="C19" s="10" t="inlineStr">
        <is>
          <t>Manchester Super Stores</t>
        </is>
      </c>
      <c r="D19" s="10" t="inlineStr">
        <is>
          <t>Manchester Superstore Bradford</t>
        </is>
      </c>
      <c r="E19" s="10" t="inlineStr">
        <is>
          <t>Independent Supermarket</t>
        </is>
      </c>
      <c r="F19" s="10" t="inlineStr">
        <is>
          <t>Asian / halal superstore</t>
        </is>
      </c>
      <c r="G19" s="10" t="inlineStr">
        <is>
          <t>Multi-Site Independent</t>
        </is>
      </c>
      <c r="H19" s="10" t="inlineStr"/>
      <c r="I19" s="10" t="inlineStr">
        <is>
          <t>Florence Street</t>
        </is>
      </c>
      <c r="J19" s="10" t="inlineStr">
        <is>
          <t>Bradford</t>
        </is>
      </c>
      <c r="K19" s="10" t="inlineStr">
        <is>
          <t>BD3 8EX</t>
        </is>
      </c>
      <c r="L19" s="10" t="inlineStr">
        <is>
          <t>01274 668800</t>
        </is>
      </c>
      <c r="M19" s="10" t="inlineStr">
        <is>
          <t>mssbradford01@gmail.com</t>
        </is>
      </c>
      <c r="N19" s="10" t="inlineStr"/>
      <c r="O19" s="10" t="inlineStr">
        <is>
          <t>https://manchestersuperstores.co.uk/store-locations/manchester-super-stores-in-bradford/</t>
        </is>
      </c>
      <c r="P19" s="10" t="inlineStr">
        <is>
          <t>https://www.facebook.com/p/Manchester-SuperStore-Bradford-100066139307711/</t>
        </is>
      </c>
      <c r="Q19" s="10" t="inlineStr"/>
      <c r="R19" s="10" t="inlineStr"/>
      <c r="S19" s="10" t="inlineStr"/>
      <c r="T19" s="10" t="inlineStr"/>
      <c r="U19" s="10" t="inlineStr"/>
      <c r="V19" s="10" t="inlineStr">
        <is>
          <t>High</t>
        </is>
      </c>
      <c r="W19" s="10" t="inlineStr">
        <is>
          <t>Multi-site retailer; Independent retailer; Relevant category; Public email available; Active website; Social presence</t>
        </is>
      </c>
      <c r="X19" s="10" t="inlineStr">
        <is>
          <t>Verified directory</t>
        </is>
      </c>
      <c r="Y19" s="10" t="inlineStr">
        <is>
          <t>Website Found</t>
        </is>
      </c>
      <c r="Z19" s="10" t="inlineStr">
        <is>
          <t>Medium</t>
        </is>
      </c>
      <c r="AA19" s="10" t="inlineStr">
        <is>
          <t>Partially Verified</t>
        </is>
      </c>
      <c r="AB19" s="10" t="inlineStr">
        <is>
          <t>https://manchestersuperstores.co.uk/store-locations/manchester-super-stores-in-bradford/</t>
        </is>
      </c>
    </row>
    <row r="20">
      <c r="A20" s="5" t="inlineStr">
        <is>
          <t>WY-0019</t>
        </is>
      </c>
      <c r="B20" s="5" t="inlineStr">
        <is>
          <t>MULLACO-01</t>
        </is>
      </c>
      <c r="C20" s="5" t="inlineStr">
        <is>
          <t>Mullaco</t>
        </is>
      </c>
      <c r="D20" s="5" t="inlineStr">
        <is>
          <t>Mullaco (Batley)</t>
        </is>
      </c>
      <c r="E20" s="5" t="inlineStr">
        <is>
          <t>Independent Supermarket</t>
        </is>
      </c>
      <c r="F20" s="5" t="inlineStr">
        <is>
          <t>Asian and continental world foods store</t>
        </is>
      </c>
      <c r="G20" s="5" t="inlineStr">
        <is>
          <t>Regional Chain</t>
        </is>
      </c>
      <c r="H20" s="5" t="inlineStr">
        <is>
          <t>3</t>
        </is>
      </c>
      <c r="I20" s="5" t="inlineStr">
        <is>
          <t>35 Oxford Street</t>
        </is>
      </c>
      <c r="J20" s="5" t="inlineStr">
        <is>
          <t>Batley</t>
        </is>
      </c>
      <c r="K20" s="5" t="inlineStr">
        <is>
          <t>WF17 7PJ</t>
        </is>
      </c>
      <c r="L20" s="5" t="inlineStr">
        <is>
          <t>01924 939128</t>
        </is>
      </c>
      <c r="M20" s="5" t="inlineStr"/>
      <c r="N20" s="5" t="inlineStr"/>
      <c r="O20" s="5" t="inlineStr">
        <is>
          <t>https://mullaco.co.uk/</t>
        </is>
      </c>
      <c r="P20" s="5" t="inlineStr">
        <is>
          <t>https://www.facebook.com/mullaco.supermarket/</t>
        </is>
      </c>
      <c r="Q20" s="5" t="inlineStr">
        <is>
          <t>https://www.instagram.com/mullacosupermarket/</t>
        </is>
      </c>
      <c r="R20" s="5" t="inlineStr"/>
      <c r="S20" s="5" t="inlineStr"/>
      <c r="T20" s="5" t="inlineStr"/>
      <c r="U20" s="5" t="inlineStr"/>
      <c r="V20" s="5" t="inlineStr">
        <is>
          <t>Medium</t>
        </is>
      </c>
      <c r="W20" s="5" t="inlineStr">
        <is>
          <t>Multi-site retailer; Relevant category; Active website; Social presence</t>
        </is>
      </c>
      <c r="X20" s="5" t="inlineStr">
        <is>
          <t>Verified directory</t>
        </is>
      </c>
      <c r="Y20" s="5" t="inlineStr">
        <is>
          <t>Website Found</t>
        </is>
      </c>
      <c r="Z20" s="5" t="inlineStr">
        <is>
          <t>Medium</t>
        </is>
      </c>
      <c r="AA20" s="5" t="inlineStr">
        <is>
          <t>Requires Verification</t>
        </is>
      </c>
      <c r="AB20" s="5" t="inlineStr">
        <is>
          <t>https://mullaco.co.uk/contact-us/</t>
        </is>
      </c>
    </row>
    <row r="21">
      <c r="A21" s="10" t="inlineStr">
        <is>
          <t>WY-0020</t>
        </is>
      </c>
      <c r="B21" s="10" t="inlineStr">
        <is>
          <t>MULLACO-02</t>
        </is>
      </c>
      <c r="C21" s="10" t="inlineStr">
        <is>
          <t>Mullaco</t>
        </is>
      </c>
      <c r="D21" s="10" t="inlineStr">
        <is>
          <t>Mullaco Minimarket (Dewsbury)</t>
        </is>
      </c>
      <c r="E21" s="10" t="inlineStr">
        <is>
          <t>Convenience Store</t>
        </is>
      </c>
      <c r="F21" s="10" t="inlineStr">
        <is>
          <t>World foods minimarket</t>
        </is>
      </c>
      <c r="G21" s="10" t="inlineStr">
        <is>
          <t>Regional Chain</t>
        </is>
      </c>
      <c r="H21" s="10" t="inlineStr">
        <is>
          <t>3</t>
        </is>
      </c>
      <c r="I21" s="10" t="inlineStr"/>
      <c r="J21" s="10" t="inlineStr">
        <is>
          <t>Dewsbury</t>
        </is>
      </c>
      <c r="K21" s="10" t="inlineStr">
        <is>
          <t>WF12 9LX</t>
        </is>
      </c>
      <c r="L21" s="10" t="inlineStr"/>
      <c r="M21" s="10" t="inlineStr"/>
      <c r="N21" s="10" t="inlineStr"/>
      <c r="O21" s="10" t="inlineStr">
        <is>
          <t>https://mullaco.co.uk/</t>
        </is>
      </c>
      <c r="P21" s="10" t="inlineStr">
        <is>
          <t>https://www.facebook.com/mullaco.supermarket/</t>
        </is>
      </c>
      <c r="Q21" s="10" t="inlineStr"/>
      <c r="R21" s="10" t="inlineStr"/>
      <c r="S21" s="10" t="inlineStr"/>
      <c r="T21" s="10" t="inlineStr"/>
      <c r="U21" s="10" t="inlineStr"/>
      <c r="V21" s="10" t="inlineStr">
        <is>
          <t>Medium</t>
        </is>
      </c>
      <c r="W21" s="10" t="inlineStr">
        <is>
          <t>Multi-site retailer; Relevant category; Active website; Social presence</t>
        </is>
      </c>
      <c r="X21" s="10" t="inlineStr">
        <is>
          <t>Not Found</t>
        </is>
      </c>
      <c r="Y21" s="10" t="inlineStr">
        <is>
          <t>Website Found</t>
        </is>
      </c>
      <c r="Z21" s="10" t="inlineStr">
        <is>
          <t>Medium</t>
        </is>
      </c>
      <c r="AA21" s="10" t="inlineStr">
        <is>
          <t>Requires Verification</t>
        </is>
      </c>
      <c r="AB21" s="10" t="inlineStr">
        <is>
          <t>https://www.facebook.com/mullaco.supermarket/</t>
        </is>
      </c>
    </row>
    <row r="22">
      <c r="A22" s="5" t="inlineStr">
        <is>
          <t>WY-0021</t>
        </is>
      </c>
      <c r="B22" s="5" t="inlineStr">
        <is>
          <t>MULLACO-03</t>
        </is>
      </c>
      <c r="C22" s="5" t="inlineStr">
        <is>
          <t>Mullaco</t>
        </is>
      </c>
      <c r="D22" s="5" t="inlineStr">
        <is>
          <t>Mullaco Supermarket (Dewsbury)</t>
        </is>
      </c>
      <c r="E22" s="5" t="inlineStr">
        <is>
          <t>Independent Supermarket</t>
        </is>
      </c>
      <c r="F22" s="5" t="inlineStr">
        <is>
          <t>Asian and continental world foods supermarket</t>
        </is>
      </c>
      <c r="G22" s="5" t="inlineStr">
        <is>
          <t>Regional Chain</t>
        </is>
      </c>
      <c r="H22" s="5" t="inlineStr">
        <is>
          <t>3</t>
        </is>
      </c>
      <c r="I22" s="5" t="inlineStr">
        <is>
          <t>Mullaco Retail Park, Slaithwaite Road</t>
        </is>
      </c>
      <c r="J22" s="5" t="inlineStr">
        <is>
          <t>Dewsbury</t>
        </is>
      </c>
      <c r="K22" s="5" t="inlineStr">
        <is>
          <t>WF12 0AA</t>
        </is>
      </c>
      <c r="L22" s="5" t="inlineStr">
        <is>
          <t>01924 465909</t>
        </is>
      </c>
      <c r="M22" s="5" t="inlineStr"/>
      <c r="N22" s="5" t="inlineStr"/>
      <c r="O22" s="5" t="inlineStr">
        <is>
          <t>https://mullaco.co.uk/</t>
        </is>
      </c>
      <c r="P22" s="5" t="inlineStr">
        <is>
          <t>https://www.facebook.com/mullaco.supermarket/</t>
        </is>
      </c>
      <c r="Q22" s="5" t="inlineStr">
        <is>
          <t>https://www.instagram.com/mullacosupermarket/</t>
        </is>
      </c>
      <c r="R22" s="5" t="inlineStr"/>
      <c r="S22" s="5" t="inlineStr"/>
      <c r="T22" s="5" t="inlineStr">
        <is>
          <t>06629345</t>
        </is>
      </c>
      <c r="U22" s="5" t="inlineStr"/>
      <c r="V22" s="5" t="inlineStr">
        <is>
          <t>Medium</t>
        </is>
      </c>
      <c r="W22" s="5" t="inlineStr">
        <is>
          <t>Multi-site retailer; Relevant category; Active website; Social presence</t>
        </is>
      </c>
      <c r="X22" s="5" t="inlineStr">
        <is>
          <t>Verified directory</t>
        </is>
      </c>
      <c r="Y22" s="5" t="inlineStr">
        <is>
          <t>Website Found</t>
        </is>
      </c>
      <c r="Z22" s="5" t="inlineStr">
        <is>
          <t>Medium</t>
        </is>
      </c>
      <c r="AA22" s="5" t="inlineStr">
        <is>
          <t>Requires Verification</t>
        </is>
      </c>
      <c r="AB22" s="5" t="inlineStr">
        <is>
          <t>https://mullaco.co.uk/contact-us/</t>
        </is>
      </c>
    </row>
    <row r="23">
      <c r="A23" s="10" t="inlineStr">
        <is>
          <t>WY-0022</t>
        </is>
      </c>
      <c r="B23" s="10" t="inlineStr">
        <is>
          <t>SMKD-01</t>
        </is>
      </c>
      <c r="C23" s="10" t="inlineStr">
        <is>
          <t>SMKD</t>
        </is>
      </c>
      <c r="D23" s="10" t="inlineStr">
        <is>
          <t>SMKD</t>
        </is>
      </c>
      <c r="E23" s="10" t="inlineStr">
        <is>
          <t>Vape Shop</t>
        </is>
      </c>
      <c r="F23" s="10" t="inlineStr">
        <is>
          <t>Vape chain store</t>
        </is>
      </c>
      <c r="G23" s="10" t="inlineStr">
        <is>
          <t>Regional Chain</t>
        </is>
      </c>
      <c r="H23" s="10" t="inlineStr"/>
      <c r="I23" s="10" t="inlineStr">
        <is>
          <t>31-32 Market Street</t>
        </is>
      </c>
      <c r="J23" s="10" t="inlineStr">
        <is>
          <t>Halifax</t>
        </is>
      </c>
      <c r="K23" s="10" t="inlineStr">
        <is>
          <t>HX1 1DZ</t>
        </is>
      </c>
      <c r="L23" s="10" t="inlineStr"/>
      <c r="M23" s="10" t="inlineStr">
        <is>
          <t>info@smkd.com</t>
        </is>
      </c>
      <c r="N23" s="10" t="inlineStr"/>
      <c r="O23" s="10" t="inlineStr">
        <is>
          <t>https://smkd.com/vape-shop-locator/smkd-halifax-vape-shop-market-street/</t>
        </is>
      </c>
      <c r="P23" s="10" t="inlineStr">
        <is>
          <t>https://www.facebook.com/SmkdVapeShop/</t>
        </is>
      </c>
      <c r="Q23" s="10" t="inlineStr"/>
      <c r="R23" s="10" t="inlineStr"/>
      <c r="S23" s="10" t="inlineStr"/>
      <c r="T23" s="10" t="inlineStr">
        <is>
          <t>16161027</t>
        </is>
      </c>
      <c r="U23" s="10" t="inlineStr">
        <is>
          <t>Active</t>
        </is>
      </c>
      <c r="V23" s="10" t="inlineStr">
        <is>
          <t>High</t>
        </is>
      </c>
      <c r="W23" s="10" t="inlineStr">
        <is>
          <t>Multi-site retailer; Core relevant category; Public email available; Active website; Social presence</t>
        </is>
      </c>
      <c r="X23" s="10" t="inlineStr">
        <is>
          <t>Not Found</t>
        </is>
      </c>
      <c r="Y23" s="10" t="inlineStr">
        <is>
          <t>Website Found</t>
        </is>
      </c>
      <c r="Z23" s="10" t="inlineStr">
        <is>
          <t>Medium</t>
        </is>
      </c>
      <c r="AA23" s="10" t="inlineStr">
        <is>
          <t>Partially Verified</t>
        </is>
      </c>
      <c r="AB23" s="10" t="inlineStr">
        <is>
          <t>https://smkd.com/vape-shop-locator/smkd-halifax-vape-shop-market-street/</t>
        </is>
      </c>
    </row>
    <row r="24">
      <c r="A24" s="5" t="inlineStr">
        <is>
          <t>WY-0023</t>
        </is>
      </c>
      <c r="B24" s="5" t="inlineStr">
        <is>
          <t>SMKD-02</t>
        </is>
      </c>
      <c r="C24" s="5" t="inlineStr">
        <is>
          <t>SMKD</t>
        </is>
      </c>
      <c r="D24" s="5" t="inlineStr">
        <is>
          <t>SMKD</t>
        </is>
      </c>
      <c r="E24" s="5" t="inlineStr">
        <is>
          <t>Vape Shop</t>
        </is>
      </c>
      <c r="F24" s="5" t="inlineStr">
        <is>
          <t>Vape chain store with same-day local delivery</t>
        </is>
      </c>
      <c r="G24" s="5" t="inlineStr">
        <is>
          <t>Regional Chain</t>
        </is>
      </c>
      <c r="H24" s="5" t="inlineStr"/>
      <c r="I24" s="5" t="inlineStr"/>
      <c r="J24" s="5" t="inlineStr">
        <is>
          <t>Hebden Bridge</t>
        </is>
      </c>
      <c r="K24" s="5" t="inlineStr"/>
      <c r="L24" s="5" t="inlineStr">
        <is>
          <t>01274 270303</t>
        </is>
      </c>
      <c r="M24" s="5" t="inlineStr">
        <is>
          <t>info@smkd.com</t>
        </is>
      </c>
      <c r="N24" s="5" t="inlineStr"/>
      <c r="O24" s="5" t="inlineStr">
        <is>
          <t>https://smkd.com/vape-shop-locator/smkd-hebden-bridge-vape-shop-west-end/</t>
        </is>
      </c>
      <c r="P24" s="5" t="inlineStr">
        <is>
          <t>https://www.facebook.com/SmkdVapeShop/</t>
        </is>
      </c>
      <c r="Q24" s="5" t="inlineStr"/>
      <c r="R24" s="5" t="inlineStr"/>
      <c r="S24" s="5" t="inlineStr"/>
      <c r="T24" s="5" t="inlineStr">
        <is>
          <t>16161027</t>
        </is>
      </c>
      <c r="U24" s="5" t="inlineStr">
        <is>
          <t>Active</t>
        </is>
      </c>
      <c r="V24" s="5" t="inlineStr">
        <is>
          <t>High</t>
        </is>
      </c>
      <c r="W24" s="5" t="inlineStr">
        <is>
          <t>Multi-site retailer; Core relevant category; Public email available; Active website; Social presence</t>
        </is>
      </c>
      <c r="X24" s="5" t="inlineStr">
        <is>
          <t>Unverified</t>
        </is>
      </c>
      <c r="Y24" s="5" t="inlineStr">
        <is>
          <t>Publicly Listed</t>
        </is>
      </c>
      <c r="Z24" s="5" t="inlineStr">
        <is>
          <t>Medium</t>
        </is>
      </c>
      <c r="AA24" s="5" t="inlineStr">
        <is>
          <t>Partially Verified</t>
        </is>
      </c>
      <c r="AB24" s="5" t="inlineStr">
        <is>
          <t>https://smkd.com/vape-shop-locator/smkd-hebden-bridge-vape-shop-west-end/</t>
        </is>
      </c>
    </row>
    <row r="25">
      <c r="A25" s="10" t="inlineStr">
        <is>
          <t>WY-0024</t>
        </is>
      </c>
      <c r="B25" s="10" t="inlineStr">
        <is>
          <t>SMKD-03</t>
        </is>
      </c>
      <c r="C25" s="10" t="inlineStr">
        <is>
          <t>SMKD</t>
        </is>
      </c>
      <c r="D25" s="10" t="inlineStr">
        <is>
          <t>SMKD - E Cigarettes and Vape Shop (Wakefield)</t>
        </is>
      </c>
      <c r="E25" s="10" t="inlineStr">
        <is>
          <t>Vape Shop</t>
        </is>
      </c>
      <c r="F25" s="10" t="inlineStr">
        <is>
          <t>Vape hardware and e-liquid retailer</t>
        </is>
      </c>
      <c r="G25" s="10" t="inlineStr">
        <is>
          <t>Regional Chain</t>
        </is>
      </c>
      <c r="H25" s="10" t="inlineStr"/>
      <c r="I25" s="10" t="inlineStr">
        <is>
          <t>Ridings Shopping Centre</t>
        </is>
      </c>
      <c r="J25" s="10" t="inlineStr">
        <is>
          <t>Wakefield</t>
        </is>
      </c>
      <c r="K25" s="10" t="inlineStr">
        <is>
          <t>WF1 1DS</t>
        </is>
      </c>
      <c r="L25" s="10" t="inlineStr">
        <is>
          <t>01924 728100</t>
        </is>
      </c>
      <c r="M25" s="10" t="inlineStr">
        <is>
          <t>info@smkd.com</t>
        </is>
      </c>
      <c r="N25" s="10" t="inlineStr"/>
      <c r="O25" s="10" t="inlineStr">
        <is>
          <t>https://smkd.com</t>
        </is>
      </c>
      <c r="P25" s="10" t="inlineStr">
        <is>
          <t>https://www.facebook.com/SmkdVapeShop/</t>
        </is>
      </c>
      <c r="Q25" s="10" t="inlineStr"/>
      <c r="R25" s="10" t="inlineStr"/>
      <c r="S25" s="10" t="inlineStr"/>
      <c r="T25" s="10" t="inlineStr">
        <is>
          <t>16161027</t>
        </is>
      </c>
      <c r="U25" s="10" t="inlineStr">
        <is>
          <t>Active</t>
        </is>
      </c>
      <c r="V25" s="10" t="inlineStr">
        <is>
          <t>High</t>
        </is>
      </c>
      <c r="W25" s="10" t="inlineStr">
        <is>
          <t>Multi-site retailer; Core relevant category; Public email available; Active website; Social presence</t>
        </is>
      </c>
      <c r="X25" s="10" t="inlineStr">
        <is>
          <t>Verified directory</t>
        </is>
      </c>
      <c r="Y25" s="10" t="inlineStr">
        <is>
          <t>Unverified</t>
        </is>
      </c>
      <c r="Z25" s="10" t="inlineStr">
        <is>
          <t>Medium</t>
        </is>
      </c>
      <c r="AA25" s="10" t="inlineStr">
        <is>
          <t>Partially Verified</t>
        </is>
      </c>
      <c r="AB25" s="10" t="inlineStr">
        <is>
          <t>https://smkd.com/vape-shop-locator/wakefield-vape-shop-ridings-shopping-centre/</t>
        </is>
      </c>
    </row>
    <row r="26">
      <c r="A26" s="5" t="inlineStr">
        <is>
          <t>WY-0025</t>
        </is>
      </c>
      <c r="B26" s="5" t="inlineStr">
        <is>
          <t>SAVILEPETR-01</t>
        </is>
      </c>
      <c r="C26" s="5" t="inlineStr">
        <is>
          <t>Savile Petroleum Limited</t>
        </is>
      </c>
      <c r="D26" s="5" t="inlineStr">
        <is>
          <t>Dewsbury Service Station (Savile Petroleum)</t>
        </is>
      </c>
      <c r="E26" s="5" t="inlineStr">
        <is>
          <t>Petrol Station / Forecourt</t>
        </is>
      </c>
      <c r="F26" s="5" t="inlineStr">
        <is>
          <t>BP-branded independent forecourt with convenience store</t>
        </is>
      </c>
      <c r="G26" s="5" t="inlineStr">
        <is>
          <t>Independent</t>
        </is>
      </c>
      <c r="H26" s="5" t="inlineStr">
        <is>
          <t>1</t>
        </is>
      </c>
      <c r="I26" s="5" t="inlineStr">
        <is>
          <t>Savile Road</t>
        </is>
      </c>
      <c r="J26" s="5" t="inlineStr">
        <is>
          <t>Dewsbury</t>
        </is>
      </c>
      <c r="K26" s="5" t="inlineStr">
        <is>
          <t>WF12 9LR</t>
        </is>
      </c>
      <c r="L26" s="5" t="inlineStr"/>
      <c r="M26" s="5" t="inlineStr"/>
      <c r="N26" s="5" t="inlineStr"/>
      <c r="O26" s="5" t="inlineStr"/>
      <c r="P26" s="5" t="inlineStr"/>
      <c r="Q26" s="5" t="inlineStr"/>
      <c r="R26" s="5" t="inlineStr"/>
      <c r="S26" s="5" t="inlineStr"/>
      <c r="T26" s="5" t="inlineStr">
        <is>
          <t>05197700</t>
        </is>
      </c>
      <c r="U26" s="5" t="inlineStr">
        <is>
          <t>Active</t>
        </is>
      </c>
      <c r="V26" s="5" t="inlineStr">
        <is>
          <t>Medium</t>
        </is>
      </c>
      <c r="W26" s="5" t="inlineStr">
        <is>
          <t>Multi-site retailer; Independent retailer; Relevant category</t>
        </is>
      </c>
      <c r="X26" s="5" t="inlineStr">
        <is>
          <t>Not Found</t>
        </is>
      </c>
      <c r="Y26" s="5" t="inlineStr">
        <is>
          <t>Not Found</t>
        </is>
      </c>
      <c r="Z26" s="5" t="inlineStr">
        <is>
          <t>Medium</t>
        </is>
      </c>
      <c r="AA26" s="5" t="inlineStr">
        <is>
          <t>Partially Verified</t>
        </is>
      </c>
      <c r="AB26" s="5" t="inlineStr">
        <is>
          <t>https://find-and-update.company-information.service.gov.uk/company/05197700</t>
        </is>
      </c>
    </row>
    <row r="27">
      <c r="A27" s="10" t="inlineStr">
        <is>
          <t>WY-0026</t>
        </is>
      </c>
      <c r="B27" s="10" t="inlineStr">
        <is>
          <t>SINGKEEFOO-01</t>
        </is>
      </c>
      <c r="C27" s="10" t="inlineStr">
        <is>
          <t>Sing Kee Foods (Sing-Ying Group)</t>
        </is>
      </c>
      <c r="D27" s="10" t="inlineStr">
        <is>
          <t>Sing Kee Foods (Sheepscar)</t>
        </is>
      </c>
      <c r="E27" s="10" t="inlineStr">
        <is>
          <t>Independent Supermarket</t>
        </is>
      </c>
      <c r="F27" s="10" t="inlineStr">
        <is>
          <t>Chinese / Oriental supermarket and catering supplier</t>
        </is>
      </c>
      <c r="G27" s="10" t="inlineStr">
        <is>
          <t>Multi-Site Independent</t>
        </is>
      </c>
      <c r="H27" s="10" t="inlineStr">
        <is>
          <t>2</t>
        </is>
      </c>
      <c r="I27" s="10" t="inlineStr">
        <is>
          <t>Sing Yang Building, 30-36 Cross Stamford Street</t>
        </is>
      </c>
      <c r="J27" s="10" t="inlineStr">
        <is>
          <t>Leeds</t>
        </is>
      </c>
      <c r="K27" s="10" t="inlineStr">
        <is>
          <t>LS7 1BA</t>
        </is>
      </c>
      <c r="L27" s="10" t="inlineStr">
        <is>
          <t>0113 898 0168</t>
        </is>
      </c>
      <c r="M27" s="10" t="inlineStr"/>
      <c r="N27" s="10" t="inlineStr">
        <is>
          <t>wholesale@singkeefoods.co.uk</t>
        </is>
      </c>
      <c r="O27" s="10" t="inlineStr">
        <is>
          <t>https://singkeefoods.co.uk/gb/</t>
        </is>
      </c>
      <c r="P27" s="10" t="inlineStr">
        <is>
          <t>https://www.facebook.com/singkee.chinesesupermarket/</t>
        </is>
      </c>
      <c r="Q27" s="10" t="inlineStr"/>
      <c r="R27" s="10" t="inlineStr"/>
      <c r="S27" s="10" t="inlineStr"/>
      <c r="T27" s="10" t="inlineStr">
        <is>
          <t>04025779</t>
        </is>
      </c>
      <c r="U27" s="10" t="inlineStr"/>
      <c r="V27" s="10" t="inlineStr">
        <is>
          <t>High</t>
        </is>
      </c>
      <c r="W27" s="10" t="inlineStr">
        <is>
          <t>Multi-site retailer; Independent retailer; Relevant category; Public trade/sales contact; Active website; Social presence</t>
        </is>
      </c>
      <c r="X27" s="10" t="inlineStr">
        <is>
          <t>Verified directory</t>
        </is>
      </c>
      <c r="Y27" s="10" t="inlineStr">
        <is>
          <t>Website Found</t>
        </is>
      </c>
      <c r="Z27" s="10" t="inlineStr">
        <is>
          <t>Medium</t>
        </is>
      </c>
      <c r="AA27" s="10" t="inlineStr">
        <is>
          <t>Partially Verified</t>
        </is>
      </c>
      <c r="AB27" s="10" t="inlineStr">
        <is>
          <t>https://singkeefoods.com/gb/contact-us</t>
        </is>
      </c>
    </row>
    <row r="28">
      <c r="A28" s="5" t="inlineStr">
        <is>
          <t>WY-0027</t>
        </is>
      </c>
      <c r="B28" s="5" t="inlineStr">
        <is>
          <t>SINGKEEFOO-02</t>
        </is>
      </c>
      <c r="C28" s="5" t="inlineStr">
        <is>
          <t>Sing Kee Foods (Sing-Ying Group)</t>
        </is>
      </c>
      <c r="D28" s="5" t="inlineStr">
        <is>
          <t>Sing Kee Oriental Supermarket (Merrion Centre)</t>
        </is>
      </c>
      <c r="E28" s="5" t="inlineStr">
        <is>
          <t>Independent Supermarket</t>
        </is>
      </c>
      <c r="F28" s="5" t="inlineStr">
        <is>
          <t>Chinese / Oriental supermarket</t>
        </is>
      </c>
      <c r="G28" s="5" t="inlineStr">
        <is>
          <t>Multi-Site Independent</t>
        </is>
      </c>
      <c r="H28" s="5" t="inlineStr">
        <is>
          <t>2</t>
        </is>
      </c>
      <c r="I28" s="5" t="inlineStr">
        <is>
          <t>26-28 Woodhouse Lane, Merrion Centre</t>
        </is>
      </c>
      <c r="J28" s="5" t="inlineStr">
        <is>
          <t>Leeds</t>
        </is>
      </c>
      <c r="K28" s="5" t="inlineStr">
        <is>
          <t>LS2 8LX</t>
        </is>
      </c>
      <c r="L28" s="5" t="inlineStr"/>
      <c r="M28" s="5" t="inlineStr"/>
      <c r="N28" s="5" t="inlineStr"/>
      <c r="O28" s="5" t="inlineStr">
        <is>
          <t>https://singkeefoods.co.uk/gb/</t>
        </is>
      </c>
      <c r="P28" s="5" t="inlineStr">
        <is>
          <t>https://www.facebook.com/SingKeeLeedsCentre/</t>
        </is>
      </c>
      <c r="Q28" s="5" t="inlineStr"/>
      <c r="R28" s="5" t="inlineStr"/>
      <c r="S28" s="5" t="inlineStr"/>
      <c r="T28" s="5" t="inlineStr"/>
      <c r="U28" s="5" t="inlineStr"/>
      <c r="V28" s="5" t="inlineStr">
        <is>
          <t>High</t>
        </is>
      </c>
      <c r="W28" s="5" t="inlineStr">
        <is>
          <t>Multi-site retailer; Independent retailer; Relevant category; Active website; Social presence</t>
        </is>
      </c>
      <c r="X28" s="5" t="inlineStr">
        <is>
          <t>Not Found</t>
        </is>
      </c>
      <c r="Y28" s="5" t="inlineStr">
        <is>
          <t>Website Found</t>
        </is>
      </c>
      <c r="Z28" s="5" t="inlineStr">
        <is>
          <t>Medium</t>
        </is>
      </c>
      <c r="AA28" s="5" t="inlineStr">
        <is>
          <t>Requires Verification</t>
        </is>
      </c>
      <c r="AB28" s="5" t="inlineStr">
        <is>
          <t>https://singkeefoods.co.uk/gb/stores</t>
        </is>
      </c>
    </row>
    <row r="29">
      <c r="A29" s="10" t="inlineStr">
        <is>
          <t>WY-0028</t>
        </is>
      </c>
      <c r="B29" s="10" t="inlineStr">
        <is>
          <t>SPEEDPETRO-01</t>
        </is>
      </c>
      <c r="C29" s="10" t="inlineStr">
        <is>
          <t>Speed Petroleum</t>
        </is>
      </c>
      <c r="D29" s="10" t="inlineStr">
        <is>
          <t>Glasshoughton Service Station</t>
        </is>
      </c>
      <c r="E29" s="10" t="inlineStr">
        <is>
          <t>Petrol Station / Forecourt</t>
        </is>
      </c>
      <c r="F29" s="10" t="inlineStr">
        <is>
          <t>BP-branded dealer forecourt with Nisa Local shop</t>
        </is>
      </c>
      <c r="G29" s="10" t="inlineStr">
        <is>
          <t>Franchise / Symbol Group</t>
        </is>
      </c>
      <c r="H29" s="10" t="inlineStr">
        <is>
          <t>1</t>
        </is>
      </c>
      <c r="I29" s="10" t="inlineStr">
        <is>
          <t>Park Road</t>
        </is>
      </c>
      <c r="J29" s="10" t="inlineStr">
        <is>
          <t>Castleford</t>
        </is>
      </c>
      <c r="K29" s="10" t="inlineStr">
        <is>
          <t>WF10 4RS</t>
        </is>
      </c>
      <c r="L29" s="10" t="inlineStr">
        <is>
          <t>01977 278353</t>
        </is>
      </c>
      <c r="M29" s="10" t="inlineStr"/>
      <c r="N29" s="10" t="inlineStr"/>
      <c r="O29" s="10" t="inlineStr">
        <is>
          <t>https://www.nisalocally.co.uk/stores/west-yorkshire/castleford/bp-glasshoughton-ser-st</t>
        </is>
      </c>
      <c r="P29" s="10" t="inlineStr"/>
      <c r="Q29" s="10" t="inlineStr"/>
      <c r="R29" s="10" t="inlineStr"/>
      <c r="S29" s="10" t="inlineStr"/>
      <c r="T29" s="10" t="inlineStr"/>
      <c r="U29" s="10" t="inlineStr"/>
      <c r="V29" s="10" t="inlineStr">
        <is>
          <t>Medium</t>
        </is>
      </c>
      <c r="W29" s="10" t="inlineStr">
        <is>
          <t>Multi-site retailer; Independent retailer; Relevant category; Active website</t>
        </is>
      </c>
      <c r="X29" s="10" t="inlineStr">
        <is>
          <t>Verified directory</t>
        </is>
      </c>
      <c r="Y29" s="10" t="inlineStr">
        <is>
          <t>Not Found</t>
        </is>
      </c>
      <c r="Z29" s="10" t="inlineStr">
        <is>
          <t>Medium</t>
        </is>
      </c>
      <c r="AA29" s="10" t="inlineStr">
        <is>
          <t>Requires Verification</t>
        </is>
      </c>
      <c r="AB29" s="10" t="inlineStr">
        <is>
          <t>https://www.nisalocally.co.uk/stores/west-yorkshire/castleford/bp-glasshoughton-ser-st</t>
        </is>
      </c>
    </row>
    <row r="30">
      <c r="A30" s="5" t="inlineStr">
        <is>
          <t>WY-0029</t>
        </is>
      </c>
      <c r="B30" s="5" t="inlineStr">
        <is>
          <t>TBCASHCARR-01</t>
        </is>
      </c>
      <c r="C30" s="5" t="inlineStr">
        <is>
          <t>TB Cash &amp; Carry</t>
        </is>
      </c>
      <c r="D30" s="5" t="inlineStr">
        <is>
          <t>TB Cash &amp; Carry (Bradford)</t>
        </is>
      </c>
      <c r="E30" s="5" t="inlineStr">
        <is>
          <t>Cash &amp; Carry</t>
        </is>
      </c>
      <c r="F30" s="5" t="inlineStr">
        <is>
          <t>Confectionery, soft drinks, crisps &amp; snacks wholesaler</t>
        </is>
      </c>
      <c r="G30" s="5" t="inlineStr">
        <is>
          <t>Multi-Site Independent</t>
        </is>
      </c>
      <c r="H30" s="5" t="inlineStr">
        <is>
          <t>2</t>
        </is>
      </c>
      <c r="I30" s="5" t="inlineStr">
        <is>
          <t>91 Legrams Lane</t>
        </is>
      </c>
      <c r="J30" s="5" t="inlineStr">
        <is>
          <t>Bradford</t>
        </is>
      </c>
      <c r="K30" s="5" t="inlineStr">
        <is>
          <t>BD7 1NH</t>
        </is>
      </c>
      <c r="L30" s="5" t="inlineStr">
        <is>
          <t>01274 740555</t>
        </is>
      </c>
      <c r="M30" s="5" t="inlineStr">
        <is>
          <t>info@tbcashandcarry.co.uk</t>
        </is>
      </c>
      <c r="N30" s="5" t="inlineStr"/>
      <c r="O30" s="5" t="inlineStr">
        <is>
          <t>https://tbcashandcarry.co.uk/</t>
        </is>
      </c>
      <c r="P30" s="5" t="inlineStr">
        <is>
          <t>https://www.facebook.com/p/TB-Cash-Carry-100077147298501/</t>
        </is>
      </c>
      <c r="Q30" s="5" t="inlineStr"/>
      <c r="R30" s="5" t="inlineStr"/>
      <c r="S30" s="5" t="inlineStr"/>
      <c r="T30" s="5" t="inlineStr"/>
      <c r="U30" s="5" t="inlineStr"/>
      <c r="V30" s="5" t="inlineStr">
        <is>
          <t>High</t>
        </is>
      </c>
      <c r="W30" s="5" t="inlineStr">
        <is>
          <t>Multi-site retailer; Independent retailer; Core relevant category; Public email available; Active website; Social presence</t>
        </is>
      </c>
      <c r="X30" s="5" t="inlineStr">
        <is>
          <t>Verified directory</t>
        </is>
      </c>
      <c r="Y30" s="5" t="inlineStr">
        <is>
          <t>Unverified</t>
        </is>
      </c>
      <c r="Z30" s="5" t="inlineStr">
        <is>
          <t>Medium</t>
        </is>
      </c>
      <c r="AA30" s="5" t="inlineStr">
        <is>
          <t>Verified (website + Companies House)</t>
        </is>
      </c>
      <c r="AB30" s="5" t="inlineStr">
        <is>
          <t>https://tbcashandcarry.co.uk/</t>
        </is>
      </c>
    </row>
    <row r="31">
      <c r="A31" s="10" t="inlineStr">
        <is>
          <t>WY-0030</t>
        </is>
      </c>
      <c r="B31" s="10" t="inlineStr">
        <is>
          <t>TBCASHCARR-02</t>
        </is>
      </c>
      <c r="C31" s="10" t="inlineStr">
        <is>
          <t>TB Cash &amp; Carry</t>
        </is>
      </c>
      <c r="D31" s="10" t="inlineStr">
        <is>
          <t>TB Cash &amp; Carry (Leeds)</t>
        </is>
      </c>
      <c r="E31" s="10" t="inlineStr">
        <is>
          <t>Cash &amp; Carry</t>
        </is>
      </c>
      <c r="F31" s="10" t="inlineStr">
        <is>
          <t>Confectionery, soft drinks, crisps &amp; snacks wholesaler</t>
        </is>
      </c>
      <c r="G31" s="10" t="inlineStr">
        <is>
          <t>Multi-Site Independent</t>
        </is>
      </c>
      <c r="H31" s="10" t="inlineStr">
        <is>
          <t>2</t>
        </is>
      </c>
      <c r="I31" s="10" t="inlineStr">
        <is>
          <t>90 Gelderd Road</t>
        </is>
      </c>
      <c r="J31" s="10" t="inlineStr">
        <is>
          <t>Leeds</t>
        </is>
      </c>
      <c r="K31" s="10" t="inlineStr">
        <is>
          <t>LS12 6HD</t>
        </is>
      </c>
      <c r="L31" s="10" t="inlineStr">
        <is>
          <t>0113 245 1454</t>
        </is>
      </c>
      <c r="M31" s="10" t="inlineStr">
        <is>
          <t>info@tbcashandcarry.co.uk</t>
        </is>
      </c>
      <c r="N31" s="10" t="inlineStr"/>
      <c r="O31" s="10" t="inlineStr">
        <is>
          <t>https://tbcashandcarry.co.uk/</t>
        </is>
      </c>
      <c r="P31" s="10" t="inlineStr">
        <is>
          <t>https://www.facebook.com/p/TB-Cash-Carry-100064390671766/</t>
        </is>
      </c>
      <c r="Q31" s="10" t="inlineStr"/>
      <c r="R31" s="10" t="inlineStr"/>
      <c r="S31" s="10" t="inlineStr"/>
      <c r="T31" s="10" t="inlineStr"/>
      <c r="U31" s="10" t="inlineStr"/>
      <c r="V31" s="10" t="inlineStr">
        <is>
          <t>High</t>
        </is>
      </c>
      <c r="W31" s="10" t="inlineStr">
        <is>
          <t>Multi-site retailer; Independent retailer; Core relevant category; Public email available; Active website; Social presence</t>
        </is>
      </c>
      <c r="X31" s="10" t="inlineStr">
        <is>
          <t>Verified directory</t>
        </is>
      </c>
      <c r="Y31" s="10" t="inlineStr">
        <is>
          <t>Unverified</t>
        </is>
      </c>
      <c r="Z31" s="10" t="inlineStr">
        <is>
          <t>Medium</t>
        </is>
      </c>
      <c r="AA31" s="10" t="inlineStr">
        <is>
          <t>Verified (website + Companies House)</t>
        </is>
      </c>
      <c r="AB31" s="10" t="inlineStr">
        <is>
          <t>https://tbcashandcarry.co.uk/</t>
        </is>
      </c>
    </row>
    <row r="32">
      <c r="A32" s="5" t="inlineStr">
        <is>
          <t>WY-0031</t>
        </is>
      </c>
      <c r="B32" s="5" t="inlineStr">
        <is>
          <t>THEVAPECEN-01</t>
        </is>
      </c>
      <c r="C32" s="5" t="inlineStr">
        <is>
          <t>The Vape Centre</t>
        </is>
      </c>
      <c r="D32" s="5" t="inlineStr">
        <is>
          <t>The Vape Centre (Wetherby)</t>
        </is>
      </c>
      <c r="E32" s="5" t="inlineStr">
        <is>
          <t>Vape Shop</t>
        </is>
      </c>
      <c r="F32" s="5" t="inlineStr"/>
      <c r="G32" s="5" t="inlineStr">
        <is>
          <t>Multi-Site Independent</t>
        </is>
      </c>
      <c r="H32" s="5" t="inlineStr">
        <is>
          <t>2</t>
        </is>
      </c>
      <c r="I32" s="5" t="inlineStr">
        <is>
          <t>16 Market Place</t>
        </is>
      </c>
      <c r="J32" s="5" t="inlineStr">
        <is>
          <t>Wetherby</t>
        </is>
      </c>
      <c r="K32" s="5" t="inlineStr">
        <is>
          <t>LS22 6NE</t>
        </is>
      </c>
      <c r="L32" s="5" t="inlineStr">
        <is>
          <t>07388 892397</t>
        </is>
      </c>
      <c r="M32" s="5" t="inlineStr"/>
      <c r="N32" s="5" t="inlineStr"/>
      <c r="O32" s="5" t="inlineStr">
        <is>
          <t>http://www.thevapecentre.co.uk/</t>
        </is>
      </c>
      <c r="P32" s="5" t="inlineStr"/>
      <c r="Q32" s="5" t="inlineStr"/>
      <c r="R32" s="5" t="inlineStr"/>
      <c r="S32" s="5" t="inlineStr"/>
      <c r="T32" s="5" t="inlineStr"/>
      <c r="U32" s="5" t="inlineStr"/>
      <c r="V32" s="5" t="inlineStr">
        <is>
          <t>High</t>
        </is>
      </c>
      <c r="W32" s="5" t="inlineStr">
        <is>
          <t>Multi-site retailer; Independent retailer; Core relevant category; Active website</t>
        </is>
      </c>
      <c r="X32" s="5" t="inlineStr">
        <is>
          <t>Verified directory</t>
        </is>
      </c>
      <c r="Y32" s="5" t="inlineStr">
        <is>
          <t>Website Found</t>
        </is>
      </c>
      <c r="Z32" s="5" t="inlineStr">
        <is>
          <t>Medium</t>
        </is>
      </c>
      <c r="AA32" s="5" t="inlineStr">
        <is>
          <t>Requires Verification</t>
        </is>
      </c>
      <c r="AB32" s="5" t="inlineStr">
        <is>
          <t>https://wetherbytowncouncil.gov.uk/our-businesses/vape-centre/</t>
        </is>
      </c>
    </row>
    <row r="33">
      <c r="A33" s="10" t="inlineStr">
        <is>
          <t>WY-0032</t>
        </is>
      </c>
      <c r="B33" s="10" t="inlineStr">
        <is>
          <t>TOTALLYWIC-01</t>
        </is>
      </c>
      <c r="C33" s="10" t="inlineStr">
        <is>
          <t>Totally Wicked</t>
        </is>
      </c>
      <c r="D33" s="10" t="inlineStr">
        <is>
          <t>Totally Wicked</t>
        </is>
      </c>
      <c r="E33" s="10" t="inlineStr">
        <is>
          <t>Vape Shop</t>
        </is>
      </c>
      <c r="F33" s="10" t="inlineStr">
        <is>
          <t>E-cigarette and e-liquid chain store</t>
        </is>
      </c>
      <c r="G33" s="10" t="inlineStr">
        <is>
          <t>National Chain</t>
        </is>
      </c>
      <c r="H33" s="10" t="inlineStr"/>
      <c r="I33" s="10" t="inlineStr">
        <is>
          <t>53-55 Bethel Street</t>
        </is>
      </c>
      <c r="J33" s="10" t="inlineStr">
        <is>
          <t>Brighouse</t>
        </is>
      </c>
      <c r="K33" s="10" t="inlineStr">
        <is>
          <t>HD6 1JR</t>
        </is>
      </c>
      <c r="L33" s="10" t="inlineStr">
        <is>
          <t>01484 769431</t>
        </is>
      </c>
      <c r="M33" s="10" t="inlineStr"/>
      <c r="N33" s="10" t="inlineStr"/>
      <c r="O33" s="10" t="inlineStr"/>
      <c r="P33" s="10" t="inlineStr"/>
      <c r="Q33" s="10" t="inlineStr"/>
      <c r="R33" s="10" t="inlineStr"/>
      <c r="S33" s="10" t="inlineStr"/>
      <c r="T33" s="10" t="inlineStr"/>
      <c r="U33" s="10" t="inlineStr"/>
      <c r="V33" s="10" t="inlineStr">
        <is>
          <t>Medium</t>
        </is>
      </c>
      <c r="W33" s="10" t="inlineStr">
        <is>
          <t>Multi-site retailer; Core relevant category</t>
        </is>
      </c>
      <c r="X33" s="10" t="inlineStr">
        <is>
          <t>Verified directory</t>
        </is>
      </c>
      <c r="Y33" s="10" t="inlineStr">
        <is>
          <t>Not Found</t>
        </is>
      </c>
      <c r="Z33" s="10" t="inlineStr">
        <is>
          <t>Medium</t>
        </is>
      </c>
      <c r="AA33" s="10" t="inlineStr">
        <is>
          <t>Requires Verification</t>
        </is>
      </c>
      <c r="AB33" s="10" t="inlineStr">
        <is>
          <t>https://brighouse.cylex-uk.co.uk/vape-shops/</t>
        </is>
      </c>
    </row>
    <row r="34">
      <c r="A34" s="5" t="inlineStr">
        <is>
          <t>WY-0033</t>
        </is>
      </c>
      <c r="B34" s="5" t="inlineStr">
        <is>
          <t>TOTALLYWIC-02</t>
        </is>
      </c>
      <c r="C34" s="5" t="inlineStr">
        <is>
          <t>Totally Wicked</t>
        </is>
      </c>
      <c r="D34" s="5" t="inlineStr">
        <is>
          <t>Totally Wicked</t>
        </is>
      </c>
      <c r="E34" s="5" t="inlineStr">
        <is>
          <t>Vape Shop</t>
        </is>
      </c>
      <c r="F34" s="5" t="inlineStr">
        <is>
          <t>E-cigarette and e-liquid chain store</t>
        </is>
      </c>
      <c r="G34" s="5" t="inlineStr">
        <is>
          <t>National Chain</t>
        </is>
      </c>
      <c r="H34" s="5" t="inlineStr"/>
      <c r="I34" s="5" t="inlineStr">
        <is>
          <t>10 Commercial Street</t>
        </is>
      </c>
      <c r="J34" s="5" t="inlineStr">
        <is>
          <t>Halifax</t>
        </is>
      </c>
      <c r="K34" s="5" t="inlineStr">
        <is>
          <t>HX1 1TA</t>
        </is>
      </c>
      <c r="L34" s="5" t="inlineStr">
        <is>
          <t>01422 320223</t>
        </is>
      </c>
      <c r="M34" s="5" t="inlineStr"/>
      <c r="N34" s="5" t="inlineStr"/>
      <c r="O34" s="5" t="inlineStr">
        <is>
          <t>https://www.totallywicked-eliquid.co.uk/stores/halifax-e-cigs-e-liquid-shop</t>
        </is>
      </c>
      <c r="P34" s="5" t="inlineStr"/>
      <c r="Q34" s="5" t="inlineStr"/>
      <c r="R34" s="5" t="inlineStr"/>
      <c r="S34" s="5" t="inlineStr"/>
      <c r="T34" s="5" t="inlineStr"/>
      <c r="U34" s="5" t="inlineStr"/>
      <c r="V34" s="5" t="inlineStr">
        <is>
          <t>Medium</t>
        </is>
      </c>
      <c r="W34" s="5" t="inlineStr">
        <is>
          <t>Multi-site retailer; Core relevant category; Active website</t>
        </is>
      </c>
      <c r="X34" s="5" t="inlineStr">
        <is>
          <t>Verified directory</t>
        </is>
      </c>
      <c r="Y34" s="5" t="inlineStr">
        <is>
          <t>Website Found</t>
        </is>
      </c>
      <c r="Z34" s="5" t="inlineStr">
        <is>
          <t>Medium</t>
        </is>
      </c>
      <c r="AA34" s="5" t="inlineStr">
        <is>
          <t>Requires Verification</t>
        </is>
      </c>
      <c r="AB34" s="5" t="inlineStr">
        <is>
          <t>https://www.totallywicked-eliquid.co.uk/stores/halifax-e-cigs-e-liquid-shop</t>
        </is>
      </c>
    </row>
    <row r="35">
      <c r="A35" s="10" t="inlineStr">
        <is>
          <t>WY-0034</t>
        </is>
      </c>
      <c r="B35" s="10" t="inlineStr">
        <is>
          <t>VALLIFOREC-01</t>
        </is>
      </c>
      <c r="C35" s="10" t="inlineStr">
        <is>
          <t>Valli Forecourts Ltd</t>
        </is>
      </c>
      <c r="D35" s="10" t="inlineStr">
        <is>
          <t>BP Gledhow Service Station (Valli Forecourts)</t>
        </is>
      </c>
      <c r="E35" s="10" t="inlineStr">
        <is>
          <t>Petrol Station / Forecourt</t>
        </is>
      </c>
      <c r="F35" s="10" t="inlineStr">
        <is>
          <t>BP-branded forecourt with convenience store</t>
        </is>
      </c>
      <c r="G35" s="10" t="inlineStr">
        <is>
          <t>Regional Chain</t>
        </is>
      </c>
      <c r="H35" s="10" t="inlineStr">
        <is>
          <t>16</t>
        </is>
      </c>
      <c r="I35" s="10" t="inlineStr"/>
      <c r="J35" s="10" t="inlineStr">
        <is>
          <t>Leeds</t>
        </is>
      </c>
      <c r="K35" s="10" t="inlineStr">
        <is>
          <t>LS8 4BU</t>
        </is>
      </c>
      <c r="L35" s="10" t="inlineStr"/>
      <c r="M35" s="10" t="inlineStr"/>
      <c r="N35" s="10" t="inlineStr"/>
      <c r="O35" s="10" t="inlineStr">
        <is>
          <t>https://valliforecourts.co.uk/</t>
        </is>
      </c>
      <c r="P35" s="10" t="inlineStr"/>
      <c r="Q35" s="10" t="inlineStr"/>
      <c r="R35" s="10" t="inlineStr"/>
      <c r="S35" s="10" t="inlineStr"/>
      <c r="T35" s="10" t="inlineStr"/>
      <c r="U35" s="10" t="inlineStr"/>
      <c r="V35" s="10" t="inlineStr">
        <is>
          <t>Medium</t>
        </is>
      </c>
      <c r="W35" s="10" t="inlineStr">
        <is>
          <t>Multi-site retailer; Relevant category; Active website</t>
        </is>
      </c>
      <c r="X35" s="10" t="inlineStr">
        <is>
          <t>Not Found</t>
        </is>
      </c>
      <c r="Y35" s="10" t="inlineStr">
        <is>
          <t>Website Found</t>
        </is>
      </c>
      <c r="Z35" s="10" t="inlineStr">
        <is>
          <t>Medium</t>
        </is>
      </c>
      <c r="AA35" s="10" t="inlineStr">
        <is>
          <t>Requires Verification</t>
        </is>
      </c>
      <c r="AB35" s="10" t="inlineStr">
        <is>
          <t>https://www.petrolprices.com/locations/huddersfield</t>
        </is>
      </c>
    </row>
    <row r="36">
      <c r="A36" s="5" t="inlineStr">
        <is>
          <t>WY-0035</t>
        </is>
      </c>
      <c r="B36" s="5" t="inlineStr">
        <is>
          <t>VALLIFOREC-02</t>
        </is>
      </c>
      <c r="C36" s="5" t="inlineStr">
        <is>
          <t>Valli Forecourts Ltd</t>
        </is>
      </c>
      <c r="D36" s="5" t="inlineStr">
        <is>
          <t>Valli Forecourts Ltd (Head Office)</t>
        </is>
      </c>
      <c r="E36" s="5" t="inlineStr">
        <is>
          <t>Petrol Station / Forecourt</t>
        </is>
      </c>
      <c r="F36" s="5" t="inlineStr">
        <is>
          <t>Independent forecourt group head office</t>
        </is>
      </c>
      <c r="G36" s="5" t="inlineStr">
        <is>
          <t>Regional Chain</t>
        </is>
      </c>
      <c r="H36" s="5" t="inlineStr">
        <is>
          <t>16</t>
        </is>
      </c>
      <c r="I36" s="5" t="inlineStr"/>
      <c r="J36" s="5" t="inlineStr">
        <is>
          <t>Leeds</t>
        </is>
      </c>
      <c r="K36" s="5" t="inlineStr"/>
      <c r="L36" s="5" t="inlineStr"/>
      <c r="M36" s="5" t="inlineStr"/>
      <c r="N36" s="5" t="inlineStr"/>
      <c r="O36" s="5" t="inlineStr">
        <is>
          <t>https://valliforecourts.co.uk/</t>
        </is>
      </c>
      <c r="P36" s="5" t="inlineStr"/>
      <c r="Q36" s="5" t="inlineStr"/>
      <c r="R36" s="5" t="inlineStr"/>
      <c r="S36" s="5" t="inlineStr"/>
      <c r="T36" s="5" t="inlineStr"/>
      <c r="U36" s="5" t="inlineStr"/>
      <c r="V36" s="5" t="inlineStr">
        <is>
          <t>Medium</t>
        </is>
      </c>
      <c r="W36" s="5" t="inlineStr">
        <is>
          <t>Multi-site retailer; Relevant category; Active website; Social presence</t>
        </is>
      </c>
      <c r="X36" s="5" t="inlineStr">
        <is>
          <t>Not Found</t>
        </is>
      </c>
      <c r="Y36" s="5" t="inlineStr">
        <is>
          <t>Website Found</t>
        </is>
      </c>
      <c r="Z36" s="5" t="inlineStr">
        <is>
          <t>Low</t>
        </is>
      </c>
      <c r="AA36" s="5" t="inlineStr">
        <is>
          <t>Requires Verification</t>
        </is>
      </c>
      <c r="AB36" s="5" t="inlineStr">
        <is>
          <t>https://www.yorkshire.com/moortown/transport/petrol-stations/valli-forecourts-ltd-head-office</t>
        </is>
      </c>
    </row>
    <row r="37">
      <c r="A37" s="10" t="inlineStr">
        <is>
          <t>WY-0036</t>
        </is>
      </c>
      <c r="B37" s="10" t="inlineStr">
        <is>
          <t>VAPARAMA-01</t>
        </is>
      </c>
      <c r="C37" s="10" t="inlineStr">
        <is>
          <t>Vaparama</t>
        </is>
      </c>
      <c r="D37" s="10" t="inlineStr">
        <is>
          <t>Vaparama (Featherstone)</t>
        </is>
      </c>
      <c r="E37" s="10" t="inlineStr">
        <is>
          <t>Vape Shop</t>
        </is>
      </c>
      <c r="F37" s="10" t="inlineStr">
        <is>
          <t>E-liquid specialist / vape retailer</t>
        </is>
      </c>
      <c r="G37" s="10" t="inlineStr">
        <is>
          <t>Regional Chain</t>
        </is>
      </c>
      <c r="H37" s="10" t="inlineStr">
        <is>
          <t>7</t>
        </is>
      </c>
      <c r="I37" s="10" t="inlineStr">
        <is>
          <t>73-75 Station Lane</t>
        </is>
      </c>
      <c r="J37" s="10" t="inlineStr">
        <is>
          <t>Featherstone</t>
        </is>
      </c>
      <c r="K37" s="10" t="inlineStr">
        <is>
          <t>WF7 5BJ</t>
        </is>
      </c>
      <c r="L37" s="10" t="inlineStr"/>
      <c r="M37" s="10" t="inlineStr"/>
      <c r="N37" s="10" t="inlineStr">
        <is>
          <t>shop@vaparama.co.uk</t>
        </is>
      </c>
      <c r="O37" s="10" t="inlineStr">
        <is>
          <t>https://www.vaparama.co.uk</t>
        </is>
      </c>
      <c r="P37" s="10" t="inlineStr">
        <is>
          <t>https://www.facebook.com/p/Vaparama-100063743672150/</t>
        </is>
      </c>
      <c r="Q37" s="10" t="inlineStr"/>
      <c r="R37" s="10" t="inlineStr"/>
      <c r="S37" s="10" t="inlineStr"/>
      <c r="T37" s="10" t="inlineStr">
        <is>
          <t>09736212</t>
        </is>
      </c>
      <c r="U37" s="10" t="inlineStr">
        <is>
          <t>Active</t>
        </is>
      </c>
      <c r="V37" s="10" t="inlineStr">
        <is>
          <t>High</t>
        </is>
      </c>
      <c r="W37" s="10" t="inlineStr">
        <is>
          <t>Multi-site retailer; Core relevant category; Public email available; Active website; Social presence</t>
        </is>
      </c>
      <c r="X37" s="10" t="inlineStr">
        <is>
          <t>Not Found</t>
        </is>
      </c>
      <c r="Y37" s="10" t="inlineStr">
        <is>
          <t>Publicly Listed</t>
        </is>
      </c>
      <c r="Z37" s="10" t="inlineStr">
        <is>
          <t>Medium</t>
        </is>
      </c>
      <c r="AA37" s="10" t="inlineStr">
        <is>
          <t>Partially Verified</t>
        </is>
      </c>
      <c r="AB37" s="10" t="inlineStr">
        <is>
          <t>https://www.vaparama.co.uk/contact/</t>
        </is>
      </c>
    </row>
    <row r="38">
      <c r="A38" s="5" t="inlineStr">
        <is>
          <t>WY-0037</t>
        </is>
      </c>
      <c r="B38" s="5" t="inlineStr">
        <is>
          <t>VAPARAMA-02</t>
        </is>
      </c>
      <c r="C38" s="5" t="inlineStr">
        <is>
          <t>Vaparama</t>
        </is>
      </c>
      <c r="D38" s="5" t="inlineStr">
        <is>
          <t>Vaparama (Pontefract)</t>
        </is>
      </c>
      <c r="E38" s="5" t="inlineStr">
        <is>
          <t>Vape Shop</t>
        </is>
      </c>
      <c r="F38" s="5" t="inlineStr">
        <is>
          <t>E-liquid specialist / vape retailer and wholesaler</t>
        </is>
      </c>
      <c r="G38" s="5" t="inlineStr">
        <is>
          <t>Regional Chain</t>
        </is>
      </c>
      <c r="H38" s="5" t="inlineStr">
        <is>
          <t>7</t>
        </is>
      </c>
      <c r="I38" s="5" t="inlineStr">
        <is>
          <t>13 Market Place</t>
        </is>
      </c>
      <c r="J38" s="5" t="inlineStr">
        <is>
          <t>Pontefract</t>
        </is>
      </c>
      <c r="K38" s="5" t="inlineStr">
        <is>
          <t>WF8 1AG</t>
        </is>
      </c>
      <c r="L38" s="5" t="inlineStr">
        <is>
          <t>01977 277170</t>
        </is>
      </c>
      <c r="M38" s="5" t="inlineStr">
        <is>
          <t>shop@vaparama.co.uk</t>
        </is>
      </c>
      <c r="N38" s="5" t="inlineStr"/>
      <c r="O38" s="5" t="inlineStr">
        <is>
          <t>https://www.vaparama.co.uk</t>
        </is>
      </c>
      <c r="P38" s="5" t="inlineStr">
        <is>
          <t>https://www.facebook.com/p/Vaparama-100063743672150/</t>
        </is>
      </c>
      <c r="Q38" s="5" t="inlineStr"/>
      <c r="R38" s="5" t="inlineStr"/>
      <c r="S38" s="5" t="inlineStr"/>
      <c r="T38" s="5" t="inlineStr">
        <is>
          <t>09736212</t>
        </is>
      </c>
      <c r="U38" s="5" t="inlineStr">
        <is>
          <t>Active</t>
        </is>
      </c>
      <c r="V38" s="5" t="inlineStr">
        <is>
          <t>High</t>
        </is>
      </c>
      <c r="W38" s="5" t="inlineStr">
        <is>
          <t>Multi-site retailer; Core relevant category; Public email available; Active website; Social presence</t>
        </is>
      </c>
      <c r="X38" s="5" t="inlineStr">
        <is>
          <t>Verified directory</t>
        </is>
      </c>
      <c r="Y38" s="5" t="inlineStr">
        <is>
          <t>Unverified</t>
        </is>
      </c>
      <c r="Z38" s="5" t="inlineStr">
        <is>
          <t>Medium</t>
        </is>
      </c>
      <c r="AA38" s="5" t="inlineStr">
        <is>
          <t>Partially Verified</t>
        </is>
      </c>
      <c r="AB38" s="5" t="inlineStr">
        <is>
          <t>https://find-and-update.company-information.service.gov.uk/company/09736212</t>
        </is>
      </c>
    </row>
    <row r="39">
      <c r="A39" s="10" t="inlineStr">
        <is>
          <t>WY-0038</t>
        </is>
      </c>
      <c r="B39" s="10" t="inlineStr">
        <is>
          <t>VAPARAMA-03</t>
        </is>
      </c>
      <c r="C39" s="10" t="inlineStr">
        <is>
          <t>Vaparama</t>
        </is>
      </c>
      <c r="D39" s="10" t="inlineStr">
        <is>
          <t>Vaparama (Wakefield)</t>
        </is>
      </c>
      <c r="E39" s="10" t="inlineStr">
        <is>
          <t>Vape Shop</t>
        </is>
      </c>
      <c r="F39" s="10" t="inlineStr">
        <is>
          <t>E-liquid specialist / vape retailer</t>
        </is>
      </c>
      <c r="G39" s="10" t="inlineStr">
        <is>
          <t>Regional Chain</t>
        </is>
      </c>
      <c r="H39" s="10" t="inlineStr">
        <is>
          <t>7</t>
        </is>
      </c>
      <c r="I39" s="10" t="inlineStr">
        <is>
          <t>Britannia House, 31 Warrengate</t>
        </is>
      </c>
      <c r="J39" s="10" t="inlineStr">
        <is>
          <t>Wakefield</t>
        </is>
      </c>
      <c r="K39" s="10" t="inlineStr"/>
      <c r="L39" s="10" t="inlineStr"/>
      <c r="M39" s="10" t="inlineStr"/>
      <c r="N39" s="10" t="inlineStr">
        <is>
          <t>shop@vaparama.co.uk</t>
        </is>
      </c>
      <c r="O39" s="10" t="inlineStr">
        <is>
          <t>https://www.vaparama.co.uk</t>
        </is>
      </c>
      <c r="P39" s="10" t="inlineStr">
        <is>
          <t>https://www.facebook.com/p/Vaparama-100063743672150/</t>
        </is>
      </c>
      <c r="Q39" s="10" t="inlineStr"/>
      <c r="R39" s="10" t="inlineStr"/>
      <c r="S39" s="10" t="inlineStr"/>
      <c r="T39" s="10" t="inlineStr">
        <is>
          <t>09736212</t>
        </is>
      </c>
      <c r="U39" s="10" t="inlineStr">
        <is>
          <t>Active</t>
        </is>
      </c>
      <c r="V39" s="10" t="inlineStr">
        <is>
          <t>High</t>
        </is>
      </c>
      <c r="W39" s="10" t="inlineStr">
        <is>
          <t>Multi-site retailer; Core relevant category; Public email available; Active website; Social presence</t>
        </is>
      </c>
      <c r="X39" s="10" t="inlineStr">
        <is>
          <t>Not Found</t>
        </is>
      </c>
      <c r="Y39" s="10" t="inlineStr">
        <is>
          <t>Publicly Listed</t>
        </is>
      </c>
      <c r="Z39" s="10" t="inlineStr">
        <is>
          <t>Medium</t>
        </is>
      </c>
      <c r="AA39" s="10" t="inlineStr">
        <is>
          <t>Partially Verified</t>
        </is>
      </c>
      <c r="AB39" s="10" t="inlineStr">
        <is>
          <t>https://www.vaparama.co.uk/contact/</t>
        </is>
      </c>
    </row>
    <row r="40">
      <c r="A40" s="5" t="inlineStr">
        <is>
          <t>WY-0039</t>
        </is>
      </c>
      <c r="B40" s="5" t="inlineStr">
        <is>
          <t>WOWVAPE-01</t>
        </is>
      </c>
      <c r="C40" s="5" t="inlineStr">
        <is>
          <t>WOW Vape</t>
        </is>
      </c>
      <c r="D40" s="5" t="inlineStr">
        <is>
          <t>WOW Vape (Castleford)</t>
        </is>
      </c>
      <c r="E40" s="5" t="inlineStr">
        <is>
          <t>Vape Shop</t>
        </is>
      </c>
      <c r="F40" s="5" t="inlineStr">
        <is>
          <t>Vape retailer</t>
        </is>
      </c>
      <c r="G40" s="5" t="inlineStr">
        <is>
          <t>Multi-Site Independent</t>
        </is>
      </c>
      <c r="H40" s="5" t="inlineStr">
        <is>
          <t>2</t>
        </is>
      </c>
      <c r="I40" s="5" t="inlineStr">
        <is>
          <t>45 Carlton Street</t>
        </is>
      </c>
      <c r="J40" s="5" t="inlineStr">
        <is>
          <t>Castleford</t>
        </is>
      </c>
      <c r="K40" s="5" t="inlineStr">
        <is>
          <t>WF10 1BA</t>
        </is>
      </c>
      <c r="L40" s="5" t="inlineStr">
        <is>
          <t>01977 516062</t>
        </is>
      </c>
      <c r="M40" s="5" t="inlineStr"/>
      <c r="N40" s="5" t="inlineStr"/>
      <c r="O40" s="5" t="inlineStr">
        <is>
          <t>https://wow-vape.co.uk</t>
        </is>
      </c>
      <c r="P40" s="5" t="inlineStr">
        <is>
          <t>https://www.facebook.com/wowvapecas/</t>
        </is>
      </c>
      <c r="Q40" s="5" t="inlineStr">
        <is>
          <t>https://www.instagram.com/wow_vape_castleford/</t>
        </is>
      </c>
      <c r="R40" s="5" t="inlineStr"/>
      <c r="S40" s="5" t="inlineStr"/>
      <c r="T40" s="5" t="inlineStr"/>
      <c r="U40" s="5" t="inlineStr"/>
      <c r="V40" s="5" t="inlineStr">
        <is>
          <t>High</t>
        </is>
      </c>
      <c r="W40" s="5" t="inlineStr">
        <is>
          <t>Multi-site retailer; Independent retailer; Core relevant category; Active website; Social presence</t>
        </is>
      </c>
      <c r="X40" s="5" t="inlineStr">
        <is>
          <t>Verified directory</t>
        </is>
      </c>
      <c r="Y40" s="5" t="inlineStr">
        <is>
          <t>Not Found</t>
        </is>
      </c>
      <c r="Z40" s="5" t="inlineStr">
        <is>
          <t>Medium</t>
        </is>
      </c>
      <c r="AA40" s="5" t="inlineStr">
        <is>
          <t>Requires Verification</t>
        </is>
      </c>
      <c r="AB40" s="5" t="inlineStr">
        <is>
          <t>https://www.facebook.com/wowvapecas/</t>
        </is>
      </c>
    </row>
    <row r="41">
      <c r="A41" s="10" t="inlineStr">
        <is>
          <t>WY-0040</t>
        </is>
      </c>
      <c r="B41" s="10" t="inlineStr">
        <is>
          <t>WOWVAPE-02</t>
        </is>
      </c>
      <c r="C41" s="10" t="inlineStr">
        <is>
          <t>WOW Vape</t>
        </is>
      </c>
      <c r="D41" s="10" t="inlineStr">
        <is>
          <t>WOW Vape (Wakefield)</t>
        </is>
      </c>
      <c r="E41" s="10" t="inlineStr">
        <is>
          <t>Vape Shop</t>
        </is>
      </c>
      <c r="F41" s="10" t="inlineStr">
        <is>
          <t>Vape retailer</t>
        </is>
      </c>
      <c r="G41" s="10" t="inlineStr">
        <is>
          <t>Multi-Site Independent</t>
        </is>
      </c>
      <c r="H41" s="10" t="inlineStr">
        <is>
          <t>2</t>
        </is>
      </c>
      <c r="I41" s="10" t="inlineStr"/>
      <c r="J41" s="10" t="inlineStr">
        <is>
          <t>Wakefield</t>
        </is>
      </c>
      <c r="K41" s="10" t="inlineStr"/>
      <c r="L41" s="10" t="inlineStr"/>
      <c r="M41" s="10" t="inlineStr"/>
      <c r="N41" s="10" t="inlineStr"/>
      <c r="O41" s="10" t="inlineStr"/>
      <c r="P41" s="10" t="inlineStr"/>
      <c r="Q41" s="10" t="inlineStr">
        <is>
          <t>https://www.instagram.com/wowvapewakefield/</t>
        </is>
      </c>
      <c r="R41" s="10" t="inlineStr"/>
      <c r="S41" s="10" t="inlineStr"/>
      <c r="T41" s="10" t="inlineStr"/>
      <c r="U41" s="10" t="inlineStr"/>
      <c r="V41" s="10" t="inlineStr">
        <is>
          <t>High</t>
        </is>
      </c>
      <c r="W41" s="10" t="inlineStr">
        <is>
          <t>Multi-site retailer; Independent retailer; Core relevant category; Social presence</t>
        </is>
      </c>
      <c r="X41" s="10" t="inlineStr">
        <is>
          <t>Not Found</t>
        </is>
      </c>
      <c r="Y41" s="10" t="inlineStr">
        <is>
          <t>Not Found</t>
        </is>
      </c>
      <c r="Z41" s="10" t="inlineStr">
        <is>
          <t>Low</t>
        </is>
      </c>
      <c r="AA41" s="10" t="inlineStr">
        <is>
          <t>Requires Verification</t>
        </is>
      </c>
      <c r="AB41" s="10" t="inlineStr">
        <is>
          <t>https://www.instagram.com/wowvapewakefield/</t>
        </is>
      </c>
    </row>
    <row r="42">
      <c r="A42" s="5" t="inlineStr">
        <is>
          <t>WY-0041</t>
        </is>
      </c>
      <c r="B42" s="5" t="inlineStr">
        <is>
          <t>WEAREVAPES-01</t>
        </is>
      </c>
      <c r="C42" s="5" t="inlineStr">
        <is>
          <t>We Are Vapes</t>
        </is>
      </c>
      <c r="D42" s="5" t="inlineStr">
        <is>
          <t>We Are Vapes</t>
        </is>
      </c>
      <c r="E42" s="5" t="inlineStr">
        <is>
          <t>Vape Shop</t>
        </is>
      </c>
      <c r="F42" s="5" t="inlineStr">
        <is>
          <t>Vape kits, e-liquids &amp; accessories</t>
        </is>
      </c>
      <c r="G42" s="5" t="inlineStr">
        <is>
          <t>Multi-Site Independent</t>
        </is>
      </c>
      <c r="H42" s="5" t="inlineStr">
        <is>
          <t>3</t>
        </is>
      </c>
      <c r="I42" s="5" t="inlineStr">
        <is>
          <t>287 Tong Street</t>
        </is>
      </c>
      <c r="J42" s="5" t="inlineStr">
        <is>
          <t>Bradford</t>
        </is>
      </c>
      <c r="K42" s="5" t="inlineStr">
        <is>
          <t>BD4 9QJ</t>
        </is>
      </c>
      <c r="L42" s="5" t="inlineStr">
        <is>
          <t>01274 270773</t>
        </is>
      </c>
      <c r="M42" s="5" t="inlineStr"/>
      <c r="N42" s="5" t="inlineStr"/>
      <c r="O42" s="5" t="inlineStr">
        <is>
          <t>https://www.wearevapes.com/</t>
        </is>
      </c>
      <c r="P42" s="5" t="inlineStr"/>
      <c r="Q42" s="5" t="inlineStr"/>
      <c r="R42" s="5" t="inlineStr"/>
      <c r="S42" s="5" t="inlineStr"/>
      <c r="T42" s="5" t="inlineStr"/>
      <c r="U42" s="5" t="inlineStr"/>
      <c r="V42" s="5" t="inlineStr">
        <is>
          <t>High</t>
        </is>
      </c>
      <c r="W42" s="5" t="inlineStr">
        <is>
          <t>Multi-site retailer; Independent retailer; Core relevant category; Active website</t>
        </is>
      </c>
      <c r="X42" s="5" t="inlineStr">
        <is>
          <t>Verified directory</t>
        </is>
      </c>
      <c r="Y42" s="5" t="inlineStr">
        <is>
          <t>Website Found</t>
        </is>
      </c>
      <c r="Z42" s="5" t="inlineStr">
        <is>
          <t>Medium</t>
        </is>
      </c>
      <c r="AA42" s="5" t="inlineStr">
        <is>
          <t>Requires Verification</t>
        </is>
      </c>
      <c r="AB42" s="5" t="inlineStr">
        <is>
          <t>https://www.wearevapes.com/</t>
        </is>
      </c>
    </row>
    <row r="43">
      <c r="A43" s="10" t="inlineStr">
        <is>
          <t>WY-0042</t>
        </is>
      </c>
      <c r="B43" s="10" t="inlineStr">
        <is>
          <t>WEAREVAPES-02</t>
        </is>
      </c>
      <c r="C43" s="10" t="inlineStr">
        <is>
          <t>We Are Vapes</t>
        </is>
      </c>
      <c r="D43" s="10" t="inlineStr">
        <is>
          <t>We Are Vapes</t>
        </is>
      </c>
      <c r="E43" s="10" t="inlineStr">
        <is>
          <t>Vape Shop</t>
        </is>
      </c>
      <c r="F43" s="10" t="inlineStr">
        <is>
          <t>Vape kits, e-liquids &amp; accessories</t>
        </is>
      </c>
      <c r="G43" s="10" t="inlineStr">
        <is>
          <t>Multi-Site Independent</t>
        </is>
      </c>
      <c r="H43" s="10" t="inlineStr">
        <is>
          <t>3</t>
        </is>
      </c>
      <c r="I43" s="10" t="inlineStr">
        <is>
          <t>220 High Street</t>
        </is>
      </c>
      <c r="J43" s="10" t="inlineStr">
        <is>
          <t>Bradford</t>
        </is>
      </c>
      <c r="K43" s="10" t="inlineStr"/>
      <c r="L43" s="10" t="inlineStr">
        <is>
          <t>01274 634327</t>
        </is>
      </c>
      <c r="M43" s="10" t="inlineStr"/>
      <c r="N43" s="10" t="inlineStr"/>
      <c r="O43" s="10" t="inlineStr">
        <is>
          <t>https://www.wearevapes.com/</t>
        </is>
      </c>
      <c r="P43" s="10" t="inlineStr"/>
      <c r="Q43" s="10" t="inlineStr"/>
      <c r="R43" s="10" t="inlineStr"/>
      <c r="S43" s="10" t="inlineStr"/>
      <c r="T43" s="10" t="inlineStr"/>
      <c r="U43" s="10" t="inlineStr"/>
      <c r="V43" s="10" t="inlineStr">
        <is>
          <t>High</t>
        </is>
      </c>
      <c r="W43" s="10" t="inlineStr">
        <is>
          <t>Multi-site retailer; Independent retailer; Core relevant category; Active website</t>
        </is>
      </c>
      <c r="X43" s="10" t="inlineStr">
        <is>
          <t>Verified directory</t>
        </is>
      </c>
      <c r="Y43" s="10" t="inlineStr">
        <is>
          <t>Website Found</t>
        </is>
      </c>
      <c r="Z43" s="10" t="inlineStr">
        <is>
          <t>Medium</t>
        </is>
      </c>
      <c r="AA43" s="10" t="inlineStr">
        <is>
          <t>Requires Verification</t>
        </is>
      </c>
      <c r="AB43" s="10" t="inlineStr">
        <is>
          <t>https://www.wearevapes.com/</t>
        </is>
      </c>
    </row>
    <row r="44">
      <c r="A44" s="5" t="inlineStr">
        <is>
          <t>WY-0043</t>
        </is>
      </c>
      <c r="B44" s="5" t="inlineStr">
        <is>
          <t>WEAREVAPES-03</t>
        </is>
      </c>
      <c r="C44" s="5" t="inlineStr">
        <is>
          <t>We Are Vapes</t>
        </is>
      </c>
      <c r="D44" s="5" t="inlineStr">
        <is>
          <t>We Are Vapes</t>
        </is>
      </c>
      <c r="E44" s="5" t="inlineStr">
        <is>
          <t>Vape Shop</t>
        </is>
      </c>
      <c r="F44" s="5" t="inlineStr">
        <is>
          <t>Vape kits, e-liquids &amp; accessories</t>
        </is>
      </c>
      <c r="G44" s="5" t="inlineStr">
        <is>
          <t>Multi-Site Independent</t>
        </is>
      </c>
      <c r="H44" s="5" t="inlineStr">
        <is>
          <t>3</t>
        </is>
      </c>
      <c r="I44" s="5" t="inlineStr">
        <is>
          <t>446 Killinghall Road</t>
        </is>
      </c>
      <c r="J44" s="5" t="inlineStr">
        <is>
          <t>Bradford</t>
        </is>
      </c>
      <c r="K44" s="5" t="inlineStr"/>
      <c r="L44" s="5" t="inlineStr"/>
      <c r="M44" s="5" t="inlineStr"/>
      <c r="N44" s="5" t="inlineStr"/>
      <c r="O44" s="5" t="inlineStr">
        <is>
          <t>https://www.wearevapes.com/</t>
        </is>
      </c>
      <c r="P44" s="5" t="inlineStr"/>
      <c r="Q44" s="5" t="inlineStr"/>
      <c r="R44" s="5" t="inlineStr"/>
      <c r="S44" s="5" t="inlineStr"/>
      <c r="T44" s="5" t="inlineStr"/>
      <c r="U44" s="5" t="inlineStr"/>
      <c r="V44" s="5" t="inlineStr">
        <is>
          <t>High</t>
        </is>
      </c>
      <c r="W44" s="5" t="inlineStr">
        <is>
          <t>Multi-site retailer; Independent retailer; Core relevant category; Active website</t>
        </is>
      </c>
      <c r="X44" s="5" t="inlineStr">
        <is>
          <t>Not Found</t>
        </is>
      </c>
      <c r="Y44" s="5" t="inlineStr">
        <is>
          <t>Website Found</t>
        </is>
      </c>
      <c r="Z44" s="5" t="inlineStr">
        <is>
          <t>Low</t>
        </is>
      </c>
      <c r="AA44" s="5" t="inlineStr">
        <is>
          <t>Requires Verification</t>
        </is>
      </c>
      <c r="AB44" s="5" t="inlineStr">
        <is>
          <t>https://www.wearevapes.com/</t>
        </is>
      </c>
    </row>
    <row r="45">
      <c r="A45" s="10" t="inlineStr">
        <is>
          <t>WY-0044</t>
        </is>
      </c>
      <c r="B45" s="10" t="inlineStr">
        <is>
          <t>WORLDWIDEF-01</t>
        </is>
      </c>
      <c r="C45" s="10" t="inlineStr">
        <is>
          <t>Worldwide Foods Group</t>
        </is>
      </c>
      <c r="D45" s="10" t="inlineStr">
        <is>
          <t>Worldwide Foods Bradford (Great Horton Road)</t>
        </is>
      </c>
      <c r="E45" s="10" t="inlineStr">
        <is>
          <t>Independent Supermarket</t>
        </is>
      </c>
      <c r="F45" s="10" t="inlineStr">
        <is>
          <t>Halal / world food supermarket</t>
        </is>
      </c>
      <c r="G45" s="10" t="inlineStr">
        <is>
          <t>Regional Chain</t>
        </is>
      </c>
      <c r="H45" s="10" t="inlineStr"/>
      <c r="I45" s="10" t="inlineStr">
        <is>
          <t>607 Great Horton Road</t>
        </is>
      </c>
      <c r="J45" s="10" t="inlineStr">
        <is>
          <t>Bradford</t>
        </is>
      </c>
      <c r="K45" s="10" t="inlineStr">
        <is>
          <t>BD7 4ED</t>
        </is>
      </c>
      <c r="L45" s="10" t="inlineStr">
        <is>
          <t>01274 572661</t>
        </is>
      </c>
      <c r="M45" s="10" t="inlineStr">
        <is>
          <t>info@worldwidefoods.co.uk</t>
        </is>
      </c>
      <c r="N45" s="10" t="inlineStr"/>
      <c r="O45" s="10" t="inlineStr">
        <is>
          <t>https://worldwidefoods.co.uk/</t>
        </is>
      </c>
      <c r="P45" s="10" t="inlineStr">
        <is>
          <t>https://www.facebook.com/worldwidefoods/</t>
        </is>
      </c>
      <c r="Q45" s="10" t="inlineStr"/>
      <c r="R45" s="10" t="inlineStr"/>
      <c r="S45" s="10" t="inlineStr"/>
      <c r="T45" s="10" t="inlineStr">
        <is>
          <t>04179487</t>
        </is>
      </c>
      <c r="U45" s="10" t="inlineStr"/>
      <c r="V45" s="10" t="inlineStr">
        <is>
          <t>High</t>
        </is>
      </c>
      <c r="W45" s="10" t="inlineStr">
        <is>
          <t>Multi-site retailer; Relevant category; Public email available; Active website; Social presence</t>
        </is>
      </c>
      <c r="X45" s="10" t="inlineStr">
        <is>
          <t>Verified directory</t>
        </is>
      </c>
      <c r="Y45" s="10" t="inlineStr">
        <is>
          <t>Website Found</t>
        </is>
      </c>
      <c r="Z45" s="10" t="inlineStr">
        <is>
          <t>Medium</t>
        </is>
      </c>
      <c r="AA45" s="10" t="inlineStr">
        <is>
          <t>Partially Verified</t>
        </is>
      </c>
      <c r="AB45" s="10" t="inlineStr">
        <is>
          <t>https://worldwidefoods.co.uk/worldwide-bradford-great-horton-road/</t>
        </is>
      </c>
    </row>
    <row r="46">
      <c r="A46" s="5" t="inlineStr">
        <is>
          <t>WY-0045</t>
        </is>
      </c>
      <c r="B46" s="5" t="inlineStr">
        <is>
          <t>WORLDWIDEF-02</t>
        </is>
      </c>
      <c r="C46" s="5" t="inlineStr">
        <is>
          <t>Worldwide Foods Group</t>
        </is>
      </c>
      <c r="D46" s="5" t="inlineStr">
        <is>
          <t>Worldwide Foods Bradford (Leeds Road)</t>
        </is>
      </c>
      <c r="E46" s="5" t="inlineStr">
        <is>
          <t>Independent Supermarket</t>
        </is>
      </c>
      <c r="F46" s="5" t="inlineStr">
        <is>
          <t>Halal / world food supermarket (24 hours)</t>
        </is>
      </c>
      <c r="G46" s="5" t="inlineStr">
        <is>
          <t>Regional Chain</t>
        </is>
      </c>
      <c r="H46" s="5" t="inlineStr"/>
      <c r="I46" s="5" t="inlineStr">
        <is>
          <t>1001 Leeds Road</t>
        </is>
      </c>
      <c r="J46" s="5" t="inlineStr">
        <is>
          <t>Bradford</t>
        </is>
      </c>
      <c r="K46" s="5" t="inlineStr">
        <is>
          <t>BD3 7NH</t>
        </is>
      </c>
      <c r="L46" s="5" t="inlineStr">
        <is>
          <t>01274 656638</t>
        </is>
      </c>
      <c r="M46" s="5" t="inlineStr"/>
      <c r="N46" s="5" t="inlineStr"/>
      <c r="O46" s="5" t="inlineStr">
        <is>
          <t>https://worldwidefoods.co.uk/</t>
        </is>
      </c>
      <c r="P46" s="5" t="inlineStr">
        <is>
          <t>https://www.facebook.com/worldwidefoods/</t>
        </is>
      </c>
      <c r="Q46" s="5" t="inlineStr"/>
      <c r="R46" s="5" t="inlineStr"/>
      <c r="S46" s="5" t="inlineStr"/>
      <c r="T46" s="5" t="inlineStr">
        <is>
          <t>04179487</t>
        </is>
      </c>
      <c r="U46" s="5" t="inlineStr"/>
      <c r="V46" s="5" t="inlineStr">
        <is>
          <t>Medium</t>
        </is>
      </c>
      <c r="W46" s="5" t="inlineStr">
        <is>
          <t>Multi-site retailer; Relevant category; Active website; Social presence</t>
        </is>
      </c>
      <c r="X46" s="5" t="inlineStr">
        <is>
          <t>Verified directory</t>
        </is>
      </c>
      <c r="Y46" s="5" t="inlineStr">
        <is>
          <t>Website Found</t>
        </is>
      </c>
      <c r="Z46" s="5" t="inlineStr">
        <is>
          <t>Medium</t>
        </is>
      </c>
      <c r="AA46" s="5" t="inlineStr">
        <is>
          <t>Partially Verified</t>
        </is>
      </c>
      <c r="AB46" s="5" t="inlineStr">
        <is>
          <t>https://worldwidefoods.co.uk/worldwide-bradford-leeds-road/</t>
        </is>
      </c>
    </row>
    <row r="47">
      <c r="A47" s="10" t="inlineStr">
        <is>
          <t>WY-0046</t>
        </is>
      </c>
      <c r="B47" s="10" t="inlineStr">
        <is>
          <t>WORLDWIDEF-03</t>
        </is>
      </c>
      <c r="C47" s="10" t="inlineStr">
        <is>
          <t>Worldwide Foods Group</t>
        </is>
      </c>
      <c r="D47" s="10" t="inlineStr">
        <is>
          <t>Worldwide Foods Bradford (Woodhead Road)</t>
        </is>
      </c>
      <c r="E47" s="10" t="inlineStr">
        <is>
          <t>Independent Supermarket</t>
        </is>
      </c>
      <c r="F47" s="10" t="inlineStr">
        <is>
          <t>Halal / world food supermarket</t>
        </is>
      </c>
      <c r="G47" s="10" t="inlineStr">
        <is>
          <t>Regional Chain</t>
        </is>
      </c>
      <c r="H47" s="10" t="inlineStr"/>
      <c r="I47" s="10" t="inlineStr">
        <is>
          <t>Woodhead Road</t>
        </is>
      </c>
      <c r="J47" s="10" t="inlineStr">
        <is>
          <t>Bradford</t>
        </is>
      </c>
      <c r="K47" s="10" t="inlineStr"/>
      <c r="L47" s="10" t="inlineStr"/>
      <c r="M47" s="10" t="inlineStr"/>
      <c r="N47" s="10" t="inlineStr"/>
      <c r="O47" s="10" t="inlineStr">
        <is>
          <t>https://worldwidefoods.co.uk/</t>
        </is>
      </c>
      <c r="P47" s="10" t="inlineStr">
        <is>
          <t>https://www.facebook.com/worldwidefoods/</t>
        </is>
      </c>
      <c r="Q47" s="10" t="inlineStr"/>
      <c r="R47" s="10" t="inlineStr"/>
      <c r="S47" s="10" t="inlineStr"/>
      <c r="T47" s="10" t="inlineStr">
        <is>
          <t>04179487</t>
        </is>
      </c>
      <c r="U47" s="10" t="inlineStr"/>
      <c r="V47" s="10" t="inlineStr">
        <is>
          <t>Medium</t>
        </is>
      </c>
      <c r="W47" s="10" t="inlineStr">
        <is>
          <t>Multi-site retailer; Relevant category; Active website; Social presence</t>
        </is>
      </c>
      <c r="X47" s="10" t="inlineStr">
        <is>
          <t>Not Found</t>
        </is>
      </c>
      <c r="Y47" s="10" t="inlineStr">
        <is>
          <t>Website Found</t>
        </is>
      </c>
      <c r="Z47" s="10" t="inlineStr">
        <is>
          <t>Low</t>
        </is>
      </c>
      <c r="AA47" s="10" t="inlineStr">
        <is>
          <t>Partially Verified</t>
        </is>
      </c>
      <c r="AB47" s="10" t="inlineStr">
        <is>
          <t>https://worldwidefoods.co.uk/locations/</t>
        </is>
      </c>
    </row>
    <row r="48">
      <c r="A48" s="5" t="inlineStr">
        <is>
          <t>WY-0185</t>
        </is>
      </c>
      <c r="B48" s="5" t="inlineStr">
        <is>
          <t>WY-0185-01</t>
        </is>
      </c>
      <c r="C48" s="5" t="inlineStr"/>
      <c r="D48" s="5" t="inlineStr">
        <is>
          <t>Wakefield Road Service Station (Featherstone)</t>
        </is>
      </c>
      <c r="E48" s="5" t="inlineStr">
        <is>
          <t>Petrol Station / Forecourt</t>
        </is>
      </c>
      <c r="F48" s="5" t="inlineStr">
        <is>
          <t>Forecourt with convenience store</t>
        </is>
      </c>
      <c r="G48" s="5" t="inlineStr">
        <is>
          <t>Multi-Site Independent</t>
        </is>
      </c>
      <c r="H48" s="5" t="inlineStr">
        <is>
          <t>3</t>
        </is>
      </c>
      <c r="I48" s="5" t="inlineStr">
        <is>
          <t>Wakefield Road</t>
        </is>
      </c>
      <c r="J48" s="5" t="inlineStr">
        <is>
          <t>Featherstone</t>
        </is>
      </c>
      <c r="K48" s="5" t="inlineStr"/>
      <c r="L48" s="5" t="inlineStr"/>
      <c r="M48" s="5" t="inlineStr"/>
      <c r="N48" s="5" t="inlineStr"/>
      <c r="O48" s="5" t="inlineStr"/>
      <c r="P48" s="5" t="inlineStr"/>
      <c r="Q48" s="5" t="inlineStr"/>
      <c r="R48" s="5" t="inlineStr">
        <is>
          <t>Saqib Javaid; Zeeshan Ali</t>
        </is>
      </c>
      <c r="S48" s="5" t="inlineStr">
        <is>
          <t>Owners / Operators</t>
        </is>
      </c>
      <c r="T48" s="5" t="inlineStr"/>
      <c r="U48" s="5" t="inlineStr"/>
      <c r="V48" s="5" t="inlineStr">
        <is>
          <t>Medium</t>
        </is>
      </c>
      <c r="W48" s="5" t="inlineStr">
        <is>
          <t>Multi-site retailer; Independent retailer; Relevant category</t>
        </is>
      </c>
      <c r="X48" s="5" t="inlineStr">
        <is>
          <t>Not Found</t>
        </is>
      </c>
      <c r="Y48" s="5" t="inlineStr">
        <is>
          <t>Not Found</t>
        </is>
      </c>
      <c r="Z48" s="5" t="inlineStr">
        <is>
          <t>Low</t>
        </is>
      </c>
      <c r="AA48" s="5" t="inlineStr">
        <is>
          <t>Requires Verification</t>
        </is>
      </c>
      <c r="AB48" s="5" t="inlineStr">
        <is>
          <t>https://forecourttrader.co.uk/latest-news/forecourt-operator-duo-add-wakefield-road-service-station-to-portfolio/708047.article</t>
        </is>
      </c>
    </row>
  </sheetData>
  <autoFilter ref="A1:AB4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90"/>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34" customWidth="1" min="3" max="3"/>
    <col width="45" customWidth="1" min="4" max="4"/>
    <col width="28" customWidth="1" min="5" max="5"/>
    <col width="45" customWidth="1" min="6" max="6"/>
    <col width="26" customWidth="1" min="7" max="7"/>
    <col width="21" customWidth="1" min="8" max="8"/>
    <col width="38" customWidth="1" min="9" max="9"/>
    <col width="16" customWidth="1" min="10" max="10"/>
    <col width="10" customWidth="1" min="11" max="11"/>
    <col width="12" customWidth="1" min="12" max="12"/>
    <col width="15" customWidth="1" min="13" max="13"/>
    <col width="13" customWidth="1" min="14" max="14"/>
    <col width="45" customWidth="1" min="15" max="15"/>
    <col width="45" customWidth="1" min="16" max="16"/>
    <col width="45" customWidth="1" min="17" max="17"/>
    <col width="27" customWidth="1" min="18" max="18"/>
    <col width="20"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27" customWidth="1" min="27" max="27"/>
    <col width="45"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row r="5">
      <c r="A5" s="10" t="inlineStr">
        <is>
          <t>WY-0010</t>
        </is>
      </c>
      <c r="B5" s="10" t="inlineStr">
        <is>
          <t>ABUBAKRGRO-05</t>
        </is>
      </c>
      <c r="C5" s="10" t="inlineStr">
        <is>
          <t>Abu Bakr Group</t>
        </is>
      </c>
      <c r="D5" s="10" t="inlineStr">
        <is>
          <t>Abu Bakr Supermarket (Roundhay Road, Leeds)</t>
        </is>
      </c>
      <c r="E5" s="10" t="inlineStr">
        <is>
          <t>Independent Supermarket</t>
        </is>
      </c>
      <c r="F5" s="10" t="inlineStr">
        <is>
          <t>Halal / world foods supermarket with retail &amp; wholesale supply</t>
        </is>
      </c>
      <c r="G5" s="10" t="inlineStr">
        <is>
          <t>Multi-Site Independent</t>
        </is>
      </c>
      <c r="H5" s="10" t="inlineStr">
        <is>
          <t>5</t>
        </is>
      </c>
      <c r="I5" s="10" t="inlineStr">
        <is>
          <t>215 Roundhay Road</t>
        </is>
      </c>
      <c r="J5" s="10" t="inlineStr">
        <is>
          <t>Leeds</t>
        </is>
      </c>
      <c r="K5" s="10" t="inlineStr"/>
      <c r="L5" s="10" t="inlineStr"/>
      <c r="M5" s="10" t="inlineStr"/>
      <c r="N5" s="10" t="inlineStr"/>
      <c r="O5" s="10" t="inlineStr">
        <is>
          <t>https://www.abubakrgroup.com/</t>
        </is>
      </c>
      <c r="P5" s="10" t="inlineStr">
        <is>
          <t>https://www.facebook.com/abubakrsupermarketsleeds/</t>
        </is>
      </c>
      <c r="Q5" s="10" t="inlineStr">
        <is>
          <t>https://www.instagram.com/abubakrleeds/</t>
        </is>
      </c>
      <c r="R5" s="10" t="inlineStr"/>
      <c r="S5" s="10" t="inlineStr"/>
      <c r="T5" s="10" t="inlineStr"/>
      <c r="U5" s="10" t="inlineStr"/>
      <c r="V5" s="10" t="inlineStr">
        <is>
          <t>High</t>
        </is>
      </c>
      <c r="W5" s="10" t="inlineStr">
        <is>
          <t>Multi-site retailer; Independent retailer; Relevant category; Active website; Social presence</t>
        </is>
      </c>
      <c r="X5" s="10" t="inlineStr">
        <is>
          <t>Not Found</t>
        </is>
      </c>
      <c r="Y5" s="10" t="inlineStr">
        <is>
          <t>Website Found</t>
        </is>
      </c>
      <c r="Z5" s="10" t="inlineStr">
        <is>
          <t>Medium</t>
        </is>
      </c>
      <c r="AA5" s="10" t="inlineStr">
        <is>
          <t>Partially Verified</t>
        </is>
      </c>
      <c r="AB5" s="10" t="inlineStr">
        <is>
          <t>https://www.abubakrgroup.com/</t>
        </is>
      </c>
    </row>
    <row r="6">
      <c r="A6" s="5" t="inlineStr">
        <is>
          <t>WY-0016</t>
        </is>
      </c>
      <c r="B6" s="5" t="inlineStr">
        <is>
          <t>KARANRETAI-01</t>
        </is>
      </c>
      <c r="C6" s="5" t="inlineStr">
        <is>
          <t>Karan Retail Ltd</t>
        </is>
      </c>
      <c r="D6" s="5" t="inlineStr">
        <is>
          <t>Chidswell Service Station (Karan Retail)</t>
        </is>
      </c>
      <c r="E6" s="5" t="inlineStr">
        <is>
          <t>Petrol Station / Forecourt</t>
        </is>
      </c>
      <c r="F6" s="5" t="inlineStr">
        <is>
          <t>Forecourt with convenience store</t>
        </is>
      </c>
      <c r="G6" s="5" t="inlineStr">
        <is>
          <t>Multi-Site Independent</t>
        </is>
      </c>
      <c r="H6" s="5" t="inlineStr"/>
      <c r="I6" s="5" t="inlineStr">
        <is>
          <t>Off A653 (Chidswell)</t>
        </is>
      </c>
      <c r="J6" s="5" t="inlineStr">
        <is>
          <t>Dewsbury</t>
        </is>
      </c>
      <c r="K6" s="5" t="inlineStr"/>
      <c r="L6" s="5" t="inlineStr"/>
      <c r="M6" s="5" t="inlineStr"/>
      <c r="N6" s="5" t="inlineStr"/>
      <c r="O6" s="5" t="inlineStr"/>
      <c r="P6" s="5" t="inlineStr"/>
      <c r="Q6" s="5" t="inlineStr"/>
      <c r="R6" s="5" t="inlineStr"/>
      <c r="S6" s="5" t="inlineStr"/>
      <c r="T6" s="5" t="inlineStr"/>
      <c r="U6" s="5" t="inlineStr"/>
      <c r="V6" s="5" t="inlineStr">
        <is>
          <t>Medium</t>
        </is>
      </c>
      <c r="W6" s="5" t="inlineStr">
        <is>
          <t>Multi-site retailer; Independent retailer; Relevant category</t>
        </is>
      </c>
      <c r="X6" s="5" t="inlineStr">
        <is>
          <t>Not Found</t>
        </is>
      </c>
      <c r="Y6" s="5" t="inlineStr">
        <is>
          <t>Not Found</t>
        </is>
      </c>
      <c r="Z6" s="5" t="inlineStr">
        <is>
          <t>Low</t>
        </is>
      </c>
      <c r="AA6" s="5" t="inlineStr">
        <is>
          <t>Requires Verification</t>
        </is>
      </c>
      <c r="AB6" s="5" t="inlineStr">
        <is>
          <t>https://www.asiantrader.biz/karan-retail-chidswell-service-station-acquisition</t>
        </is>
      </c>
    </row>
    <row r="7">
      <c r="A7" s="10" t="inlineStr">
        <is>
          <t>WY-0020</t>
        </is>
      </c>
      <c r="B7" s="10" t="inlineStr">
        <is>
          <t>MULLACO-02</t>
        </is>
      </c>
      <c r="C7" s="10" t="inlineStr">
        <is>
          <t>Mullaco</t>
        </is>
      </c>
      <c r="D7" s="10" t="inlineStr">
        <is>
          <t>Mullaco Minimarket (Dewsbury)</t>
        </is>
      </c>
      <c r="E7" s="10" t="inlineStr">
        <is>
          <t>Convenience Store</t>
        </is>
      </c>
      <c r="F7" s="10" t="inlineStr">
        <is>
          <t>World foods minimarket</t>
        </is>
      </c>
      <c r="G7" s="10" t="inlineStr">
        <is>
          <t>Regional Chain</t>
        </is>
      </c>
      <c r="H7" s="10" t="inlineStr">
        <is>
          <t>3</t>
        </is>
      </c>
      <c r="I7" s="10" t="inlineStr"/>
      <c r="J7" s="10" t="inlineStr">
        <is>
          <t>Dewsbury</t>
        </is>
      </c>
      <c r="K7" s="10" t="inlineStr">
        <is>
          <t>WF12 9LX</t>
        </is>
      </c>
      <c r="L7" s="10" t="inlineStr"/>
      <c r="M7" s="10" t="inlineStr"/>
      <c r="N7" s="10" t="inlineStr"/>
      <c r="O7" s="10" t="inlineStr">
        <is>
          <t>https://mullaco.co.uk/</t>
        </is>
      </c>
      <c r="P7" s="10" t="inlineStr">
        <is>
          <t>https://www.facebook.com/mullaco.supermarket/</t>
        </is>
      </c>
      <c r="Q7" s="10" t="inlineStr"/>
      <c r="R7" s="10" t="inlineStr"/>
      <c r="S7" s="10" t="inlineStr"/>
      <c r="T7" s="10" t="inlineStr"/>
      <c r="U7" s="10" t="inlineStr"/>
      <c r="V7" s="10" t="inlineStr">
        <is>
          <t>Medium</t>
        </is>
      </c>
      <c r="W7" s="10" t="inlineStr">
        <is>
          <t>Multi-site retailer; Relevant category; Active website; Social presence</t>
        </is>
      </c>
      <c r="X7" s="10" t="inlineStr">
        <is>
          <t>Not Found</t>
        </is>
      </c>
      <c r="Y7" s="10" t="inlineStr">
        <is>
          <t>Website Found</t>
        </is>
      </c>
      <c r="Z7" s="10" t="inlineStr">
        <is>
          <t>Medium</t>
        </is>
      </c>
      <c r="AA7" s="10" t="inlineStr">
        <is>
          <t>Requires Verification</t>
        </is>
      </c>
      <c r="AB7" s="10" t="inlineStr">
        <is>
          <t>https://www.facebook.com/mullaco.supermarket/</t>
        </is>
      </c>
    </row>
    <row r="8">
      <c r="A8" s="5" t="inlineStr">
        <is>
          <t>WY-0025</t>
        </is>
      </c>
      <c r="B8" s="5" t="inlineStr">
        <is>
          <t>SAVILEPETR-01</t>
        </is>
      </c>
      <c r="C8" s="5" t="inlineStr">
        <is>
          <t>Savile Petroleum Limited</t>
        </is>
      </c>
      <c r="D8" s="5" t="inlineStr">
        <is>
          <t>Dewsbury Service Station (Savile Petroleum)</t>
        </is>
      </c>
      <c r="E8" s="5" t="inlineStr">
        <is>
          <t>Petrol Station / Forecourt</t>
        </is>
      </c>
      <c r="F8" s="5" t="inlineStr">
        <is>
          <t>BP-branded independent forecourt with convenience store</t>
        </is>
      </c>
      <c r="G8" s="5" t="inlineStr">
        <is>
          <t>Independent</t>
        </is>
      </c>
      <c r="H8" s="5" t="inlineStr">
        <is>
          <t>1</t>
        </is>
      </c>
      <c r="I8" s="5" t="inlineStr">
        <is>
          <t>Savile Road</t>
        </is>
      </c>
      <c r="J8" s="5" t="inlineStr">
        <is>
          <t>Dewsbury</t>
        </is>
      </c>
      <c r="K8" s="5" t="inlineStr">
        <is>
          <t>WF12 9LR</t>
        </is>
      </c>
      <c r="L8" s="5" t="inlineStr"/>
      <c r="M8" s="5" t="inlineStr"/>
      <c r="N8" s="5" t="inlineStr"/>
      <c r="O8" s="5" t="inlineStr"/>
      <c r="P8" s="5" t="inlineStr"/>
      <c r="Q8" s="5" t="inlineStr"/>
      <c r="R8" s="5" t="inlineStr"/>
      <c r="S8" s="5" t="inlineStr"/>
      <c r="T8" s="5" t="inlineStr">
        <is>
          <t>05197700</t>
        </is>
      </c>
      <c r="U8" s="5" t="inlineStr">
        <is>
          <t>Active</t>
        </is>
      </c>
      <c r="V8" s="5" t="inlineStr">
        <is>
          <t>Medium</t>
        </is>
      </c>
      <c r="W8" s="5" t="inlineStr">
        <is>
          <t>Multi-site retailer; Independent retailer; Relevant category</t>
        </is>
      </c>
      <c r="X8" s="5" t="inlineStr">
        <is>
          <t>Not Found</t>
        </is>
      </c>
      <c r="Y8" s="5" t="inlineStr">
        <is>
          <t>Not Found</t>
        </is>
      </c>
      <c r="Z8" s="5" t="inlineStr">
        <is>
          <t>Medium</t>
        </is>
      </c>
      <c r="AA8" s="5" t="inlineStr">
        <is>
          <t>Partially Verified</t>
        </is>
      </c>
      <c r="AB8" s="5" t="inlineStr">
        <is>
          <t>https://find-and-update.company-information.service.gov.uk/company/05197700</t>
        </is>
      </c>
    </row>
    <row r="9">
      <c r="A9" s="10" t="inlineStr">
        <is>
          <t>WY-0027</t>
        </is>
      </c>
      <c r="B9" s="10" t="inlineStr">
        <is>
          <t>SINGKEEFOO-02</t>
        </is>
      </c>
      <c r="C9" s="10" t="inlineStr">
        <is>
          <t>Sing Kee Foods (Sing-Ying Group)</t>
        </is>
      </c>
      <c r="D9" s="10" t="inlineStr">
        <is>
          <t>Sing Kee Oriental Supermarket (Merrion Centre)</t>
        </is>
      </c>
      <c r="E9" s="10" t="inlineStr">
        <is>
          <t>Independent Supermarket</t>
        </is>
      </c>
      <c r="F9" s="10" t="inlineStr">
        <is>
          <t>Chinese / Oriental supermarket</t>
        </is>
      </c>
      <c r="G9" s="10" t="inlineStr">
        <is>
          <t>Multi-Site Independent</t>
        </is>
      </c>
      <c r="H9" s="10" t="inlineStr">
        <is>
          <t>2</t>
        </is>
      </c>
      <c r="I9" s="10" t="inlineStr">
        <is>
          <t>26-28 Woodhouse Lane, Merrion Centre</t>
        </is>
      </c>
      <c r="J9" s="10" t="inlineStr">
        <is>
          <t>Leeds</t>
        </is>
      </c>
      <c r="K9" s="10" t="inlineStr">
        <is>
          <t>LS2 8LX</t>
        </is>
      </c>
      <c r="L9" s="10" t="inlineStr"/>
      <c r="M9" s="10" t="inlineStr"/>
      <c r="N9" s="10" t="inlineStr"/>
      <c r="O9" s="10" t="inlineStr">
        <is>
          <t>https://singkeefoods.co.uk/gb/</t>
        </is>
      </c>
      <c r="P9" s="10" t="inlineStr">
        <is>
          <t>https://www.facebook.com/SingKeeLeedsCentre/</t>
        </is>
      </c>
      <c r="Q9" s="10" t="inlineStr"/>
      <c r="R9" s="10" t="inlineStr"/>
      <c r="S9" s="10" t="inlineStr"/>
      <c r="T9" s="10" t="inlineStr"/>
      <c r="U9" s="10" t="inlineStr"/>
      <c r="V9" s="10" t="inlineStr">
        <is>
          <t>High</t>
        </is>
      </c>
      <c r="W9" s="10" t="inlineStr">
        <is>
          <t>Multi-site retailer; Independent retailer; Relevant category; Active website; Social presence</t>
        </is>
      </c>
      <c r="X9" s="10" t="inlineStr">
        <is>
          <t>Not Found</t>
        </is>
      </c>
      <c r="Y9" s="10" t="inlineStr">
        <is>
          <t>Website Found</t>
        </is>
      </c>
      <c r="Z9" s="10" t="inlineStr">
        <is>
          <t>Medium</t>
        </is>
      </c>
      <c r="AA9" s="10" t="inlineStr">
        <is>
          <t>Requires Verification</t>
        </is>
      </c>
      <c r="AB9" s="10" t="inlineStr">
        <is>
          <t>https://singkeefoods.co.uk/gb/stores</t>
        </is>
      </c>
    </row>
    <row r="10">
      <c r="A10" s="5" t="inlineStr">
        <is>
          <t>WY-0034</t>
        </is>
      </c>
      <c r="B10" s="5" t="inlineStr">
        <is>
          <t>VALLIFOREC-01</t>
        </is>
      </c>
      <c r="C10" s="5" t="inlineStr">
        <is>
          <t>Valli Forecourts Ltd</t>
        </is>
      </c>
      <c r="D10" s="5" t="inlineStr">
        <is>
          <t>BP Gledhow Service Station (Valli Forecourts)</t>
        </is>
      </c>
      <c r="E10" s="5" t="inlineStr">
        <is>
          <t>Petrol Station / Forecourt</t>
        </is>
      </c>
      <c r="F10" s="5" t="inlineStr">
        <is>
          <t>BP-branded forecourt with convenience store</t>
        </is>
      </c>
      <c r="G10" s="5" t="inlineStr">
        <is>
          <t>Regional Chain</t>
        </is>
      </c>
      <c r="H10" s="5" t="inlineStr">
        <is>
          <t>16</t>
        </is>
      </c>
      <c r="I10" s="5" t="inlineStr"/>
      <c r="J10" s="5" t="inlineStr">
        <is>
          <t>Leeds</t>
        </is>
      </c>
      <c r="K10" s="5" t="inlineStr">
        <is>
          <t>LS8 4BU</t>
        </is>
      </c>
      <c r="L10" s="5" t="inlineStr"/>
      <c r="M10" s="5" t="inlineStr"/>
      <c r="N10" s="5" t="inlineStr"/>
      <c r="O10" s="5" t="inlineStr">
        <is>
          <t>https://valliforecourts.co.uk/</t>
        </is>
      </c>
      <c r="P10" s="5" t="inlineStr"/>
      <c r="Q10" s="5" t="inlineStr"/>
      <c r="R10" s="5" t="inlineStr"/>
      <c r="S10" s="5" t="inlineStr"/>
      <c r="T10" s="5" t="inlineStr"/>
      <c r="U10" s="5" t="inlineStr"/>
      <c r="V10" s="5" t="inlineStr">
        <is>
          <t>Medium</t>
        </is>
      </c>
      <c r="W10" s="5" t="inlineStr">
        <is>
          <t>Multi-site retailer; Relevant category; Active website</t>
        </is>
      </c>
      <c r="X10" s="5" t="inlineStr">
        <is>
          <t>Not Found</t>
        </is>
      </c>
      <c r="Y10" s="5" t="inlineStr">
        <is>
          <t>Website Found</t>
        </is>
      </c>
      <c r="Z10" s="5" t="inlineStr">
        <is>
          <t>Medium</t>
        </is>
      </c>
      <c r="AA10" s="5" t="inlineStr">
        <is>
          <t>Requires Verification</t>
        </is>
      </c>
      <c r="AB10" s="5" t="inlineStr">
        <is>
          <t>https://www.petrolprices.com/locations/huddersfield</t>
        </is>
      </c>
    </row>
    <row r="11">
      <c r="A11" s="10" t="inlineStr">
        <is>
          <t>WY-0035</t>
        </is>
      </c>
      <c r="B11" s="10" t="inlineStr">
        <is>
          <t>VALLIFOREC-02</t>
        </is>
      </c>
      <c r="C11" s="10" t="inlineStr">
        <is>
          <t>Valli Forecourts Ltd</t>
        </is>
      </c>
      <c r="D11" s="10" t="inlineStr">
        <is>
          <t>Valli Forecourts Ltd (Head Office)</t>
        </is>
      </c>
      <c r="E11" s="10" t="inlineStr">
        <is>
          <t>Petrol Station / Forecourt</t>
        </is>
      </c>
      <c r="F11" s="10" t="inlineStr">
        <is>
          <t>Independent forecourt group head office</t>
        </is>
      </c>
      <c r="G11" s="10" t="inlineStr">
        <is>
          <t>Regional Chain</t>
        </is>
      </c>
      <c r="H11" s="10" t="inlineStr">
        <is>
          <t>16</t>
        </is>
      </c>
      <c r="I11" s="10" t="inlineStr"/>
      <c r="J11" s="10" t="inlineStr">
        <is>
          <t>Leeds</t>
        </is>
      </c>
      <c r="K11" s="10" t="inlineStr"/>
      <c r="L11" s="10" t="inlineStr"/>
      <c r="M11" s="10" t="inlineStr"/>
      <c r="N11" s="10" t="inlineStr"/>
      <c r="O11" s="10" t="inlineStr">
        <is>
          <t>https://valliforecourts.co.uk/</t>
        </is>
      </c>
      <c r="P11" s="10" t="inlineStr"/>
      <c r="Q11" s="10" t="inlineStr"/>
      <c r="R11" s="10" t="inlineStr"/>
      <c r="S11" s="10" t="inlineStr"/>
      <c r="T11" s="10" t="inlineStr"/>
      <c r="U11" s="10" t="inlineStr"/>
      <c r="V11" s="10" t="inlineStr">
        <is>
          <t>Medium</t>
        </is>
      </c>
      <c r="W11" s="10" t="inlineStr">
        <is>
          <t>Multi-site retailer; Relevant category; Active website; Social presence</t>
        </is>
      </c>
      <c r="X11" s="10" t="inlineStr">
        <is>
          <t>Not Found</t>
        </is>
      </c>
      <c r="Y11" s="10" t="inlineStr">
        <is>
          <t>Website Found</t>
        </is>
      </c>
      <c r="Z11" s="10" t="inlineStr">
        <is>
          <t>Low</t>
        </is>
      </c>
      <c r="AA11" s="10" t="inlineStr">
        <is>
          <t>Requires Verification</t>
        </is>
      </c>
      <c r="AB11" s="10" t="inlineStr">
        <is>
          <t>https://www.yorkshire.com/moortown/transport/petrol-stations/valli-forecourts-ltd-head-office</t>
        </is>
      </c>
    </row>
    <row r="12">
      <c r="A12" s="5" t="inlineStr">
        <is>
          <t>WY-0040</t>
        </is>
      </c>
      <c r="B12" s="5" t="inlineStr">
        <is>
          <t>WOWVAPE-02</t>
        </is>
      </c>
      <c r="C12" s="5" t="inlineStr">
        <is>
          <t>WOW Vape</t>
        </is>
      </c>
      <c r="D12" s="5" t="inlineStr">
        <is>
          <t>WOW Vape (Wakefield)</t>
        </is>
      </c>
      <c r="E12" s="5" t="inlineStr">
        <is>
          <t>Vape Shop</t>
        </is>
      </c>
      <c r="F12" s="5" t="inlineStr">
        <is>
          <t>Vape retailer</t>
        </is>
      </c>
      <c r="G12" s="5" t="inlineStr">
        <is>
          <t>Multi-Site Independent</t>
        </is>
      </c>
      <c r="H12" s="5" t="inlineStr">
        <is>
          <t>2</t>
        </is>
      </c>
      <c r="I12" s="5" t="inlineStr"/>
      <c r="J12" s="5" t="inlineStr">
        <is>
          <t>Wakefield</t>
        </is>
      </c>
      <c r="K12" s="5" t="inlineStr"/>
      <c r="L12" s="5" t="inlineStr"/>
      <c r="M12" s="5" t="inlineStr"/>
      <c r="N12" s="5" t="inlineStr"/>
      <c r="O12" s="5" t="inlineStr"/>
      <c r="P12" s="5" t="inlineStr"/>
      <c r="Q12" s="5" t="inlineStr">
        <is>
          <t>https://www.instagram.com/wowvapewakefield/</t>
        </is>
      </c>
      <c r="R12" s="5" t="inlineStr"/>
      <c r="S12" s="5" t="inlineStr"/>
      <c r="T12" s="5" t="inlineStr"/>
      <c r="U12" s="5" t="inlineStr"/>
      <c r="V12" s="5" t="inlineStr">
        <is>
          <t>High</t>
        </is>
      </c>
      <c r="W12" s="5" t="inlineStr">
        <is>
          <t>Multi-site retailer; Independent retailer; Core relevant category; Social presence</t>
        </is>
      </c>
      <c r="X12" s="5" t="inlineStr">
        <is>
          <t>Not Found</t>
        </is>
      </c>
      <c r="Y12" s="5" t="inlineStr">
        <is>
          <t>Not Found</t>
        </is>
      </c>
      <c r="Z12" s="5" t="inlineStr">
        <is>
          <t>Low</t>
        </is>
      </c>
      <c r="AA12" s="5" t="inlineStr">
        <is>
          <t>Requires Verification</t>
        </is>
      </c>
      <c r="AB12" s="5" t="inlineStr">
        <is>
          <t>https://www.instagram.com/wowvapewakefield/</t>
        </is>
      </c>
    </row>
    <row r="13">
      <c r="A13" s="10" t="inlineStr">
        <is>
          <t>WY-0043</t>
        </is>
      </c>
      <c r="B13" s="10" t="inlineStr">
        <is>
          <t>WEAREVAPES-03</t>
        </is>
      </c>
      <c r="C13" s="10" t="inlineStr">
        <is>
          <t>We Are Vapes</t>
        </is>
      </c>
      <c r="D13" s="10" t="inlineStr">
        <is>
          <t>We Are Vapes</t>
        </is>
      </c>
      <c r="E13" s="10" t="inlineStr">
        <is>
          <t>Vape Shop</t>
        </is>
      </c>
      <c r="F13" s="10" t="inlineStr">
        <is>
          <t>Vape kits, e-liquids &amp; accessories</t>
        </is>
      </c>
      <c r="G13" s="10" t="inlineStr">
        <is>
          <t>Multi-Site Independent</t>
        </is>
      </c>
      <c r="H13" s="10" t="inlineStr">
        <is>
          <t>3</t>
        </is>
      </c>
      <c r="I13" s="10" t="inlineStr">
        <is>
          <t>446 Killinghall Road</t>
        </is>
      </c>
      <c r="J13" s="10" t="inlineStr">
        <is>
          <t>Bradford</t>
        </is>
      </c>
      <c r="K13" s="10" t="inlineStr"/>
      <c r="L13" s="10" t="inlineStr"/>
      <c r="M13" s="10" t="inlineStr"/>
      <c r="N13" s="10" t="inlineStr"/>
      <c r="O13" s="10" t="inlineStr">
        <is>
          <t>https://www.wearevapes.com/</t>
        </is>
      </c>
      <c r="P13" s="10" t="inlineStr"/>
      <c r="Q13" s="10" t="inlineStr"/>
      <c r="R13" s="10" t="inlineStr"/>
      <c r="S13" s="10" t="inlineStr"/>
      <c r="T13" s="10" t="inlineStr"/>
      <c r="U13" s="10" t="inlineStr"/>
      <c r="V13" s="10" t="inlineStr">
        <is>
          <t>High</t>
        </is>
      </c>
      <c r="W13" s="10" t="inlineStr">
        <is>
          <t>Multi-site retailer; Independent retailer; Core relevant category; Active website</t>
        </is>
      </c>
      <c r="X13" s="10" t="inlineStr">
        <is>
          <t>Not Found</t>
        </is>
      </c>
      <c r="Y13" s="10" t="inlineStr">
        <is>
          <t>Website Found</t>
        </is>
      </c>
      <c r="Z13" s="10" t="inlineStr">
        <is>
          <t>Low</t>
        </is>
      </c>
      <c r="AA13" s="10" t="inlineStr">
        <is>
          <t>Requires Verification</t>
        </is>
      </c>
      <c r="AB13" s="10" t="inlineStr">
        <is>
          <t>https://www.wearevapes.com/</t>
        </is>
      </c>
    </row>
    <row r="14">
      <c r="A14" s="5" t="inlineStr">
        <is>
          <t>WY-0046</t>
        </is>
      </c>
      <c r="B14" s="5" t="inlineStr">
        <is>
          <t>WORLDWIDEF-03</t>
        </is>
      </c>
      <c r="C14" s="5" t="inlineStr">
        <is>
          <t>Worldwide Foods Group</t>
        </is>
      </c>
      <c r="D14" s="5" t="inlineStr">
        <is>
          <t>Worldwide Foods Bradford (Woodhead Road)</t>
        </is>
      </c>
      <c r="E14" s="5" t="inlineStr">
        <is>
          <t>Independent Supermarket</t>
        </is>
      </c>
      <c r="F14" s="5" t="inlineStr">
        <is>
          <t>Halal / world food supermarket</t>
        </is>
      </c>
      <c r="G14" s="5" t="inlineStr">
        <is>
          <t>Regional Chain</t>
        </is>
      </c>
      <c r="H14" s="5" t="inlineStr"/>
      <c r="I14" s="5" t="inlineStr">
        <is>
          <t>Woodhead Road</t>
        </is>
      </c>
      <c r="J14" s="5" t="inlineStr">
        <is>
          <t>Bradford</t>
        </is>
      </c>
      <c r="K14" s="5" t="inlineStr"/>
      <c r="L14" s="5" t="inlineStr"/>
      <c r="M14" s="5" t="inlineStr"/>
      <c r="N14" s="5" t="inlineStr"/>
      <c r="O14" s="5" t="inlineStr">
        <is>
          <t>https://worldwidefoods.co.uk/</t>
        </is>
      </c>
      <c r="P14" s="5" t="inlineStr">
        <is>
          <t>https://www.facebook.com/worldwidefoods/</t>
        </is>
      </c>
      <c r="Q14" s="5" t="inlineStr"/>
      <c r="R14" s="5" t="inlineStr"/>
      <c r="S14" s="5" t="inlineStr"/>
      <c r="T14" s="5" t="inlineStr">
        <is>
          <t>04179487</t>
        </is>
      </c>
      <c r="U14" s="5" t="inlineStr"/>
      <c r="V14" s="5" t="inlineStr">
        <is>
          <t>Medium</t>
        </is>
      </c>
      <c r="W14" s="5" t="inlineStr">
        <is>
          <t>Multi-site retailer; Relevant category; Active website; Social presence</t>
        </is>
      </c>
      <c r="X14" s="5" t="inlineStr">
        <is>
          <t>Not Found</t>
        </is>
      </c>
      <c r="Y14" s="5" t="inlineStr">
        <is>
          <t>Website Found</t>
        </is>
      </c>
      <c r="Z14" s="5" t="inlineStr">
        <is>
          <t>Low</t>
        </is>
      </c>
      <c r="AA14" s="5" t="inlineStr">
        <is>
          <t>Partially Verified</t>
        </is>
      </c>
      <c r="AB14" s="5" t="inlineStr">
        <is>
          <t>https://worldwidefoods.co.uk/locations/</t>
        </is>
      </c>
    </row>
    <row r="15">
      <c r="A15" s="10" t="inlineStr">
        <is>
          <t>WY-0047</t>
        </is>
      </c>
      <c r="B15" s="10" t="inlineStr">
        <is>
          <t>WY-0047-01</t>
        </is>
      </c>
      <c r="C15" s="10" t="inlineStr"/>
      <c r="D15" s="10" t="inlineStr">
        <is>
          <t>A &amp; B Stores</t>
        </is>
      </c>
      <c r="E15" s="10" t="inlineStr">
        <is>
          <t>Off-Licence</t>
        </is>
      </c>
      <c r="F15" s="10" t="inlineStr">
        <is>
          <t>Off-licence / convenience</t>
        </is>
      </c>
      <c r="G15" s="10" t="inlineStr">
        <is>
          <t>Independent</t>
        </is>
      </c>
      <c r="H15" s="10" t="inlineStr">
        <is>
          <t>1</t>
        </is>
      </c>
      <c r="I15" s="10" t="inlineStr"/>
      <c r="J15" s="10" t="inlineStr">
        <is>
          <t>Bingley</t>
        </is>
      </c>
      <c r="K15" s="10" t="inlineStr"/>
      <c r="L15" s="10" t="inlineStr"/>
      <c r="M15" s="10" t="inlineStr"/>
      <c r="N15" s="10" t="inlineStr"/>
      <c r="O15" s="10" t="inlineStr"/>
      <c r="P15" s="10" t="inlineStr"/>
      <c r="Q15" s="10" t="inlineStr"/>
      <c r="R15" s="10" t="inlineStr"/>
      <c r="S15" s="10" t="inlineStr"/>
      <c r="T15" s="10" t="inlineStr"/>
      <c r="U15" s="10" t="inlineStr"/>
      <c r="V15" s="10" t="inlineStr">
        <is>
          <t>Low</t>
        </is>
      </c>
      <c r="W15" s="10" t="inlineStr">
        <is>
          <t>Independent retailer; Relevant category</t>
        </is>
      </c>
      <c r="X15" s="10" t="inlineStr">
        <is>
          <t>Not Found</t>
        </is>
      </c>
      <c r="Y15" s="10" t="inlineStr">
        <is>
          <t>Not Found</t>
        </is>
      </c>
      <c r="Z15" s="10" t="inlineStr">
        <is>
          <t>Low</t>
        </is>
      </c>
      <c r="AA15" s="10" t="inlineStr">
        <is>
          <t>Requires Verification</t>
        </is>
      </c>
      <c r="AB15" s="10" t="inlineStr">
        <is>
          <t>https://www.yorkshire.com/bingley/shopping/off-license/a-b-stores</t>
        </is>
      </c>
    </row>
    <row r="16">
      <c r="A16" s="5" t="inlineStr">
        <is>
          <t>WY-0048</t>
        </is>
      </c>
      <c r="B16" s="5" t="inlineStr">
        <is>
          <t>WY-0048-01</t>
        </is>
      </c>
      <c r="C16" s="5" t="inlineStr"/>
      <c r="D16" s="5" t="inlineStr">
        <is>
          <t>AV &amp; JI Stores</t>
        </is>
      </c>
      <c r="E16" s="5" t="inlineStr">
        <is>
          <t>Convenience Store</t>
        </is>
      </c>
      <c r="F16" s="5" t="inlineStr">
        <is>
          <t>Premier symbol group convenience store and off-licence</t>
        </is>
      </c>
      <c r="G16" s="5" t="inlineStr">
        <is>
          <t>Franchise / Symbol Group</t>
        </is>
      </c>
      <c r="H16" s="5" t="inlineStr">
        <is>
          <t>1</t>
        </is>
      </c>
      <c r="I16" s="5" t="inlineStr">
        <is>
          <t>12 Albert Road</t>
        </is>
      </c>
      <c r="J16" s="5" t="inlineStr">
        <is>
          <t>Sowerby Bridge</t>
        </is>
      </c>
      <c r="K16" s="5" t="inlineStr">
        <is>
          <t>HX6 2PA</t>
        </is>
      </c>
      <c r="L16" s="5" t="inlineStr"/>
      <c r="M16" s="5" t="inlineStr"/>
      <c r="N16" s="5" t="inlineStr"/>
      <c r="O16" s="5" t="inlineStr"/>
      <c r="P16" s="5" t="inlineStr">
        <is>
          <t>https://www.facebook.com/people/Premier-AV-JI-Stores/61567311514140/</t>
        </is>
      </c>
      <c r="Q16" s="5" t="inlineStr"/>
      <c r="R16" s="5" t="inlineStr"/>
      <c r="S16" s="5" t="inlineStr"/>
      <c r="T16" s="5" t="inlineStr"/>
      <c r="U16" s="5" t="inlineStr"/>
      <c r="V16" s="5" t="inlineStr">
        <is>
          <t>Medium</t>
        </is>
      </c>
      <c r="W16" s="5" t="inlineStr">
        <is>
          <t>Independent retailer; Relevant category; Social presence</t>
        </is>
      </c>
      <c r="X16" s="5" t="inlineStr">
        <is>
          <t>Not Found</t>
        </is>
      </c>
      <c r="Y16" s="5" t="inlineStr">
        <is>
          <t>Not Found</t>
        </is>
      </c>
      <c r="Z16" s="5" t="inlineStr">
        <is>
          <t>Medium</t>
        </is>
      </c>
      <c r="AA16" s="5" t="inlineStr">
        <is>
          <t>Requires Verification</t>
        </is>
      </c>
      <c r="AB16" s="5" t="inlineStr">
        <is>
          <t>https://www.facebook.com/people/Premier-AV-JI-Stores/61567311514140/</t>
        </is>
      </c>
    </row>
    <row r="17">
      <c r="A17" s="10" t="inlineStr">
        <is>
          <t>WY-0049</t>
        </is>
      </c>
      <c r="B17" s="10" t="inlineStr">
        <is>
          <t>WY-0049-01</t>
        </is>
      </c>
      <c r="C17" s="10" t="inlineStr"/>
      <c r="D17" s="10" t="inlineStr">
        <is>
          <t>Al-Falah Supermarket</t>
        </is>
      </c>
      <c r="E17" s="10" t="inlineStr">
        <is>
          <t>Independent Supermarket</t>
        </is>
      </c>
      <c r="F17" s="10" t="inlineStr">
        <is>
          <t>Halal / international supermarket</t>
        </is>
      </c>
      <c r="G17" s="10" t="inlineStr">
        <is>
          <t>Independent</t>
        </is>
      </c>
      <c r="H17" s="10" t="inlineStr">
        <is>
          <t>1</t>
        </is>
      </c>
      <c r="I17" s="10" t="inlineStr">
        <is>
          <t>150 Manningham Lane</t>
        </is>
      </c>
      <c r="J17" s="10" t="inlineStr">
        <is>
          <t>Bradford</t>
        </is>
      </c>
      <c r="K17" s="10" t="inlineStr"/>
      <c r="L17" s="10" t="inlineStr"/>
      <c r="M17" s="10" t="inlineStr"/>
      <c r="N17" s="10" t="inlineStr"/>
      <c r="O17" s="10" t="inlineStr"/>
      <c r="P17" s="10" t="inlineStr">
        <is>
          <t>https://www.facebook.com/alfalahbradford/</t>
        </is>
      </c>
      <c r="Q17" s="10" t="inlineStr"/>
      <c r="R17" s="10" t="inlineStr"/>
      <c r="S17" s="10" t="inlineStr"/>
      <c r="T17" s="10" t="inlineStr"/>
      <c r="U17" s="10" t="inlineStr"/>
      <c r="V17" s="10" t="inlineStr">
        <is>
          <t>Medium</t>
        </is>
      </c>
      <c r="W17" s="10" t="inlineStr">
        <is>
          <t>Independent retailer; Relevant category; Social presence</t>
        </is>
      </c>
      <c r="X17" s="10" t="inlineStr">
        <is>
          <t>Not Found</t>
        </is>
      </c>
      <c r="Y17" s="10" t="inlineStr">
        <is>
          <t>Not Found</t>
        </is>
      </c>
      <c r="Z17" s="10" t="inlineStr">
        <is>
          <t>Medium</t>
        </is>
      </c>
      <c r="AA17" s="10" t="inlineStr">
        <is>
          <t>Requires Verification</t>
        </is>
      </c>
      <c r="AB17" s="10" t="inlineStr">
        <is>
          <t>https://www.facebook.com/alfalahbradford/</t>
        </is>
      </c>
    </row>
    <row r="18">
      <c r="A18" s="5" t="inlineStr">
        <is>
          <t>WY-0051</t>
        </is>
      </c>
      <c r="B18" s="5" t="inlineStr">
        <is>
          <t>WY-0051-01</t>
        </is>
      </c>
      <c r="C18" s="5" t="inlineStr"/>
      <c r="D18" s="5" t="inlineStr">
        <is>
          <t>Armley Ridge Road Convenience Store &amp; Off-Licence</t>
        </is>
      </c>
      <c r="E18" s="5" t="inlineStr">
        <is>
          <t>Convenience Store</t>
        </is>
      </c>
      <c r="F18" s="5" t="inlineStr">
        <is>
          <t>Convenience store with off-licence</t>
        </is>
      </c>
      <c r="G18" s="5" t="inlineStr">
        <is>
          <t>Independent</t>
        </is>
      </c>
      <c r="H18" s="5" t="inlineStr">
        <is>
          <t>1</t>
        </is>
      </c>
      <c r="I18" s="5" t="inlineStr">
        <is>
          <t>Armley Ridge Road</t>
        </is>
      </c>
      <c r="J18" s="5" t="inlineStr">
        <is>
          <t>Leeds</t>
        </is>
      </c>
      <c r="K18" s="5" t="inlineStr"/>
      <c r="L18" s="5" t="inlineStr"/>
      <c r="M18" s="5" t="inlineStr"/>
      <c r="N18" s="5" t="inlineStr"/>
      <c r="O18" s="5" t="inlineStr"/>
      <c r="P18" s="5" t="inlineStr">
        <is>
          <t>https://www.facebook.com/NoProblemArmley/</t>
        </is>
      </c>
      <c r="Q18" s="5" t="inlineStr"/>
      <c r="R18" s="5" t="inlineStr"/>
      <c r="S18" s="5" t="inlineStr"/>
      <c r="T18" s="5" t="inlineStr"/>
      <c r="U18" s="5" t="inlineStr"/>
      <c r="V18" s="5" t="inlineStr">
        <is>
          <t>Medium</t>
        </is>
      </c>
      <c r="W18" s="5" t="inlineStr">
        <is>
          <t>Independent retailer; Relevant category; Social presence</t>
        </is>
      </c>
      <c r="X18" s="5" t="inlineStr">
        <is>
          <t>Not Found</t>
        </is>
      </c>
      <c r="Y18" s="5" t="inlineStr">
        <is>
          <t>Not Found</t>
        </is>
      </c>
      <c r="Z18" s="5" t="inlineStr">
        <is>
          <t>Low</t>
        </is>
      </c>
      <c r="AA18" s="5" t="inlineStr">
        <is>
          <t>Requires Verification</t>
        </is>
      </c>
      <c r="AB18" s="5" t="inlineStr">
        <is>
          <t>https://www.facebook.com/NoProblemArmley/</t>
        </is>
      </c>
    </row>
    <row r="19">
      <c r="A19" s="10" t="inlineStr">
        <is>
          <t>WY-0054</t>
        </is>
      </c>
      <c r="B19" s="10" t="inlineStr">
        <is>
          <t>WY-0054-01</t>
        </is>
      </c>
      <c r="C19" s="10" t="inlineStr"/>
      <c r="D19" s="10" t="inlineStr">
        <is>
          <t>Azeem's Vape Shop</t>
        </is>
      </c>
      <c r="E19" s="10" t="inlineStr">
        <is>
          <t>Vape Shop</t>
        </is>
      </c>
      <c r="F19" s="10" t="inlineStr"/>
      <c r="G19" s="10" t="inlineStr">
        <is>
          <t>Independent</t>
        </is>
      </c>
      <c r="H19" s="10" t="inlineStr">
        <is>
          <t>1</t>
        </is>
      </c>
      <c r="I19" s="10" t="inlineStr"/>
      <c r="J19" s="10" t="inlineStr">
        <is>
          <t>Todmorden</t>
        </is>
      </c>
      <c r="K19" s="10" t="inlineStr"/>
      <c r="L19" s="10" t="inlineStr"/>
      <c r="M19" s="10" t="inlineStr"/>
      <c r="N19" s="10" t="inlineStr"/>
      <c r="O19" s="10" t="inlineStr"/>
      <c r="P19" s="10" t="inlineStr"/>
      <c r="Q19" s="10" t="inlineStr"/>
      <c r="R19" s="10" t="inlineStr"/>
      <c r="S19" s="10" t="inlineStr"/>
      <c r="T19" s="10" t="inlineStr"/>
      <c r="U19" s="10" t="inlineStr"/>
      <c r="V19" s="10" t="inlineStr">
        <is>
          <t>Medium</t>
        </is>
      </c>
      <c r="W19" s="10" t="inlineStr">
        <is>
          <t>Independent retailer; Core relevant category</t>
        </is>
      </c>
      <c r="X19" s="10" t="inlineStr">
        <is>
          <t>Not Found</t>
        </is>
      </c>
      <c r="Y19" s="10" t="inlineStr">
        <is>
          <t>Not Found</t>
        </is>
      </c>
      <c r="Z19" s="10" t="inlineStr">
        <is>
          <t>Low</t>
        </is>
      </c>
      <c r="AA19" s="10" t="inlineStr">
        <is>
          <t>Requires Verification</t>
        </is>
      </c>
      <c r="AB19" s="10" t="inlineStr">
        <is>
          <t>https://tobaccoshops.co.uk/05958051/Azeem%E2%80%99s_vape_shop</t>
        </is>
      </c>
    </row>
    <row r="20">
      <c r="A20" s="5" t="inlineStr">
        <is>
          <t>WY-0056</t>
        </is>
      </c>
      <c r="B20" s="5" t="inlineStr">
        <is>
          <t>WY-0056-01</t>
        </is>
      </c>
      <c r="C20" s="5" t="inlineStr"/>
      <c r="D20" s="5" t="inlineStr">
        <is>
          <t>Baildon Green Convenience Store</t>
        </is>
      </c>
      <c r="E20" s="5" t="inlineStr">
        <is>
          <t>Convenience Store</t>
        </is>
      </c>
      <c r="F20" s="5" t="inlineStr">
        <is>
          <t>Neighbourhood convenience store</t>
        </is>
      </c>
      <c r="G20" s="5" t="inlineStr">
        <is>
          <t>Independent</t>
        </is>
      </c>
      <c r="H20" s="5" t="inlineStr">
        <is>
          <t>1</t>
        </is>
      </c>
      <c r="I20" s="5" t="inlineStr">
        <is>
          <t>Cliffe Lane West</t>
        </is>
      </c>
      <c r="J20" s="5" t="inlineStr">
        <is>
          <t>Shipley</t>
        </is>
      </c>
      <c r="K20" s="5" t="inlineStr"/>
      <c r="L20" s="5" t="inlineStr"/>
      <c r="M20" s="5" t="inlineStr"/>
      <c r="N20" s="5" t="inlineStr"/>
      <c r="O20" s="5" t="inlineStr"/>
      <c r="P20" s="5" t="inlineStr"/>
      <c r="Q20" s="5" t="inlineStr"/>
      <c r="R20" s="5" t="inlineStr"/>
      <c r="S20" s="5" t="inlineStr"/>
      <c r="T20" s="5" t="inlineStr"/>
      <c r="U20" s="5" t="inlineStr"/>
      <c r="V20" s="5" t="inlineStr">
        <is>
          <t>Low</t>
        </is>
      </c>
      <c r="W20" s="5" t="inlineStr">
        <is>
          <t>Independent retailer; Relevant category</t>
        </is>
      </c>
      <c r="X20" s="5" t="inlineStr">
        <is>
          <t>Not Found</t>
        </is>
      </c>
      <c r="Y20" s="5" t="inlineStr">
        <is>
          <t>Not Found</t>
        </is>
      </c>
      <c r="Z20" s="5" t="inlineStr">
        <is>
          <t>Low</t>
        </is>
      </c>
      <c r="AA20" s="5" t="inlineStr">
        <is>
          <t>Requires Verification</t>
        </is>
      </c>
      <c r="AB20" s="5" t="inlineStr">
        <is>
          <t>https://www.yorkshire.com/shipley/shopping/corner-shops/baildon-green-convenience-store</t>
        </is>
      </c>
    </row>
    <row r="21">
      <c r="A21" s="10" t="inlineStr">
        <is>
          <t>WY-0057</t>
        </is>
      </c>
      <c r="B21" s="10" t="inlineStr">
        <is>
          <t>WY-0057-01</t>
        </is>
      </c>
      <c r="C21" s="10" t="inlineStr"/>
      <c r="D21" s="10" t="inlineStr">
        <is>
          <t>Baildon Off Licence</t>
        </is>
      </c>
      <c r="E21" s="10" t="inlineStr">
        <is>
          <t>Off-Licence</t>
        </is>
      </c>
      <c r="F21" s="10" t="inlineStr">
        <is>
          <t>Neighbourhood off-licence</t>
        </is>
      </c>
      <c r="G21" s="10" t="inlineStr">
        <is>
          <t>Independent</t>
        </is>
      </c>
      <c r="H21" s="10" t="inlineStr">
        <is>
          <t>1</t>
        </is>
      </c>
      <c r="I21" s="10" t="inlineStr">
        <is>
          <t>Coach Road</t>
        </is>
      </c>
      <c r="J21" s="10" t="inlineStr">
        <is>
          <t>Shipley</t>
        </is>
      </c>
      <c r="K21" s="10" t="inlineStr"/>
      <c r="L21" s="10" t="inlineStr"/>
      <c r="M21" s="10" t="inlineStr"/>
      <c r="N21" s="10" t="inlineStr"/>
      <c r="O21" s="10" t="inlineStr"/>
      <c r="P21" s="10" t="inlineStr"/>
      <c r="Q21" s="10" t="inlineStr"/>
      <c r="R21" s="10" t="inlineStr"/>
      <c r="S21" s="10" t="inlineStr"/>
      <c r="T21" s="10" t="inlineStr"/>
      <c r="U21" s="10" t="inlineStr"/>
      <c r="V21" s="10" t="inlineStr">
        <is>
          <t>Low</t>
        </is>
      </c>
      <c r="W21" s="10" t="inlineStr">
        <is>
          <t>Independent retailer; Relevant category</t>
        </is>
      </c>
      <c r="X21" s="10" t="inlineStr">
        <is>
          <t>Not Found</t>
        </is>
      </c>
      <c r="Y21" s="10" t="inlineStr">
        <is>
          <t>Not Found</t>
        </is>
      </c>
      <c r="Z21" s="10" t="inlineStr">
        <is>
          <t>Low</t>
        </is>
      </c>
      <c r="AA21" s="10" t="inlineStr">
        <is>
          <t>Requires Verification</t>
        </is>
      </c>
      <c r="AB21" s="10" t="inlineStr">
        <is>
          <t>https://www.yorkshire.com/saltaire/shopping/off-license/baildon-off-licence</t>
        </is>
      </c>
    </row>
    <row r="22">
      <c r="A22" s="5" t="inlineStr">
        <is>
          <t>WY-0058</t>
        </is>
      </c>
      <c r="B22" s="5" t="inlineStr">
        <is>
          <t>WY-0058-01</t>
        </is>
      </c>
      <c r="C22" s="5" t="inlineStr"/>
      <c r="D22" s="5" t="inlineStr">
        <is>
          <t>Bar Market</t>
        </is>
      </c>
      <c r="E22" s="5" t="inlineStr">
        <is>
          <t>Off-Licence</t>
        </is>
      </c>
      <c r="F22" s="5" t="inlineStr">
        <is>
          <t>24-hour off-licence</t>
        </is>
      </c>
      <c r="G22" s="5" t="inlineStr">
        <is>
          <t>Independent</t>
        </is>
      </c>
      <c r="H22" s="5" t="inlineStr">
        <is>
          <t>1</t>
        </is>
      </c>
      <c r="I22" s="5" t="inlineStr">
        <is>
          <t>Crown Street</t>
        </is>
      </c>
      <c r="J22" s="5" t="inlineStr">
        <is>
          <t>Halifax</t>
        </is>
      </c>
      <c r="K22" s="5" t="inlineStr"/>
      <c r="L22" s="5" t="inlineStr"/>
      <c r="M22" s="5" t="inlineStr"/>
      <c r="N22" s="5" t="inlineStr"/>
      <c r="O22" s="5" t="inlineStr"/>
      <c r="P22" s="5" t="inlineStr"/>
      <c r="Q22" s="5" t="inlineStr"/>
      <c r="R22" s="5" t="inlineStr"/>
      <c r="S22" s="5" t="inlineStr"/>
      <c r="T22" s="5" t="inlineStr"/>
      <c r="U22" s="5" t="inlineStr"/>
      <c r="V22" s="5" t="inlineStr">
        <is>
          <t>Low</t>
        </is>
      </c>
      <c r="W22" s="5" t="inlineStr">
        <is>
          <t>Independent retailer; Relevant category</t>
        </is>
      </c>
      <c r="X22" s="5" t="inlineStr">
        <is>
          <t>Not Found</t>
        </is>
      </c>
      <c r="Y22" s="5" t="inlineStr">
        <is>
          <t>Not Found</t>
        </is>
      </c>
      <c r="Z22" s="5" t="inlineStr">
        <is>
          <t>Low</t>
        </is>
      </c>
      <c r="AA22" s="5" t="inlineStr">
        <is>
          <t>Requires Verification</t>
        </is>
      </c>
      <c r="AB22" s="5" t="inlineStr">
        <is>
          <t>https://www.yorkshire.com/halifax/shopping/off-license/bar-market-ltd</t>
        </is>
      </c>
    </row>
    <row r="23">
      <c r="A23" s="10" t="inlineStr">
        <is>
          <t>WY-0062</t>
        </is>
      </c>
      <c r="B23" s="10" t="inlineStr">
        <is>
          <t>WY-0062-01</t>
        </is>
      </c>
      <c r="C23" s="10" t="inlineStr"/>
      <c r="D23" s="10" t="inlineStr">
        <is>
          <t>Bespoke Shisha</t>
        </is>
      </c>
      <c r="E23" s="10" t="inlineStr">
        <is>
          <t>Smoke / Shisha Shop</t>
        </is>
      </c>
      <c r="F23" s="10" t="inlineStr">
        <is>
          <t>Shisha supplies</t>
        </is>
      </c>
      <c r="G23" s="10" t="inlineStr">
        <is>
          <t>Independent</t>
        </is>
      </c>
      <c r="H23" s="10" t="inlineStr">
        <is>
          <t>1</t>
        </is>
      </c>
      <c r="I23" s="10" t="inlineStr">
        <is>
          <t>40 Low Road</t>
        </is>
      </c>
      <c r="J23" s="10" t="inlineStr">
        <is>
          <t>Dewsbury</t>
        </is>
      </c>
      <c r="K23" s="10" t="inlineStr">
        <is>
          <t>WF13 3PP</t>
        </is>
      </c>
      <c r="L23" s="10" t="inlineStr"/>
      <c r="M23" s="10" t="inlineStr"/>
      <c r="N23" s="10" t="inlineStr"/>
      <c r="O23" s="10" t="inlineStr"/>
      <c r="P23" s="10" t="inlineStr"/>
      <c r="Q23" s="10" t="inlineStr"/>
      <c r="R23" s="10" t="inlineStr"/>
      <c r="S23" s="10" t="inlineStr"/>
      <c r="T23" s="10" t="inlineStr"/>
      <c r="U23" s="10" t="inlineStr"/>
      <c r="V23" s="10" t="inlineStr">
        <is>
          <t>Medium</t>
        </is>
      </c>
      <c r="W23" s="10" t="inlineStr">
        <is>
          <t>Independent retailer; Core relevant category</t>
        </is>
      </c>
      <c r="X23" s="10" t="inlineStr">
        <is>
          <t>Not Found</t>
        </is>
      </c>
      <c r="Y23" s="10" t="inlineStr">
        <is>
          <t>Not Found</t>
        </is>
      </c>
      <c r="Z23" s="10" t="inlineStr">
        <is>
          <t>Low</t>
        </is>
      </c>
      <c r="AA23" s="10" t="inlineStr">
        <is>
          <t>Requires Verification</t>
        </is>
      </c>
      <c r="AB23" s="10" t="inlineStr">
        <is>
          <t>https://suitableforvegetarian.com/business/detail/bespoke-shisha</t>
        </is>
      </c>
    </row>
    <row r="24">
      <c r="A24" s="5" t="inlineStr">
        <is>
          <t>WY-0066</t>
        </is>
      </c>
      <c r="B24" s="5" t="inlineStr">
        <is>
          <t>WY-0066-01</t>
        </is>
      </c>
      <c r="C24" s="5" t="inlineStr"/>
      <c r="D24" s="5" t="inlineStr">
        <is>
          <t>Boothtown Post Office &amp; Off-Licence</t>
        </is>
      </c>
      <c r="E24" s="5" t="inlineStr">
        <is>
          <t>Off-Licence</t>
        </is>
      </c>
      <c r="F24" s="5" t="inlineStr">
        <is>
          <t>Off-licence with post office counter</t>
        </is>
      </c>
      <c r="G24" s="5" t="inlineStr">
        <is>
          <t>Independent</t>
        </is>
      </c>
      <c r="H24" s="5" t="inlineStr">
        <is>
          <t>1</t>
        </is>
      </c>
      <c r="I24" s="5" t="inlineStr"/>
      <c r="J24" s="5" t="inlineStr">
        <is>
          <t>Halifax</t>
        </is>
      </c>
      <c r="K24" s="5" t="inlineStr"/>
      <c r="L24" s="5" t="inlineStr"/>
      <c r="M24" s="5" t="inlineStr"/>
      <c r="N24" s="5" t="inlineStr"/>
      <c r="O24" s="5" t="inlineStr"/>
      <c r="P24" s="5" t="inlineStr"/>
      <c r="Q24" s="5" t="inlineStr"/>
      <c r="R24" s="5" t="inlineStr"/>
      <c r="S24" s="5" t="inlineStr"/>
      <c r="T24" s="5" t="inlineStr"/>
      <c r="U24" s="5" t="inlineStr"/>
      <c r="V24" s="5" t="inlineStr">
        <is>
          <t>Low</t>
        </is>
      </c>
      <c r="W24" s="5" t="inlineStr">
        <is>
          <t>Independent retailer; Relevant category</t>
        </is>
      </c>
      <c r="X24" s="5" t="inlineStr">
        <is>
          <t>Not Found</t>
        </is>
      </c>
      <c r="Y24" s="5" t="inlineStr">
        <is>
          <t>Not Found</t>
        </is>
      </c>
      <c r="Z24" s="5" t="inlineStr">
        <is>
          <t>Low</t>
        </is>
      </c>
      <c r="AA24" s="5" t="inlineStr">
        <is>
          <t>Requires Verification</t>
        </is>
      </c>
      <c r="AB24" s="5" t="inlineStr">
        <is>
          <t>https://findit.halifaxcourier.co.uk/search/halifax/off-licence</t>
        </is>
      </c>
    </row>
    <row r="25">
      <c r="A25" s="10" t="inlineStr">
        <is>
          <t>WY-0067</t>
        </is>
      </c>
      <c r="B25" s="10" t="inlineStr">
        <is>
          <t>WY-0067-01</t>
        </is>
      </c>
      <c r="C25" s="10" t="inlineStr"/>
      <c r="D25" s="10" t="inlineStr">
        <is>
          <t>Booze Express</t>
        </is>
      </c>
      <c r="E25" s="10" t="inlineStr">
        <is>
          <t>Off-Licence</t>
        </is>
      </c>
      <c r="F25" s="10" t="inlineStr"/>
      <c r="G25" s="10" t="inlineStr">
        <is>
          <t>Independent</t>
        </is>
      </c>
      <c r="H25" s="10" t="inlineStr">
        <is>
          <t>1</t>
        </is>
      </c>
      <c r="I25" s="10" t="inlineStr">
        <is>
          <t>520 Gibbet Street</t>
        </is>
      </c>
      <c r="J25" s="10" t="inlineStr">
        <is>
          <t>Halifax</t>
        </is>
      </c>
      <c r="K25" s="10" t="inlineStr">
        <is>
          <t>HX2 0AH</t>
        </is>
      </c>
      <c r="L25" s="10" t="inlineStr"/>
      <c r="M25" s="10" t="inlineStr"/>
      <c r="N25" s="10" t="inlineStr"/>
      <c r="O25" s="10" t="inlineStr"/>
      <c r="P25" s="10" t="inlineStr"/>
      <c r="Q25" s="10" t="inlineStr"/>
      <c r="R25" s="10" t="inlineStr"/>
      <c r="S25" s="10" t="inlineStr"/>
      <c r="T25" s="10" t="inlineStr"/>
      <c r="U25" s="10" t="inlineStr"/>
      <c r="V25" s="10" t="inlineStr">
        <is>
          <t>Medium</t>
        </is>
      </c>
      <c r="W25" s="10" t="inlineStr">
        <is>
          <t>Independent retailer; Relevant category; Social presence</t>
        </is>
      </c>
      <c r="X25" s="10" t="inlineStr">
        <is>
          <t>Not Found</t>
        </is>
      </c>
      <c r="Y25" s="10" t="inlineStr">
        <is>
          <t>Not Found</t>
        </is>
      </c>
      <c r="Z25" s="10" t="inlineStr">
        <is>
          <t>Low</t>
        </is>
      </c>
      <c r="AA25" s="10" t="inlineStr">
        <is>
          <t>Partially Verified</t>
        </is>
      </c>
      <c r="AB25" s="10" t="inlineStr">
        <is>
          <t>https://find-and-update.company-information.service.gov.uk/company/10264056</t>
        </is>
      </c>
    </row>
    <row r="26">
      <c r="A26" s="5" t="inlineStr">
        <is>
          <t>WY-0068</t>
        </is>
      </c>
      <c r="B26" s="5" t="inlineStr">
        <is>
          <t>WY-0068-01</t>
        </is>
      </c>
      <c r="C26" s="5" t="inlineStr"/>
      <c r="D26" s="5" t="inlineStr">
        <is>
          <t>Bottle and Bean</t>
        </is>
      </c>
      <c r="E26" s="5" t="inlineStr">
        <is>
          <t>Off-Licence</t>
        </is>
      </c>
      <c r="F26" s="5" t="inlineStr">
        <is>
          <t>Wine, craft beer and coffee shop</t>
        </is>
      </c>
      <c r="G26" s="5" t="inlineStr">
        <is>
          <t>Independent</t>
        </is>
      </c>
      <c r="H26" s="5" t="inlineStr">
        <is>
          <t>1</t>
        </is>
      </c>
      <c r="I26" s="5" t="inlineStr"/>
      <c r="J26" s="5" t="inlineStr">
        <is>
          <t>Wetherby</t>
        </is>
      </c>
      <c r="K26" s="5" t="inlineStr"/>
      <c r="L26" s="5" t="inlineStr"/>
      <c r="M26" s="5" t="inlineStr"/>
      <c r="N26" s="5" t="inlineStr"/>
      <c r="O26" s="5" t="inlineStr"/>
      <c r="P26" s="5" t="inlineStr"/>
      <c r="Q26" s="5" t="inlineStr"/>
      <c r="R26" s="5" t="inlineStr"/>
      <c r="S26" s="5" t="inlineStr"/>
      <c r="T26" s="5" t="inlineStr"/>
      <c r="U26" s="5" t="inlineStr"/>
      <c r="V26" s="5" t="inlineStr">
        <is>
          <t>Low</t>
        </is>
      </c>
      <c r="W26" s="5" t="inlineStr">
        <is>
          <t>Independent retailer; Relevant category</t>
        </is>
      </c>
      <c r="X26" s="5" t="inlineStr">
        <is>
          <t>Not Found</t>
        </is>
      </c>
      <c r="Y26" s="5" t="inlineStr">
        <is>
          <t>Not Found</t>
        </is>
      </c>
      <c r="Z26" s="5" t="inlineStr">
        <is>
          <t>Low</t>
        </is>
      </c>
      <c r="AA26" s="5" t="inlineStr">
        <is>
          <t>Requires Verification</t>
        </is>
      </c>
      <c r="AB26" s="5" t="inlineStr">
        <is>
          <t>https://www.yorkshire.com/wetherby/shopping/off-license/bottle-and-bean</t>
        </is>
      </c>
    </row>
    <row r="27">
      <c r="A27" s="10" t="inlineStr">
        <is>
          <t>WY-0069</t>
        </is>
      </c>
      <c r="B27" s="10" t="inlineStr">
        <is>
          <t>WY-0069-01</t>
        </is>
      </c>
      <c r="C27" s="10" t="inlineStr"/>
      <c r="D27" s="10" t="inlineStr">
        <is>
          <t>Bridge Off Licence Convenience Store</t>
        </is>
      </c>
      <c r="E27" s="10" t="inlineStr">
        <is>
          <t>Off-Licence</t>
        </is>
      </c>
      <c r="F27" s="10" t="inlineStr">
        <is>
          <t>Off-licence and convenience store</t>
        </is>
      </c>
      <c r="G27" s="10" t="inlineStr">
        <is>
          <t>Independent</t>
        </is>
      </c>
      <c r="H27" s="10" t="inlineStr">
        <is>
          <t>1</t>
        </is>
      </c>
      <c r="I27" s="10" t="inlineStr"/>
      <c r="J27" s="10" t="inlineStr">
        <is>
          <t>Sowerby Bridge</t>
        </is>
      </c>
      <c r="K27" s="10" t="inlineStr"/>
      <c r="L27" s="10" t="inlineStr"/>
      <c r="M27" s="10" t="inlineStr"/>
      <c r="N27" s="10" t="inlineStr"/>
      <c r="O27" s="10" t="inlineStr"/>
      <c r="P27" s="10" t="inlineStr"/>
      <c r="Q27" s="10" t="inlineStr"/>
      <c r="R27" s="10" t="inlineStr"/>
      <c r="S27" s="10" t="inlineStr"/>
      <c r="T27" s="10" t="inlineStr"/>
      <c r="U27" s="10" t="inlineStr"/>
      <c r="V27" s="10" t="inlineStr">
        <is>
          <t>Low</t>
        </is>
      </c>
      <c r="W27" s="10" t="inlineStr">
        <is>
          <t>Independent retailer; Relevant category</t>
        </is>
      </c>
      <c r="X27" s="10" t="inlineStr">
        <is>
          <t>Not Found</t>
        </is>
      </c>
      <c r="Y27" s="10" t="inlineStr">
        <is>
          <t>Not Found</t>
        </is>
      </c>
      <c r="Z27" s="10" t="inlineStr">
        <is>
          <t>Low</t>
        </is>
      </c>
      <c r="AA27" s="10" t="inlineStr">
        <is>
          <t>Requires Verification</t>
        </is>
      </c>
      <c r="AB27" s="10" t="inlineStr">
        <is>
          <t>https://www.yorkshire.com/sowerby-bridge/shopping/off-license/bridge-off-licence-convenience-store</t>
        </is>
      </c>
    </row>
    <row r="28">
      <c r="A28" s="5" t="inlineStr">
        <is>
          <t>WY-0071</t>
        </is>
      </c>
      <c r="B28" s="5" t="inlineStr">
        <is>
          <t>WY-0071-01</t>
        </is>
      </c>
      <c r="C28" s="5" t="inlineStr"/>
      <c r="D28" s="5" t="inlineStr">
        <is>
          <t>C Booth and Son</t>
        </is>
      </c>
      <c r="E28" s="5" t="inlineStr">
        <is>
          <t>Tobacco Specialist</t>
        </is>
      </c>
      <c r="F28" s="5" t="inlineStr">
        <is>
          <t>Hardware store and specialist tobacconist</t>
        </is>
      </c>
      <c r="G28" s="5" t="inlineStr">
        <is>
          <t>Independent</t>
        </is>
      </c>
      <c r="H28" s="5" t="inlineStr">
        <is>
          <t>1</t>
        </is>
      </c>
      <c r="I28" s="5" t="inlineStr">
        <is>
          <t>Cross Church Street</t>
        </is>
      </c>
      <c r="J28" s="5" t="inlineStr">
        <is>
          <t>Huddersfield</t>
        </is>
      </c>
      <c r="K28" s="5" t="inlineStr"/>
      <c r="L28" s="5" t="inlineStr"/>
      <c r="M28" s="5" t="inlineStr"/>
      <c r="N28" s="5" t="inlineStr"/>
      <c r="O28" s="5" t="inlineStr"/>
      <c r="P28" s="5" t="inlineStr"/>
      <c r="Q28" s="5" t="inlineStr"/>
      <c r="R28" s="5" t="inlineStr"/>
      <c r="S28" s="5" t="inlineStr"/>
      <c r="T28" s="5" t="inlineStr"/>
      <c r="U28" s="5" t="inlineStr"/>
      <c r="V28" s="5" t="inlineStr">
        <is>
          <t>Medium</t>
        </is>
      </c>
      <c r="W28" s="5" t="inlineStr">
        <is>
          <t>Independent retailer; Core relevant category</t>
        </is>
      </c>
      <c r="X28" s="5" t="inlineStr">
        <is>
          <t>Not Found</t>
        </is>
      </c>
      <c r="Y28" s="5" t="inlineStr">
        <is>
          <t>Not Found</t>
        </is>
      </c>
      <c r="Z28" s="5" t="inlineStr">
        <is>
          <t>Low</t>
        </is>
      </c>
      <c r="AA28" s="5" t="inlineStr">
        <is>
          <t>Requires Verification</t>
        </is>
      </c>
      <c r="AB28" s="5" t="inlineStr">
        <is>
          <t>https://www.examinerlive.co.uk/news/west-yorkshire-news/the-shop-sells-everything-c-9967957</t>
        </is>
      </c>
    </row>
    <row r="29">
      <c r="A29" s="10" t="inlineStr">
        <is>
          <t>WY-0078</t>
        </is>
      </c>
      <c r="B29" s="10" t="inlineStr">
        <is>
          <t>WY-0078-01</t>
        </is>
      </c>
      <c r="C29" s="10" t="inlineStr"/>
      <c r="D29" s="10" t="inlineStr">
        <is>
          <t>Crazycloudzzz</t>
        </is>
      </c>
      <c r="E29" s="10" t="inlineStr">
        <is>
          <t>Vape Shop</t>
        </is>
      </c>
      <c r="F29" s="10" t="inlineStr"/>
      <c r="G29" s="10" t="inlineStr">
        <is>
          <t>Independent</t>
        </is>
      </c>
      <c r="H29" s="10" t="inlineStr">
        <is>
          <t>1</t>
        </is>
      </c>
      <c r="I29" s="10" t="inlineStr">
        <is>
          <t>20 Bull Green</t>
        </is>
      </c>
      <c r="J29" s="10" t="inlineStr">
        <is>
          <t>Halifax</t>
        </is>
      </c>
      <c r="K29" s="10" t="inlineStr">
        <is>
          <t>HX1 5AB</t>
        </is>
      </c>
      <c r="L29" s="10" t="inlineStr"/>
      <c r="M29" s="10" t="inlineStr"/>
      <c r="N29" s="10" t="inlineStr"/>
      <c r="O29" s="10" t="inlineStr"/>
      <c r="P29" s="10" t="inlineStr"/>
      <c r="Q29" s="10" t="inlineStr"/>
      <c r="R29" s="10" t="inlineStr"/>
      <c r="S29" s="10" t="inlineStr"/>
      <c r="T29" s="10" t="inlineStr"/>
      <c r="U29" s="10" t="inlineStr"/>
      <c r="V29" s="10" t="inlineStr">
        <is>
          <t>Medium</t>
        </is>
      </c>
      <c r="W29" s="10" t="inlineStr">
        <is>
          <t>Independent retailer; Core relevant category</t>
        </is>
      </c>
      <c r="X29" s="10" t="inlineStr">
        <is>
          <t>Not Found</t>
        </is>
      </c>
      <c r="Y29" s="10" t="inlineStr">
        <is>
          <t>Not Found</t>
        </is>
      </c>
      <c r="Z29" s="10" t="inlineStr">
        <is>
          <t>Low</t>
        </is>
      </c>
      <c r="AA29" s="10" t="inlineStr">
        <is>
          <t>Requires Verification</t>
        </is>
      </c>
      <c r="AB29" s="10" t="inlineStr">
        <is>
          <t>https://www.yell.com/s/tobacconists-halifax.html</t>
        </is>
      </c>
    </row>
    <row r="30">
      <c r="A30" s="5" t="inlineStr">
        <is>
          <t>WY-0079</t>
        </is>
      </c>
      <c r="B30" s="5" t="inlineStr">
        <is>
          <t>WY-0079-01</t>
        </is>
      </c>
      <c r="C30" s="5" t="inlineStr"/>
      <c r="D30" s="5" t="inlineStr">
        <is>
          <t>Crossroads Off Licence &amp; Newsagent</t>
        </is>
      </c>
      <c r="E30" s="5" t="inlineStr">
        <is>
          <t>Off-Licence</t>
        </is>
      </c>
      <c r="F30" s="5" t="inlineStr">
        <is>
          <t>Off-licence and newsagent</t>
        </is>
      </c>
      <c r="G30" s="5" t="inlineStr">
        <is>
          <t>Independent</t>
        </is>
      </c>
      <c r="H30" s="5" t="inlineStr">
        <is>
          <t>1</t>
        </is>
      </c>
      <c r="I30" s="5" t="inlineStr">
        <is>
          <t>19 Cross Road</t>
        </is>
      </c>
      <c r="J30" s="5" t="inlineStr">
        <is>
          <t>Wakefield</t>
        </is>
      </c>
      <c r="K30" s="5" t="inlineStr"/>
      <c r="L30" s="5" t="inlineStr"/>
      <c r="M30" s="5" t="inlineStr"/>
      <c r="N30" s="5" t="inlineStr"/>
      <c r="O30" s="5" t="inlineStr"/>
      <c r="P30" s="5" t="inlineStr"/>
      <c r="Q30" s="5" t="inlineStr"/>
      <c r="R30" s="5" t="inlineStr"/>
      <c r="S30" s="5" t="inlineStr"/>
      <c r="T30" s="5" t="inlineStr"/>
      <c r="U30" s="5" t="inlineStr"/>
      <c r="V30" s="5" t="inlineStr">
        <is>
          <t>Low</t>
        </is>
      </c>
      <c r="W30" s="5" t="inlineStr">
        <is>
          <t>Independent retailer; Relevant category</t>
        </is>
      </c>
      <c r="X30" s="5" t="inlineStr">
        <is>
          <t>Not Found</t>
        </is>
      </c>
      <c r="Y30" s="5" t="inlineStr">
        <is>
          <t>Not Found</t>
        </is>
      </c>
      <c r="Z30" s="5" t="inlineStr">
        <is>
          <t>Low</t>
        </is>
      </c>
      <c r="AA30" s="5" t="inlineStr">
        <is>
          <t>Requires Verification</t>
        </is>
      </c>
      <c r="AB30" s="5" t="inlineStr">
        <is>
          <t>https://m.yelp.com/biz/crossroads-off-licence-and-newsagent-wakefield</t>
        </is>
      </c>
    </row>
    <row r="31">
      <c r="A31" s="10" t="inlineStr">
        <is>
          <t>WY-0081</t>
        </is>
      </c>
      <c r="B31" s="10" t="inlineStr">
        <is>
          <t>WY-0081-01</t>
        </is>
      </c>
      <c r="C31" s="10" t="inlineStr"/>
      <c r="D31" s="10" t="inlineStr">
        <is>
          <t>ECigarette Outlet</t>
        </is>
      </c>
      <c r="E31" s="10" t="inlineStr">
        <is>
          <t>Vape Shop</t>
        </is>
      </c>
      <c r="F31" s="10" t="inlineStr">
        <is>
          <t>E-cigarette retailer</t>
        </is>
      </c>
      <c r="G31" s="10" t="inlineStr">
        <is>
          <t>Independent</t>
        </is>
      </c>
      <c r="H31" s="10" t="inlineStr">
        <is>
          <t>1</t>
        </is>
      </c>
      <c r="I31" s="10" t="inlineStr">
        <is>
          <t>27 Kirkgate</t>
        </is>
      </c>
      <c r="J31" s="10" t="inlineStr">
        <is>
          <t>Shipley</t>
        </is>
      </c>
      <c r="K31" s="10" t="inlineStr">
        <is>
          <t>BD18 3QW</t>
        </is>
      </c>
      <c r="L31" s="10" t="inlineStr"/>
      <c r="M31" s="10" t="inlineStr"/>
      <c r="N31" s="10" t="inlineStr"/>
      <c r="O31" s="10" t="inlineStr"/>
      <c r="P31" s="10" t="inlineStr"/>
      <c r="Q31" s="10" t="inlineStr"/>
      <c r="R31" s="10" t="inlineStr"/>
      <c r="S31" s="10" t="inlineStr"/>
      <c r="T31" s="10" t="inlineStr"/>
      <c r="U31" s="10" t="inlineStr"/>
      <c r="V31" s="10" t="inlineStr">
        <is>
          <t>Medium</t>
        </is>
      </c>
      <c r="W31" s="10" t="inlineStr">
        <is>
          <t>Independent retailer; Core relevant category</t>
        </is>
      </c>
      <c r="X31" s="10" t="inlineStr">
        <is>
          <t>Not Found</t>
        </is>
      </c>
      <c r="Y31" s="10" t="inlineStr">
        <is>
          <t>Not Found</t>
        </is>
      </c>
      <c r="Z31" s="10" t="inlineStr">
        <is>
          <t>Medium</t>
        </is>
      </c>
      <c r="AA31" s="10" t="inlineStr">
        <is>
          <t>Requires Verification</t>
        </is>
      </c>
      <c r="AB31" s="10" t="inlineStr">
        <is>
          <t>https://ecigdirectory.co.uk/vape-shop/listing/ecigarette-outlet-shipley</t>
        </is>
      </c>
    </row>
    <row r="32">
      <c r="A32" s="5" t="inlineStr">
        <is>
          <t>WY-0085</t>
        </is>
      </c>
      <c r="B32" s="5" t="inlineStr">
        <is>
          <t>WY-0085-01</t>
        </is>
      </c>
      <c r="C32" s="5" t="inlineStr"/>
      <c r="D32" s="5" t="inlineStr">
        <is>
          <t>Forever Vapes</t>
        </is>
      </c>
      <c r="E32" s="5" t="inlineStr">
        <is>
          <t>Vape Shop</t>
        </is>
      </c>
      <c r="F32" s="5" t="inlineStr">
        <is>
          <t>Vape retailer</t>
        </is>
      </c>
      <c r="G32" s="5" t="inlineStr">
        <is>
          <t>Independent</t>
        </is>
      </c>
      <c r="H32" s="5" t="inlineStr">
        <is>
          <t>1</t>
        </is>
      </c>
      <c r="I32" s="5" t="inlineStr">
        <is>
          <t>Market Street</t>
        </is>
      </c>
      <c r="J32" s="5" t="inlineStr">
        <is>
          <t>Heckmondwike</t>
        </is>
      </c>
      <c r="K32" s="5" t="inlineStr">
        <is>
          <t>WF16 0JU</t>
        </is>
      </c>
      <c r="L32" s="5" t="inlineStr"/>
      <c r="M32" s="5" t="inlineStr"/>
      <c r="N32" s="5" t="inlineStr"/>
      <c r="O32" s="5" t="inlineStr"/>
      <c r="P32" s="5" t="inlineStr"/>
      <c r="Q32" s="5" t="inlineStr"/>
      <c r="R32" s="5" t="inlineStr"/>
      <c r="S32" s="5" t="inlineStr"/>
      <c r="T32" s="5" t="inlineStr"/>
      <c r="U32" s="5" t="inlineStr"/>
      <c r="V32" s="5" t="inlineStr">
        <is>
          <t>Medium</t>
        </is>
      </c>
      <c r="W32" s="5" t="inlineStr">
        <is>
          <t>Independent retailer; Core relevant category</t>
        </is>
      </c>
      <c r="X32" s="5" t="inlineStr">
        <is>
          <t>Not Found</t>
        </is>
      </c>
      <c r="Y32" s="5" t="inlineStr">
        <is>
          <t>Not Found</t>
        </is>
      </c>
      <c r="Z32" s="5" t="inlineStr">
        <is>
          <t>Low</t>
        </is>
      </c>
      <c r="AA32" s="5" t="inlineStr">
        <is>
          <t>Requires Verification</t>
        </is>
      </c>
      <c r="AB32" s="5" t="inlineStr">
        <is>
          <t>https://vapeshops.puffingbird.com/yorkshire-and-the-humber/heckmondwike/forever-vapes-ltd</t>
        </is>
      </c>
    </row>
    <row r="33">
      <c r="A33" s="10" t="inlineStr">
        <is>
          <t>WY-0087</t>
        </is>
      </c>
      <c r="B33" s="10" t="inlineStr">
        <is>
          <t>WY-0087-01</t>
        </is>
      </c>
      <c r="C33" s="10" t="inlineStr"/>
      <c r="D33" s="10" t="inlineStr">
        <is>
          <t>Freshco UK</t>
        </is>
      </c>
      <c r="E33" s="10" t="inlineStr">
        <is>
          <t>Convenience Store</t>
        </is>
      </c>
      <c r="F33" s="10" t="inlineStr">
        <is>
          <t>Grocery store with halal meat</t>
        </is>
      </c>
      <c r="G33" s="10" t="inlineStr">
        <is>
          <t>Independent</t>
        </is>
      </c>
      <c r="H33" s="10" t="inlineStr">
        <is>
          <t>1</t>
        </is>
      </c>
      <c r="I33" s="10" t="inlineStr"/>
      <c r="J33" s="10" t="inlineStr">
        <is>
          <t>Bradford</t>
        </is>
      </c>
      <c r="K33" s="10" t="inlineStr"/>
      <c r="L33" s="10" t="inlineStr"/>
      <c r="M33" s="10" t="inlineStr"/>
      <c r="N33" s="10" t="inlineStr"/>
      <c r="O33" s="10" t="inlineStr"/>
      <c r="P33" s="10" t="inlineStr"/>
      <c r="Q33" s="10" t="inlineStr"/>
      <c r="R33" s="10" t="inlineStr"/>
      <c r="S33" s="10" t="inlineStr"/>
      <c r="T33" s="10" t="inlineStr"/>
      <c r="U33" s="10" t="inlineStr"/>
      <c r="V33" s="10" t="inlineStr">
        <is>
          <t>Low</t>
        </is>
      </c>
      <c r="W33" s="10" t="inlineStr">
        <is>
          <t>Independent retailer; Relevant category</t>
        </is>
      </c>
      <c r="X33" s="10" t="inlineStr">
        <is>
          <t>Not Found</t>
        </is>
      </c>
      <c r="Y33" s="10" t="inlineStr">
        <is>
          <t>Not Found</t>
        </is>
      </c>
      <c r="Z33" s="10" t="inlineStr">
        <is>
          <t>Low</t>
        </is>
      </c>
      <c r="AA33" s="10" t="inlineStr">
        <is>
          <t>Requires Verification</t>
        </is>
      </c>
      <c r="AB33" s="10" t="inlineStr">
        <is>
          <t>https://freshco-uk-ltd.wheree.com/</t>
        </is>
      </c>
    </row>
    <row r="34">
      <c r="A34" s="5" t="inlineStr">
        <is>
          <t>WY-0088</t>
        </is>
      </c>
      <c r="B34" s="5" t="inlineStr">
        <is>
          <t>WY-0088-01</t>
        </is>
      </c>
      <c r="C34" s="5" t="inlineStr"/>
      <c r="D34" s="5" t="inlineStr">
        <is>
          <t>Get Plugged</t>
        </is>
      </c>
      <c r="E34" s="5" t="inlineStr">
        <is>
          <t>Vape Shop</t>
        </is>
      </c>
      <c r="F34" s="5" t="inlineStr">
        <is>
          <t>Vape shop and convenience snacks</t>
        </is>
      </c>
      <c r="G34" s="5" t="inlineStr">
        <is>
          <t>Independent</t>
        </is>
      </c>
      <c r="H34" s="5" t="inlineStr">
        <is>
          <t>1</t>
        </is>
      </c>
      <c r="I34" s="5" t="inlineStr">
        <is>
          <t>Bradford Road</t>
        </is>
      </c>
      <c r="J34" s="5" t="inlineStr">
        <is>
          <t>Huddersfield</t>
        </is>
      </c>
      <c r="K34" s="5" t="inlineStr"/>
      <c r="L34" s="5" t="inlineStr"/>
      <c r="M34" s="5" t="inlineStr"/>
      <c r="N34" s="5" t="inlineStr"/>
      <c r="O34" s="5" t="inlineStr">
        <is>
          <t>https://getplugged.co.uk/</t>
        </is>
      </c>
      <c r="P34" s="5" t="inlineStr">
        <is>
          <t>https://www.facebook.com/p/Get-Plugged-61559687350403/</t>
        </is>
      </c>
      <c r="Q34" s="5" t="inlineStr"/>
      <c r="R34" s="5" t="inlineStr"/>
      <c r="S34" s="5" t="inlineStr"/>
      <c r="T34" s="5" t="inlineStr"/>
      <c r="U34" s="5" t="inlineStr"/>
      <c r="V34" s="5" t="inlineStr">
        <is>
          <t>Medium</t>
        </is>
      </c>
      <c r="W34" s="5" t="inlineStr">
        <is>
          <t>Independent retailer; Core relevant category; Active website; Social presence</t>
        </is>
      </c>
      <c r="X34" s="5" t="inlineStr">
        <is>
          <t>Not Found</t>
        </is>
      </c>
      <c r="Y34" s="5" t="inlineStr">
        <is>
          <t>Website Found</t>
        </is>
      </c>
      <c r="Z34" s="5" t="inlineStr">
        <is>
          <t>Medium</t>
        </is>
      </c>
      <c r="AA34" s="5" t="inlineStr">
        <is>
          <t>Requires Verification</t>
        </is>
      </c>
      <c r="AB34" s="5" t="inlineStr">
        <is>
          <t>https://getplugged.co.uk/</t>
        </is>
      </c>
    </row>
    <row r="35">
      <c r="A35" s="10" t="inlineStr">
        <is>
          <t>WY-0089</t>
        </is>
      </c>
      <c r="B35" s="10" t="inlineStr">
        <is>
          <t>WY-0089-01</t>
        </is>
      </c>
      <c r="C35" s="10" t="inlineStr"/>
      <c r="D35" s="10" t="inlineStr">
        <is>
          <t>Gibraltar Mini Mart</t>
        </is>
      </c>
      <c r="E35" s="10" t="inlineStr">
        <is>
          <t>Convenience Store</t>
        </is>
      </c>
      <c r="F35" s="10" t="inlineStr">
        <is>
          <t>Convenience store with vapes and mobile accessories</t>
        </is>
      </c>
      <c r="G35" s="10" t="inlineStr">
        <is>
          <t>Independent</t>
        </is>
      </c>
      <c r="H35" s="10" t="inlineStr">
        <is>
          <t>1</t>
        </is>
      </c>
      <c r="I35" s="10" t="inlineStr">
        <is>
          <t>101 Hopwood Lane</t>
        </is>
      </c>
      <c r="J35" s="10" t="inlineStr">
        <is>
          <t>Halifax</t>
        </is>
      </c>
      <c r="K35" s="10" t="inlineStr"/>
      <c r="L35" s="10" t="inlineStr"/>
      <c r="M35" s="10" t="inlineStr"/>
      <c r="N35" s="10" t="inlineStr"/>
      <c r="O35" s="10" t="inlineStr"/>
      <c r="P35" s="10" t="inlineStr"/>
      <c r="Q35" s="10" t="inlineStr"/>
      <c r="R35" s="10" t="inlineStr"/>
      <c r="S35" s="10" t="inlineStr"/>
      <c r="T35" s="10" t="inlineStr"/>
      <c r="U35" s="10" t="inlineStr"/>
      <c r="V35" s="10" t="inlineStr">
        <is>
          <t>Low</t>
        </is>
      </c>
      <c r="W35" s="10" t="inlineStr">
        <is>
          <t>Independent retailer; Relevant category</t>
        </is>
      </c>
      <c r="X35" s="10" t="inlineStr">
        <is>
          <t>Not Found</t>
        </is>
      </c>
      <c r="Y35" s="10" t="inlineStr">
        <is>
          <t>Not Found</t>
        </is>
      </c>
      <c r="Z35" s="10" t="inlineStr">
        <is>
          <t>Low</t>
        </is>
      </c>
      <c r="AA35" s="10" t="inlineStr">
        <is>
          <t>Requires Verification</t>
        </is>
      </c>
      <c r="AB35" s="10" t="inlineStr">
        <is>
          <t>https://www.yorkshire.com/halifax/shopping/corner-shops/gibraltar-mini-mart-vapemobile-shop</t>
        </is>
      </c>
    </row>
    <row r="36">
      <c r="A36" s="5" t="inlineStr">
        <is>
          <t>WY-0090</t>
        </is>
      </c>
      <c r="B36" s="5" t="inlineStr">
        <is>
          <t>WY-0090-01</t>
        </is>
      </c>
      <c r="C36" s="5" t="inlineStr"/>
      <c r="D36" s="5" t="inlineStr">
        <is>
          <t>Global Mini Market 2</t>
        </is>
      </c>
      <c r="E36" s="5" t="inlineStr">
        <is>
          <t>Convenience Store</t>
        </is>
      </c>
      <c r="F36" s="5" t="inlineStr">
        <is>
          <t>24-hour convenience store &amp; off-licence</t>
        </is>
      </c>
      <c r="G36" s="5" t="inlineStr">
        <is>
          <t>Independent</t>
        </is>
      </c>
      <c r="H36" s="5" t="inlineStr">
        <is>
          <t>1</t>
        </is>
      </c>
      <c r="I36" s="5" t="inlineStr">
        <is>
          <t>83-85 Main Street</t>
        </is>
      </c>
      <c r="J36" s="5" t="inlineStr">
        <is>
          <t>Bingley</t>
        </is>
      </c>
      <c r="K36" s="5" t="inlineStr">
        <is>
          <t>BD16 2JA</t>
        </is>
      </c>
      <c r="L36" s="5" t="inlineStr"/>
      <c r="M36" s="5" t="inlineStr"/>
      <c r="N36" s="5" t="inlineStr"/>
      <c r="O36" s="5" t="inlineStr"/>
      <c r="P36" s="5" t="inlineStr"/>
      <c r="Q36" s="5" t="inlineStr"/>
      <c r="R36" s="5" t="inlineStr"/>
      <c r="S36" s="5" t="inlineStr"/>
      <c r="T36" s="5" t="inlineStr"/>
      <c r="U36" s="5" t="inlineStr"/>
      <c r="V36" s="5" t="inlineStr">
        <is>
          <t>Low</t>
        </is>
      </c>
      <c r="W36" s="5" t="inlineStr">
        <is>
          <t>Independent retailer; Relevant category</t>
        </is>
      </c>
      <c r="X36" s="5" t="inlineStr">
        <is>
          <t>Not Found</t>
        </is>
      </c>
      <c r="Y36" s="5" t="inlineStr">
        <is>
          <t>Not Found</t>
        </is>
      </c>
      <c r="Z36" s="5" t="inlineStr">
        <is>
          <t>Medium</t>
        </is>
      </c>
      <c r="AA36" s="5" t="inlineStr">
        <is>
          <t>Requires Verification</t>
        </is>
      </c>
      <c r="AB36" s="5" t="inlineStr">
        <is>
          <t>https://www.24houralcohol.co.uk/bradford-off-licences</t>
        </is>
      </c>
    </row>
    <row r="37">
      <c r="A37" s="10" t="inlineStr">
        <is>
          <t>WY-0091</t>
        </is>
      </c>
      <c r="B37" s="10" t="inlineStr">
        <is>
          <t>WY-0091-01</t>
        </is>
      </c>
      <c r="C37" s="10" t="inlineStr"/>
      <c r="D37" s="10" t="inlineStr">
        <is>
          <t>Greengates Service Station</t>
        </is>
      </c>
      <c r="E37" s="10" t="inlineStr">
        <is>
          <t>Petrol Station / Forecourt</t>
        </is>
      </c>
      <c r="F37" s="10" t="inlineStr">
        <is>
          <t>Forecourt with shop</t>
        </is>
      </c>
      <c r="G37" s="10" t="inlineStr">
        <is>
          <t>Unknown</t>
        </is>
      </c>
      <c r="H37" s="10" t="inlineStr">
        <is>
          <t>1</t>
        </is>
      </c>
      <c r="I37" s="10" t="inlineStr"/>
      <c r="J37" s="10" t="inlineStr">
        <is>
          <t>Bradford</t>
        </is>
      </c>
      <c r="K37" s="10" t="inlineStr"/>
      <c r="L37" s="10" t="inlineStr"/>
      <c r="M37" s="10" t="inlineStr"/>
      <c r="N37" s="10" t="inlineStr"/>
      <c r="O37" s="10" t="inlineStr"/>
      <c r="P37" s="10" t="inlineStr"/>
      <c r="Q37" s="10" t="inlineStr"/>
      <c r="R37" s="10" t="inlineStr"/>
      <c r="S37" s="10" t="inlineStr"/>
      <c r="T37" s="10" t="inlineStr"/>
      <c r="U37" s="10" t="inlineStr"/>
      <c r="V37" s="10" t="inlineStr">
        <is>
          <t>Low</t>
        </is>
      </c>
      <c r="W37" s="10" t="inlineStr">
        <is>
          <t>Relevant category</t>
        </is>
      </c>
      <c r="X37" s="10" t="inlineStr">
        <is>
          <t>Not Found</t>
        </is>
      </c>
      <c r="Y37" s="10" t="inlineStr">
        <is>
          <t>Not Found</t>
        </is>
      </c>
      <c r="Z37" s="10" t="inlineStr">
        <is>
          <t>Low</t>
        </is>
      </c>
      <c r="AA37" s="10" t="inlineStr">
        <is>
          <t>Requires Verification</t>
        </is>
      </c>
      <c r="AB37" s="10" t="inlineStr">
        <is>
          <t>https://fuelmap.co.uk/forecourt/612/</t>
        </is>
      </c>
    </row>
    <row r="38">
      <c r="A38" s="5" t="inlineStr">
        <is>
          <t>WY-0092</t>
        </is>
      </c>
      <c r="B38" s="5" t="inlineStr">
        <is>
          <t>WY-0092-01</t>
        </is>
      </c>
      <c r="C38" s="5" t="inlineStr"/>
      <c r="D38" s="5" t="inlineStr">
        <is>
          <t>Gulf Service Station Featherstone</t>
        </is>
      </c>
      <c r="E38" s="5" t="inlineStr">
        <is>
          <t>Petrol Station / Forecourt</t>
        </is>
      </c>
      <c r="F38" s="5" t="inlineStr">
        <is>
          <t>Gulf-branded dealer forecourt with shop</t>
        </is>
      </c>
      <c r="G38" s="5" t="inlineStr">
        <is>
          <t>Independent</t>
        </is>
      </c>
      <c r="H38" s="5" t="inlineStr">
        <is>
          <t>1</t>
        </is>
      </c>
      <c r="I38" s="5" t="inlineStr">
        <is>
          <t>Wakefield Road</t>
        </is>
      </c>
      <c r="J38" s="5" t="inlineStr">
        <is>
          <t>Featherstone</t>
        </is>
      </c>
      <c r="K38" s="5" t="inlineStr">
        <is>
          <t>WF7 5BP</t>
        </is>
      </c>
      <c r="L38" s="5" t="inlineStr"/>
      <c r="M38" s="5" t="inlineStr"/>
      <c r="N38" s="5" t="inlineStr"/>
      <c r="O38" s="5" t="inlineStr"/>
      <c r="P38" s="5" t="inlineStr"/>
      <c r="Q38" s="5" t="inlineStr"/>
      <c r="R38" s="5" t="inlineStr"/>
      <c r="S38" s="5" t="inlineStr"/>
      <c r="T38" s="5" t="inlineStr"/>
      <c r="U38" s="5" t="inlineStr"/>
      <c r="V38" s="5" t="inlineStr">
        <is>
          <t>Low</t>
        </is>
      </c>
      <c r="W38" s="5" t="inlineStr">
        <is>
          <t>Independent retailer; Relevant category</t>
        </is>
      </c>
      <c r="X38" s="5" t="inlineStr">
        <is>
          <t>Not Found</t>
        </is>
      </c>
      <c r="Y38" s="5" t="inlineStr">
        <is>
          <t>Not Found</t>
        </is>
      </c>
      <c r="Z38" s="5" t="inlineStr">
        <is>
          <t>Low</t>
        </is>
      </c>
      <c r="AA38" s="5" t="inlineStr">
        <is>
          <t>Requires Verification</t>
        </is>
      </c>
      <c r="AB38" s="5" t="inlineStr">
        <is>
          <t>https://www.yorkshire.com/featherstone/services/petrol-stations</t>
        </is>
      </c>
    </row>
    <row r="39">
      <c r="A39" s="10" t="inlineStr">
        <is>
          <t>WY-0094</t>
        </is>
      </c>
      <c r="B39" s="10" t="inlineStr">
        <is>
          <t>WY-0094-01</t>
        </is>
      </c>
      <c r="C39" s="10" t="inlineStr"/>
      <c r="D39" s="10" t="inlineStr">
        <is>
          <t>Hang Sing Hong</t>
        </is>
      </c>
      <c r="E39" s="10" t="inlineStr">
        <is>
          <t>Independent Supermarket</t>
        </is>
      </c>
      <c r="F39" s="10" t="inlineStr">
        <is>
          <t>Chinese / Oriental supermarket</t>
        </is>
      </c>
      <c r="G39" s="10" t="inlineStr">
        <is>
          <t>Independent</t>
        </is>
      </c>
      <c r="H39" s="10" t="inlineStr">
        <is>
          <t>1</t>
        </is>
      </c>
      <c r="I39" s="10" t="inlineStr">
        <is>
          <t>117-119 Vicar Lane</t>
        </is>
      </c>
      <c r="J39" s="10" t="inlineStr">
        <is>
          <t>Leeds</t>
        </is>
      </c>
      <c r="K39" s="10" t="inlineStr">
        <is>
          <t>LS1 6PJ</t>
        </is>
      </c>
      <c r="L39" s="10" t="inlineStr"/>
      <c r="M39" s="10" t="inlineStr"/>
      <c r="N39" s="10" t="inlineStr"/>
      <c r="O39" s="10" t="inlineStr"/>
      <c r="P39" s="10" t="inlineStr"/>
      <c r="Q39" s="10" t="inlineStr"/>
      <c r="R39" s="10" t="inlineStr"/>
      <c r="S39" s="10" t="inlineStr"/>
      <c r="T39" s="10" t="inlineStr"/>
      <c r="U39" s="10" t="inlineStr"/>
      <c r="V39" s="10" t="inlineStr">
        <is>
          <t>Low</t>
        </is>
      </c>
      <c r="W39" s="10" t="inlineStr">
        <is>
          <t>Independent retailer; Relevant category</t>
        </is>
      </c>
      <c r="X39" s="10" t="inlineStr">
        <is>
          <t>Not Found</t>
        </is>
      </c>
      <c r="Y39" s="10" t="inlineStr">
        <is>
          <t>Not Found</t>
        </is>
      </c>
      <c r="Z39" s="10" t="inlineStr">
        <is>
          <t>Medium</t>
        </is>
      </c>
      <c r="AA39" s="10" t="inlineStr">
        <is>
          <t>Requires Verification</t>
        </is>
      </c>
      <c r="AB39" s="10" t="inlineStr">
        <is>
          <t>https://www.yelp.co.uk/biz/hang-sing-hong-leeds-2</t>
        </is>
      </c>
    </row>
    <row r="40">
      <c r="A40" s="5" t="inlineStr">
        <is>
          <t>WY-0095</t>
        </is>
      </c>
      <c r="B40" s="5" t="inlineStr">
        <is>
          <t>WY-0095-01</t>
        </is>
      </c>
      <c r="C40" s="5" t="inlineStr"/>
      <c r="D40" s="5" t="inlineStr">
        <is>
          <t>Heckmondwike Service Station</t>
        </is>
      </c>
      <c r="E40" s="5" t="inlineStr">
        <is>
          <t>Petrol Station / Forecourt</t>
        </is>
      </c>
      <c r="F40" s="5" t="inlineStr">
        <is>
          <t>BP-branded forecourt with shop</t>
        </is>
      </c>
      <c r="G40" s="5" t="inlineStr">
        <is>
          <t>Unknown</t>
        </is>
      </c>
      <c r="H40" s="5" t="inlineStr">
        <is>
          <t>1</t>
        </is>
      </c>
      <c r="I40" s="5" t="inlineStr">
        <is>
          <t>Halifax Road</t>
        </is>
      </c>
      <c r="J40" s="5" t="inlineStr">
        <is>
          <t>Heckmondwike</t>
        </is>
      </c>
      <c r="K40" s="5" t="inlineStr"/>
      <c r="L40" s="5" t="inlineStr"/>
      <c r="M40" s="5" t="inlineStr"/>
      <c r="N40" s="5" t="inlineStr"/>
      <c r="O40" s="5" t="inlineStr"/>
      <c r="P40" s="5" t="inlineStr"/>
      <c r="Q40" s="5" t="inlineStr"/>
      <c r="R40" s="5" t="inlineStr"/>
      <c r="S40" s="5" t="inlineStr"/>
      <c r="T40" s="5" t="inlineStr"/>
      <c r="U40" s="5" t="inlineStr"/>
      <c r="V40" s="5" t="inlineStr">
        <is>
          <t>Low</t>
        </is>
      </c>
      <c r="W40" s="5" t="inlineStr">
        <is>
          <t>Relevant category</t>
        </is>
      </c>
      <c r="X40" s="5" t="inlineStr">
        <is>
          <t>Not Found</t>
        </is>
      </c>
      <c r="Y40" s="5" t="inlineStr">
        <is>
          <t>Not Found</t>
        </is>
      </c>
      <c r="Z40" s="5" t="inlineStr">
        <is>
          <t>Low</t>
        </is>
      </c>
      <c r="AA40" s="5" t="inlineStr">
        <is>
          <t>Requires Verification</t>
        </is>
      </c>
      <c r="AB40" s="5" t="inlineStr">
        <is>
          <t>https://map.bp.com/en-US/GB/gas-station/dewsbury/heckmondwike-service-station/137101962</t>
        </is>
      </c>
    </row>
    <row r="41">
      <c r="A41" s="10" t="inlineStr">
        <is>
          <t>WY-0096</t>
        </is>
      </c>
      <c r="B41" s="10" t="inlineStr">
        <is>
          <t>WY-0096-01</t>
        </is>
      </c>
      <c r="C41" s="10" t="inlineStr"/>
      <c r="D41" s="10" t="inlineStr">
        <is>
          <t>Hopes News</t>
        </is>
      </c>
      <c r="E41" s="10" t="inlineStr">
        <is>
          <t>Newsagent</t>
        </is>
      </c>
      <c r="F41" s="10" t="inlineStr">
        <is>
          <t>Newsagent / off-licence</t>
        </is>
      </c>
      <c r="G41" s="10" t="inlineStr">
        <is>
          <t>Independent</t>
        </is>
      </c>
      <c r="H41" s="10" t="inlineStr">
        <is>
          <t>1</t>
        </is>
      </c>
      <c r="I41" s="10" t="inlineStr">
        <is>
          <t>Otley Road</t>
        </is>
      </c>
      <c r="J41" s="10" t="inlineStr">
        <is>
          <t>Shipley</t>
        </is>
      </c>
      <c r="K41" s="10" t="inlineStr"/>
      <c r="L41" s="10" t="inlineStr"/>
      <c r="M41" s="10" t="inlineStr"/>
      <c r="N41" s="10" t="inlineStr"/>
      <c r="O41" s="10" t="inlineStr"/>
      <c r="P41" s="10" t="inlineStr"/>
      <c r="Q41" s="10" t="inlineStr"/>
      <c r="R41" s="10" t="inlineStr"/>
      <c r="S41" s="10" t="inlineStr"/>
      <c r="T41" s="10" t="inlineStr"/>
      <c r="U41" s="10" t="inlineStr"/>
      <c r="V41" s="10" t="inlineStr">
        <is>
          <t>Low</t>
        </is>
      </c>
      <c r="W41" s="10" t="inlineStr">
        <is>
          <t>Independent retailer; Relevant category</t>
        </is>
      </c>
      <c r="X41" s="10" t="inlineStr">
        <is>
          <t>Not Found</t>
        </is>
      </c>
      <c r="Y41" s="10" t="inlineStr">
        <is>
          <t>Not Found</t>
        </is>
      </c>
      <c r="Z41" s="10" t="inlineStr">
        <is>
          <t>Low</t>
        </is>
      </c>
      <c r="AA41" s="10" t="inlineStr">
        <is>
          <t>Requires Verification</t>
        </is>
      </c>
      <c r="AB41" s="10" t="inlineStr">
        <is>
          <t>https://www.yorkshire.com/shipley/shopping/off-license/hopes-news</t>
        </is>
      </c>
    </row>
    <row r="42">
      <c r="A42" s="5" t="inlineStr">
        <is>
          <t>WY-0098</t>
        </is>
      </c>
      <c r="B42" s="5" t="inlineStr">
        <is>
          <t>WY-0098-01</t>
        </is>
      </c>
      <c r="C42" s="5" t="inlineStr"/>
      <c r="D42" s="5" t="inlineStr">
        <is>
          <t>Ilkley Convenience Store</t>
        </is>
      </c>
      <c r="E42" s="5" t="inlineStr">
        <is>
          <t>Convenience Store</t>
        </is>
      </c>
      <c r="F42" s="5" t="inlineStr">
        <is>
          <t>Neighbourhood convenience store</t>
        </is>
      </c>
      <c r="G42" s="5" t="inlineStr">
        <is>
          <t>Independent</t>
        </is>
      </c>
      <c r="H42" s="5" t="inlineStr">
        <is>
          <t>1</t>
        </is>
      </c>
      <c r="I42" s="5" t="inlineStr">
        <is>
          <t>Valley Drive</t>
        </is>
      </c>
      <c r="J42" s="5" t="inlineStr">
        <is>
          <t>Ilkley</t>
        </is>
      </c>
      <c r="K42" s="5" t="inlineStr"/>
      <c r="L42" s="5" t="inlineStr"/>
      <c r="M42" s="5" t="inlineStr"/>
      <c r="N42" s="5" t="inlineStr"/>
      <c r="O42" s="5" t="inlineStr"/>
      <c r="P42" s="5" t="inlineStr"/>
      <c r="Q42" s="5" t="inlineStr"/>
      <c r="R42" s="5" t="inlineStr"/>
      <c r="S42" s="5" t="inlineStr"/>
      <c r="T42" s="5" t="inlineStr"/>
      <c r="U42" s="5" t="inlineStr"/>
      <c r="V42" s="5" t="inlineStr">
        <is>
          <t>Low</t>
        </is>
      </c>
      <c r="W42" s="5" t="inlineStr">
        <is>
          <t>Independent retailer; Relevant category</t>
        </is>
      </c>
      <c r="X42" s="5" t="inlineStr">
        <is>
          <t>Not Found</t>
        </is>
      </c>
      <c r="Y42" s="5" t="inlineStr">
        <is>
          <t>Not Found</t>
        </is>
      </c>
      <c r="Z42" s="5" t="inlineStr">
        <is>
          <t>Low</t>
        </is>
      </c>
      <c r="AA42" s="5" t="inlineStr">
        <is>
          <t>Requires Verification</t>
        </is>
      </c>
      <c r="AB42" s="5" t="inlineStr">
        <is>
          <t>https://www.yorkshire.com/ilkley/shopping/corner-shops/ilkley-convenience-store</t>
        </is>
      </c>
    </row>
    <row r="43">
      <c r="A43" s="10" t="inlineStr">
        <is>
          <t>WY-0099</t>
        </is>
      </c>
      <c r="B43" s="10" t="inlineStr">
        <is>
          <t>WY-0099-01</t>
        </is>
      </c>
      <c r="C43" s="10" t="inlineStr"/>
      <c r="D43" s="10" t="inlineStr">
        <is>
          <t>International Foods</t>
        </is>
      </c>
      <c r="E43" s="10" t="inlineStr">
        <is>
          <t>Independent Supermarket</t>
        </is>
      </c>
      <c r="F43" s="10" t="inlineStr">
        <is>
          <t>South Asian supermarket with halal meat</t>
        </is>
      </c>
      <c r="G43" s="10" t="inlineStr">
        <is>
          <t>Independent</t>
        </is>
      </c>
      <c r="H43" s="10" t="inlineStr">
        <is>
          <t>1</t>
        </is>
      </c>
      <c r="I43" s="10" t="inlineStr">
        <is>
          <t>166 Harehills Lane</t>
        </is>
      </c>
      <c r="J43" s="10" t="inlineStr">
        <is>
          <t>Leeds</t>
        </is>
      </c>
      <c r="K43" s="10" t="inlineStr">
        <is>
          <t>LS8 5JP</t>
        </is>
      </c>
      <c r="L43" s="10" t="inlineStr"/>
      <c r="M43" s="10" t="inlineStr"/>
      <c r="N43" s="10" t="inlineStr"/>
      <c r="O43" s="10" t="inlineStr"/>
      <c r="P43" s="10" t="inlineStr"/>
      <c r="Q43" s="10" t="inlineStr"/>
      <c r="R43" s="10" t="inlineStr"/>
      <c r="S43" s="10" t="inlineStr"/>
      <c r="T43" s="10" t="inlineStr">
        <is>
          <t>09552908</t>
        </is>
      </c>
      <c r="U43" s="10" t="inlineStr"/>
      <c r="V43" s="10" t="inlineStr">
        <is>
          <t>Low</t>
        </is>
      </c>
      <c r="W43" s="10" t="inlineStr">
        <is>
          <t>Independent retailer; Relevant category</t>
        </is>
      </c>
      <c r="X43" s="10" t="inlineStr">
        <is>
          <t>Not Found</t>
        </is>
      </c>
      <c r="Y43" s="10" t="inlineStr">
        <is>
          <t>Not Found</t>
        </is>
      </c>
      <c r="Z43" s="10" t="inlineStr">
        <is>
          <t>Medium</t>
        </is>
      </c>
      <c r="AA43" s="10" t="inlineStr">
        <is>
          <t>Partially Verified</t>
        </is>
      </c>
      <c r="AB43" s="10" t="inlineStr">
        <is>
          <t>https://find-and-update.company-information.service.gov.uk/company/09552908</t>
        </is>
      </c>
    </row>
    <row r="44">
      <c r="A44" s="5" t="inlineStr">
        <is>
          <t>WY-0104</t>
        </is>
      </c>
      <c r="B44" s="5" t="inlineStr">
        <is>
          <t>WY-0104-01</t>
        </is>
      </c>
      <c r="C44" s="5" t="inlineStr"/>
      <c r="D44" s="5" t="inlineStr">
        <is>
          <t>Keep In Touch</t>
        </is>
      </c>
      <c r="E44" s="5" t="inlineStr">
        <is>
          <t>Newsagent</t>
        </is>
      </c>
      <c r="F44" s="5" t="inlineStr">
        <is>
          <t>Newsagent</t>
        </is>
      </c>
      <c r="G44" s="5" t="inlineStr">
        <is>
          <t>Independent</t>
        </is>
      </c>
      <c r="H44" s="5" t="inlineStr">
        <is>
          <t>1</t>
        </is>
      </c>
      <c r="I44" s="5" t="inlineStr">
        <is>
          <t>5 Albion Street</t>
        </is>
      </c>
      <c r="J44" s="5" t="inlineStr">
        <is>
          <t>Castleford</t>
        </is>
      </c>
      <c r="K44" s="5" t="inlineStr">
        <is>
          <t>WF10 1EG</t>
        </is>
      </c>
      <c r="L44" s="5" t="inlineStr"/>
      <c r="M44" s="5" t="inlineStr"/>
      <c r="N44" s="5" t="inlineStr"/>
      <c r="O44" s="5" t="inlineStr"/>
      <c r="P44" s="5" t="inlineStr"/>
      <c r="Q44" s="5" t="inlineStr"/>
      <c r="R44" s="5" t="inlineStr"/>
      <c r="S44" s="5" t="inlineStr"/>
      <c r="T44" s="5" t="inlineStr"/>
      <c r="U44" s="5" t="inlineStr"/>
      <c r="V44" s="5" t="inlineStr">
        <is>
          <t>Low</t>
        </is>
      </c>
      <c r="W44" s="5" t="inlineStr">
        <is>
          <t>Independent retailer; Relevant category</t>
        </is>
      </c>
      <c r="X44" s="5" t="inlineStr">
        <is>
          <t>Not Found</t>
        </is>
      </c>
      <c r="Y44" s="5" t="inlineStr">
        <is>
          <t>Not Found</t>
        </is>
      </c>
      <c r="Z44" s="5" t="inlineStr">
        <is>
          <t>Low</t>
        </is>
      </c>
      <c r="AA44" s="5" t="inlineStr">
        <is>
          <t>Requires Verification</t>
        </is>
      </c>
      <c r="AB44" s="5" t="inlineStr">
        <is>
          <t>https://www.192.com/atoz/business/castleford-wf10/newsagents/keep-in-touch/645f3ab15b4cb6acdbc0eb9ef27c5a71438678bb/ml/</t>
        </is>
      </c>
    </row>
    <row r="45">
      <c r="A45" s="10" t="inlineStr">
        <is>
          <t>WY-0105</t>
        </is>
      </c>
      <c r="B45" s="10" t="inlineStr">
        <is>
          <t>WY-0105-01</t>
        </is>
      </c>
      <c r="C45" s="10" t="inlineStr"/>
      <c r="D45" s="10" t="inlineStr">
        <is>
          <t>Keighley Newsagent</t>
        </is>
      </c>
      <c r="E45" s="10" t="inlineStr">
        <is>
          <t>Newsagent</t>
        </is>
      </c>
      <c r="F45" s="10" t="inlineStr">
        <is>
          <t>Town-centre newsagent</t>
        </is>
      </c>
      <c r="G45" s="10" t="inlineStr">
        <is>
          <t>Independent</t>
        </is>
      </c>
      <c r="H45" s="10" t="inlineStr">
        <is>
          <t>1</t>
        </is>
      </c>
      <c r="I45" s="10" t="inlineStr">
        <is>
          <t>125 North Street</t>
        </is>
      </c>
      <c r="J45" s="10" t="inlineStr">
        <is>
          <t>Keighley</t>
        </is>
      </c>
      <c r="K45" s="10" t="inlineStr">
        <is>
          <t>BD21 3AD</t>
        </is>
      </c>
      <c r="L45" s="10" t="inlineStr"/>
      <c r="M45" s="10" t="inlineStr"/>
      <c r="N45" s="10" t="inlineStr"/>
      <c r="O45" s="10" t="inlineStr"/>
      <c r="P45" s="10" t="inlineStr"/>
      <c r="Q45" s="10" t="inlineStr"/>
      <c r="R45" s="10" t="inlineStr"/>
      <c r="S45" s="10" t="inlineStr"/>
      <c r="T45" s="10" t="inlineStr"/>
      <c r="U45" s="10" t="inlineStr"/>
      <c r="V45" s="10" t="inlineStr">
        <is>
          <t>Low</t>
        </is>
      </c>
      <c r="W45" s="10" t="inlineStr">
        <is>
          <t>Independent retailer; Relevant category</t>
        </is>
      </c>
      <c r="X45" s="10" t="inlineStr">
        <is>
          <t>Not Found</t>
        </is>
      </c>
      <c r="Y45" s="10" t="inlineStr">
        <is>
          <t>Not Found</t>
        </is>
      </c>
      <c r="Z45" s="10" t="inlineStr">
        <is>
          <t>Low</t>
        </is>
      </c>
      <c r="AA45" s="10" t="inlineStr">
        <is>
          <t>Requires Verification</t>
        </is>
      </c>
      <c r="AB45" s="10" t="inlineStr">
        <is>
          <t>https://directory.bradfordpages.co.uk/company/504571861241856</t>
        </is>
      </c>
    </row>
    <row r="46">
      <c r="A46" s="5" t="inlineStr">
        <is>
          <t>WY-0107</t>
        </is>
      </c>
      <c r="B46" s="5" t="inlineStr">
        <is>
          <t>WY-0107-01</t>
        </is>
      </c>
      <c r="C46" s="5" t="inlineStr"/>
      <c r="D46" s="5" t="inlineStr">
        <is>
          <t>Kubus International Food</t>
        </is>
      </c>
      <c r="E46" s="5" t="inlineStr">
        <is>
          <t>Convenience Store</t>
        </is>
      </c>
      <c r="F46" s="5" t="inlineStr">
        <is>
          <t>International / Eastern European grocery and convenience</t>
        </is>
      </c>
      <c r="G46" s="5" t="inlineStr">
        <is>
          <t>Independent</t>
        </is>
      </c>
      <c r="H46" s="5" t="inlineStr">
        <is>
          <t>1</t>
        </is>
      </c>
      <c r="I46" s="5" t="inlineStr">
        <is>
          <t>86 Kirkgate</t>
        </is>
      </c>
      <c r="J46" s="5" t="inlineStr">
        <is>
          <t>Wakefield</t>
        </is>
      </c>
      <c r="K46" s="5" t="inlineStr"/>
      <c r="L46" s="5" t="inlineStr"/>
      <c r="M46" s="5" t="inlineStr"/>
      <c r="N46" s="5" t="inlineStr"/>
      <c r="O46" s="5" t="inlineStr"/>
      <c r="P46" s="5" t="inlineStr"/>
      <c r="Q46" s="5" t="inlineStr"/>
      <c r="R46" s="5" t="inlineStr"/>
      <c r="S46" s="5" t="inlineStr"/>
      <c r="T46" s="5" t="inlineStr"/>
      <c r="U46" s="5" t="inlineStr"/>
      <c r="V46" s="5" t="inlineStr">
        <is>
          <t>Low</t>
        </is>
      </c>
      <c r="W46" s="5" t="inlineStr">
        <is>
          <t>Independent retailer; Relevant category</t>
        </is>
      </c>
      <c r="X46" s="5" t="inlineStr">
        <is>
          <t>Not Found</t>
        </is>
      </c>
      <c r="Y46" s="5" t="inlineStr">
        <is>
          <t>Not Found</t>
        </is>
      </c>
      <c r="Z46" s="5" t="inlineStr">
        <is>
          <t>Low</t>
        </is>
      </c>
      <c r="AA46" s="5" t="inlineStr">
        <is>
          <t>Requires Verification</t>
        </is>
      </c>
      <c r="AB46" s="5" t="inlineStr">
        <is>
          <t>https://www.yorkshire.com/wakefield/shopping/corner-shops/kubus-international-food</t>
        </is>
      </c>
    </row>
    <row r="47">
      <c r="A47" s="10" t="inlineStr">
        <is>
          <t>WY-0109</t>
        </is>
      </c>
      <c r="B47" s="10" t="inlineStr">
        <is>
          <t>WY-0109-01</t>
        </is>
      </c>
      <c r="C47" s="10" t="inlineStr"/>
      <c r="D47" s="10" t="inlineStr">
        <is>
          <t>Leeds Shisha Wholesale</t>
        </is>
      </c>
      <c r="E47" s="10" t="inlineStr">
        <is>
          <t>Smoke / Shisha Shop</t>
        </is>
      </c>
      <c r="F47" s="10" t="inlineStr">
        <is>
          <t>Shisha wholesale and retail supplier</t>
        </is>
      </c>
      <c r="G47" s="10" t="inlineStr">
        <is>
          <t>Independent</t>
        </is>
      </c>
      <c r="H47" s="10" t="inlineStr">
        <is>
          <t>1</t>
        </is>
      </c>
      <c r="I47" s="10" t="inlineStr"/>
      <c r="J47" s="10" t="inlineStr">
        <is>
          <t>Leeds</t>
        </is>
      </c>
      <c r="K47" s="10" t="inlineStr"/>
      <c r="L47" s="10" t="inlineStr"/>
      <c r="M47" s="10" t="inlineStr"/>
      <c r="N47" s="10" t="inlineStr"/>
      <c r="O47" s="10" t="inlineStr"/>
      <c r="P47" s="10" t="inlineStr">
        <is>
          <t>https://www.facebook.com/p/Leeds-Shisha-Wholesale-100066917521496/</t>
        </is>
      </c>
      <c r="Q47" s="10" t="inlineStr"/>
      <c r="R47" s="10" t="inlineStr"/>
      <c r="S47" s="10" t="inlineStr"/>
      <c r="T47" s="10" t="inlineStr"/>
      <c r="U47" s="10" t="inlineStr"/>
      <c r="V47" s="10" t="inlineStr">
        <is>
          <t>Medium</t>
        </is>
      </c>
      <c r="W47" s="10" t="inlineStr">
        <is>
          <t>Independent retailer; Core relevant category; Social presence</t>
        </is>
      </c>
      <c r="X47" s="10" t="inlineStr">
        <is>
          <t>Not Found</t>
        </is>
      </c>
      <c r="Y47" s="10" t="inlineStr">
        <is>
          <t>Not Found</t>
        </is>
      </c>
      <c r="Z47" s="10" t="inlineStr">
        <is>
          <t>Low</t>
        </is>
      </c>
      <c r="AA47" s="10" t="inlineStr">
        <is>
          <t>Requires Verification</t>
        </is>
      </c>
      <c r="AB47" s="10" t="inlineStr">
        <is>
          <t>https://www.facebook.com/p/Leeds-Shisha-Wholesale-100066917521496/</t>
        </is>
      </c>
    </row>
    <row r="48">
      <c r="A48" s="5" t="inlineStr">
        <is>
          <t>WY-0111</t>
        </is>
      </c>
      <c r="B48" s="5" t="inlineStr">
        <is>
          <t>WY-0111-01</t>
        </is>
      </c>
      <c r="C48" s="5" t="inlineStr"/>
      <c r="D48" s="5" t="inlineStr">
        <is>
          <t>Local Convenience Store (Elsinore Avenue)</t>
        </is>
      </c>
      <c r="E48" s="5" t="inlineStr">
        <is>
          <t>Convenience Store</t>
        </is>
      </c>
      <c r="F48" s="5" t="inlineStr"/>
      <c r="G48" s="5" t="inlineStr">
        <is>
          <t>Independent</t>
        </is>
      </c>
      <c r="H48" s="5" t="inlineStr">
        <is>
          <t>1</t>
        </is>
      </c>
      <c r="I48" s="5" t="inlineStr">
        <is>
          <t>12 Elsinore Avenue</t>
        </is>
      </c>
      <c r="J48" s="5" t="inlineStr">
        <is>
          <t>Elland</t>
        </is>
      </c>
      <c r="K48" s="5" t="inlineStr">
        <is>
          <t>HX5 0LT</t>
        </is>
      </c>
      <c r="L48" s="5" t="inlineStr"/>
      <c r="M48" s="5" t="inlineStr"/>
      <c r="N48" s="5" t="inlineStr"/>
      <c r="O48" s="5" t="inlineStr"/>
      <c r="P48" s="5" t="inlineStr"/>
      <c r="Q48" s="5" t="inlineStr"/>
      <c r="R48" s="5" t="inlineStr"/>
      <c r="S48" s="5" t="inlineStr"/>
      <c r="T48" s="5" t="inlineStr"/>
      <c r="U48" s="5" t="inlineStr"/>
      <c r="V48" s="5" t="inlineStr">
        <is>
          <t>Low</t>
        </is>
      </c>
      <c r="W48" s="5" t="inlineStr">
        <is>
          <t>Independent retailer; Relevant category</t>
        </is>
      </c>
      <c r="X48" s="5" t="inlineStr">
        <is>
          <t>Not Found</t>
        </is>
      </c>
      <c r="Y48" s="5" t="inlineStr">
        <is>
          <t>Not Found</t>
        </is>
      </c>
      <c r="Z48" s="5" t="inlineStr">
        <is>
          <t>Low</t>
        </is>
      </c>
      <c r="AA48" s="5" t="inlineStr">
        <is>
          <t>Requires Verification</t>
        </is>
      </c>
      <c r="AB48" s="5" t="inlineStr">
        <is>
          <t>https://www.yorkshire.com/elland/shopping/corner-shops</t>
        </is>
      </c>
    </row>
    <row r="49">
      <c r="A49" s="10" t="inlineStr">
        <is>
          <t>WY-0112</t>
        </is>
      </c>
      <c r="B49" s="10" t="inlineStr">
        <is>
          <t>WY-0112-01</t>
        </is>
      </c>
      <c r="C49" s="10" t="inlineStr"/>
      <c r="D49" s="10" t="inlineStr">
        <is>
          <t>Local Express Off Licence</t>
        </is>
      </c>
      <c r="E49" s="10" t="inlineStr">
        <is>
          <t>Off-Licence</t>
        </is>
      </c>
      <c r="F49" s="10" t="inlineStr">
        <is>
          <t>Off-licence / beer store</t>
        </is>
      </c>
      <c r="G49" s="10" t="inlineStr">
        <is>
          <t>Independent</t>
        </is>
      </c>
      <c r="H49" s="10" t="inlineStr">
        <is>
          <t>1</t>
        </is>
      </c>
      <c r="I49" s="10" t="inlineStr">
        <is>
          <t>30 Common Road</t>
        </is>
      </c>
      <c r="J49" s="10" t="inlineStr">
        <is>
          <t>Batley</t>
        </is>
      </c>
      <c r="K49" s="10" t="inlineStr"/>
      <c r="L49" s="10" t="inlineStr"/>
      <c r="M49" s="10" t="inlineStr"/>
      <c r="N49" s="10" t="inlineStr"/>
      <c r="O49" s="10" t="inlineStr"/>
      <c r="P49" s="10" t="inlineStr"/>
      <c r="Q49" s="10" t="inlineStr"/>
      <c r="R49" s="10" t="inlineStr"/>
      <c r="S49" s="10" t="inlineStr"/>
      <c r="T49" s="10" t="inlineStr"/>
      <c r="U49" s="10" t="inlineStr"/>
      <c r="V49" s="10" t="inlineStr">
        <is>
          <t>Low</t>
        </is>
      </c>
      <c r="W49" s="10" t="inlineStr">
        <is>
          <t>Independent retailer; Relevant category</t>
        </is>
      </c>
      <c r="X49" s="10" t="inlineStr">
        <is>
          <t>Not Found</t>
        </is>
      </c>
      <c r="Y49" s="10" t="inlineStr">
        <is>
          <t>Not Found</t>
        </is>
      </c>
      <c r="Z49" s="10" t="inlineStr">
        <is>
          <t>Low</t>
        </is>
      </c>
      <c r="AA49" s="10" t="inlineStr">
        <is>
          <t>Requires Verification</t>
        </is>
      </c>
      <c r="AB49" s="10" t="inlineStr">
        <is>
          <t>https://www.bigreddirectory.com/local-express-off-licence-batley</t>
        </is>
      </c>
    </row>
    <row r="50">
      <c r="A50" s="5" t="inlineStr">
        <is>
          <t>WY-0116</t>
        </is>
      </c>
      <c r="B50" s="5" t="inlineStr">
        <is>
          <t>WY-0116-01</t>
        </is>
      </c>
      <c r="C50" s="5" t="inlineStr"/>
      <c r="D50" s="5" t="inlineStr">
        <is>
          <t>Low Lane Convenience Store (Premier)</t>
        </is>
      </c>
      <c r="E50" s="5" t="inlineStr">
        <is>
          <t>Convenience Store</t>
        </is>
      </c>
      <c r="F50" s="5" t="inlineStr">
        <is>
          <t>Premier symbol group convenience store</t>
        </is>
      </c>
      <c r="G50" s="5" t="inlineStr">
        <is>
          <t>Franchise / Symbol Group</t>
        </is>
      </c>
      <c r="H50" s="5" t="inlineStr">
        <is>
          <t>1</t>
        </is>
      </c>
      <c r="I50" s="5" t="inlineStr">
        <is>
          <t>6 Low Lane</t>
        </is>
      </c>
      <c r="J50" s="5" t="inlineStr">
        <is>
          <t>Batley</t>
        </is>
      </c>
      <c r="K50" s="5" t="inlineStr">
        <is>
          <t>WF17 9EY</t>
        </is>
      </c>
      <c r="L50" s="5" t="inlineStr"/>
      <c r="M50" s="5" t="inlineStr"/>
      <c r="N50" s="5" t="inlineStr"/>
      <c r="O50" s="5" t="inlineStr">
        <is>
          <t>https://www.premier-stores.co.uk/our-stores/low-lane-convenience-store</t>
        </is>
      </c>
      <c r="P50" s="5" t="inlineStr"/>
      <c r="Q50" s="5" t="inlineStr"/>
      <c r="R50" s="5" t="inlineStr"/>
      <c r="S50" s="5" t="inlineStr"/>
      <c r="T50" s="5" t="inlineStr"/>
      <c r="U50" s="5" t="inlineStr"/>
      <c r="V50" s="5" t="inlineStr">
        <is>
          <t>Medium</t>
        </is>
      </c>
      <c r="W50" s="5" t="inlineStr">
        <is>
          <t>Independent retailer; Relevant category; Active website</t>
        </is>
      </c>
      <c r="X50" s="5" t="inlineStr">
        <is>
          <t>Not Found</t>
        </is>
      </c>
      <c r="Y50" s="5" t="inlineStr">
        <is>
          <t>Not Found</t>
        </is>
      </c>
      <c r="Z50" s="5" t="inlineStr">
        <is>
          <t>Medium</t>
        </is>
      </c>
      <c r="AA50" s="5" t="inlineStr">
        <is>
          <t>Requires Verification</t>
        </is>
      </c>
      <c r="AB50" s="5" t="inlineStr">
        <is>
          <t>https://www.premier-stores.co.uk/our-stores/low-lane-convenience-store</t>
        </is>
      </c>
    </row>
    <row r="51">
      <c r="A51" s="10" t="inlineStr">
        <is>
          <t>WY-0117</t>
        </is>
      </c>
      <c r="B51" s="10" t="inlineStr">
        <is>
          <t>WY-0117-01</t>
        </is>
      </c>
      <c r="C51" s="10" t="inlineStr"/>
      <c r="D51" s="10" t="inlineStr">
        <is>
          <t>Mace News &amp; Off Licence</t>
        </is>
      </c>
      <c r="E51" s="10" t="inlineStr">
        <is>
          <t>Newsagent</t>
        </is>
      </c>
      <c r="F51" s="10" t="inlineStr">
        <is>
          <t>Newsagent with off-licence</t>
        </is>
      </c>
      <c r="G51" s="10" t="inlineStr">
        <is>
          <t>Franchise / Symbol Group</t>
        </is>
      </c>
      <c r="H51" s="10" t="inlineStr">
        <is>
          <t>1</t>
        </is>
      </c>
      <c r="I51" s="10" t="inlineStr">
        <is>
          <t>Otley Road</t>
        </is>
      </c>
      <c r="J51" s="10" t="inlineStr">
        <is>
          <t>Shipley</t>
        </is>
      </c>
      <c r="K51" s="10" t="inlineStr"/>
      <c r="L51" s="10" t="inlineStr"/>
      <c r="M51" s="10" t="inlineStr"/>
      <c r="N51" s="10" t="inlineStr"/>
      <c r="O51" s="10" t="inlineStr"/>
      <c r="P51" s="10" t="inlineStr"/>
      <c r="Q51" s="10" t="inlineStr"/>
      <c r="R51" s="10" t="inlineStr"/>
      <c r="S51" s="10" t="inlineStr"/>
      <c r="T51" s="10" t="inlineStr"/>
      <c r="U51" s="10" t="inlineStr"/>
      <c r="V51" s="10" t="inlineStr">
        <is>
          <t>Low</t>
        </is>
      </c>
      <c r="W51" s="10" t="inlineStr">
        <is>
          <t>Independent retailer; Relevant category</t>
        </is>
      </c>
      <c r="X51" s="10" t="inlineStr">
        <is>
          <t>Not Found</t>
        </is>
      </c>
      <c r="Y51" s="10" t="inlineStr">
        <is>
          <t>Not Found</t>
        </is>
      </c>
      <c r="Z51" s="10" t="inlineStr">
        <is>
          <t>Low</t>
        </is>
      </c>
      <c r="AA51" s="10" t="inlineStr">
        <is>
          <t>Requires Verification</t>
        </is>
      </c>
      <c r="AB51" s="10" t="inlineStr">
        <is>
          <t>https://www.yorkshire.com/shipley/shopping/off-license/mace-news-off-licence</t>
        </is>
      </c>
    </row>
    <row r="52">
      <c r="A52" s="5" t="inlineStr">
        <is>
          <t>WY-0124</t>
        </is>
      </c>
      <c r="B52" s="5" t="inlineStr">
        <is>
          <t>WY-0124-01</t>
        </is>
      </c>
      <c r="C52" s="5" t="inlineStr"/>
      <c r="D52" s="5" t="inlineStr">
        <is>
          <t>Mytholmroyd Post Office</t>
        </is>
      </c>
      <c r="E52" s="5" t="inlineStr">
        <is>
          <t>Convenience Store</t>
        </is>
      </c>
      <c r="F52" s="5" t="inlineStr">
        <is>
          <t>Post office and newsagent counter</t>
        </is>
      </c>
      <c r="G52" s="5" t="inlineStr">
        <is>
          <t>Independent</t>
        </is>
      </c>
      <c r="H52" s="5" t="inlineStr">
        <is>
          <t>1</t>
        </is>
      </c>
      <c r="I52" s="5" t="inlineStr">
        <is>
          <t>Grange Dene, Burnley Road</t>
        </is>
      </c>
      <c r="J52" s="5" t="inlineStr">
        <is>
          <t>Mytholmroyd</t>
        </is>
      </c>
      <c r="K52" s="5" t="inlineStr">
        <is>
          <t>HX7 5LF</t>
        </is>
      </c>
      <c r="L52" s="5" t="inlineStr"/>
      <c r="M52" s="5" t="inlineStr"/>
      <c r="N52" s="5" t="inlineStr"/>
      <c r="O52" s="5" t="inlineStr"/>
      <c r="P52" s="5" t="inlineStr"/>
      <c r="Q52" s="5" t="inlineStr"/>
      <c r="R52" s="5" t="inlineStr"/>
      <c r="S52" s="5" t="inlineStr"/>
      <c r="T52" s="5" t="inlineStr"/>
      <c r="U52" s="5" t="inlineStr"/>
      <c r="V52" s="5" t="inlineStr">
        <is>
          <t>Low</t>
        </is>
      </c>
      <c r="W52" s="5" t="inlineStr">
        <is>
          <t>Independent retailer; Relevant category</t>
        </is>
      </c>
      <c r="X52" s="5" t="inlineStr">
        <is>
          <t>Not Found</t>
        </is>
      </c>
      <c r="Y52" s="5" t="inlineStr">
        <is>
          <t>Not Found</t>
        </is>
      </c>
      <c r="Z52" s="5" t="inlineStr">
        <is>
          <t>Medium</t>
        </is>
      </c>
      <c r="AA52" s="5" t="inlineStr">
        <is>
          <t>Requires Verification</t>
        </is>
      </c>
      <c r="AB52" s="5" t="inlineStr">
        <is>
          <t>https://www.postoffice.co.uk/branch-finder/6314589/mytholmroyd</t>
        </is>
      </c>
    </row>
    <row r="53">
      <c r="A53" s="10" t="inlineStr">
        <is>
          <t>WY-0126</t>
        </is>
      </c>
      <c r="B53" s="10" t="inlineStr">
        <is>
          <t>WY-0126-01</t>
        </is>
      </c>
      <c r="C53" s="10" t="inlineStr"/>
      <c r="D53" s="10" t="inlineStr">
        <is>
          <t>Northowram Post Office</t>
        </is>
      </c>
      <c r="E53" s="10" t="inlineStr">
        <is>
          <t>Convenience Store</t>
        </is>
      </c>
      <c r="F53" s="10" t="inlineStr">
        <is>
          <t>Family-run convenience store with post office</t>
        </is>
      </c>
      <c r="G53" s="10" t="inlineStr">
        <is>
          <t>Independent</t>
        </is>
      </c>
      <c r="H53" s="10" t="inlineStr">
        <is>
          <t>1</t>
        </is>
      </c>
      <c r="I53" s="10" t="inlineStr">
        <is>
          <t>62 Towngate</t>
        </is>
      </c>
      <c r="J53" s="10" t="inlineStr">
        <is>
          <t>Halifax</t>
        </is>
      </c>
      <c r="K53" s="10" t="inlineStr">
        <is>
          <t>HX3 7DX</t>
        </is>
      </c>
      <c r="L53" s="10" t="inlineStr"/>
      <c r="M53" s="10" t="inlineStr"/>
      <c r="N53" s="10" t="inlineStr"/>
      <c r="O53" s="10" t="inlineStr"/>
      <c r="P53" s="10" t="inlineStr"/>
      <c r="Q53" s="10" t="inlineStr"/>
      <c r="R53" s="10" t="inlineStr"/>
      <c r="S53" s="10" t="inlineStr"/>
      <c r="T53" s="10" t="inlineStr"/>
      <c r="U53" s="10" t="inlineStr"/>
      <c r="V53" s="10" t="inlineStr">
        <is>
          <t>Low</t>
        </is>
      </c>
      <c r="W53" s="10" t="inlineStr">
        <is>
          <t>Independent retailer; Relevant category</t>
        </is>
      </c>
      <c r="X53" s="10" t="inlineStr">
        <is>
          <t>Not Found</t>
        </is>
      </c>
      <c r="Y53" s="10" t="inlineStr">
        <is>
          <t>Not Found</t>
        </is>
      </c>
      <c r="Z53" s="10" t="inlineStr">
        <is>
          <t>Medium</t>
        </is>
      </c>
      <c r="AA53" s="10" t="inlineStr">
        <is>
          <t>Requires Verification</t>
        </is>
      </c>
      <c r="AB53" s="10" t="inlineStr">
        <is>
          <t>https://www.postoffice.co.uk/branch-finder/6204589/northowram</t>
        </is>
      </c>
    </row>
    <row r="54">
      <c r="A54" s="5" t="inlineStr">
        <is>
          <t>WY-0128</t>
        </is>
      </c>
      <c r="B54" s="5" t="inlineStr">
        <is>
          <t>WY-0128-01</t>
        </is>
      </c>
      <c r="C54" s="5" t="inlineStr"/>
      <c r="D54" s="5" t="inlineStr">
        <is>
          <t>Off Licence and Convenience Store (Cutsyke)</t>
        </is>
      </c>
      <c r="E54" s="5" t="inlineStr">
        <is>
          <t>Off-Licence</t>
        </is>
      </c>
      <c r="F54" s="5" t="inlineStr">
        <is>
          <t>Off-licence and convenience store</t>
        </is>
      </c>
      <c r="G54" s="5" t="inlineStr">
        <is>
          <t>Independent</t>
        </is>
      </c>
      <c r="H54" s="5" t="inlineStr">
        <is>
          <t>1</t>
        </is>
      </c>
      <c r="I54" s="5" t="inlineStr">
        <is>
          <t>2 Leeds Road</t>
        </is>
      </c>
      <c r="J54" s="5" t="inlineStr">
        <is>
          <t>Castleford</t>
        </is>
      </c>
      <c r="K54" s="5" t="inlineStr">
        <is>
          <t>WF10 5HA</t>
        </is>
      </c>
      <c r="L54" s="5" t="inlineStr"/>
      <c r="M54" s="5" t="inlineStr"/>
      <c r="N54" s="5" t="inlineStr"/>
      <c r="O54" s="5" t="inlineStr"/>
      <c r="P54" s="5" t="inlineStr"/>
      <c r="Q54" s="5" t="inlineStr"/>
      <c r="R54" s="5" t="inlineStr"/>
      <c r="S54" s="5" t="inlineStr"/>
      <c r="T54" s="5" t="inlineStr"/>
      <c r="U54" s="5" t="inlineStr"/>
      <c r="V54" s="5" t="inlineStr">
        <is>
          <t>Low</t>
        </is>
      </c>
      <c r="W54" s="5" t="inlineStr">
        <is>
          <t>Independent retailer; Relevant category</t>
        </is>
      </c>
      <c r="X54" s="5" t="inlineStr">
        <is>
          <t>Not Found</t>
        </is>
      </c>
      <c r="Y54" s="5" t="inlineStr">
        <is>
          <t>Not Found</t>
        </is>
      </c>
      <c r="Z54" s="5" t="inlineStr">
        <is>
          <t>Low</t>
        </is>
      </c>
      <c r="AA54" s="5" t="inlineStr">
        <is>
          <t>Requires Verification</t>
        </is>
      </c>
      <c r="AB54" s="5" t="inlineStr">
        <is>
          <t>https://ratings.food.gov.uk/business/1268724/off-licence-and-convenience-store-castleford</t>
        </is>
      </c>
    </row>
    <row r="55">
      <c r="A55" s="10" t="inlineStr">
        <is>
          <t>WY-0129</t>
        </is>
      </c>
      <c r="B55" s="10" t="inlineStr">
        <is>
          <t>WY-0129-01</t>
        </is>
      </c>
      <c r="C55" s="10" t="inlineStr"/>
      <c r="D55" s="10" t="inlineStr">
        <is>
          <t>Outwood Express</t>
        </is>
      </c>
      <c r="E55" s="10" t="inlineStr">
        <is>
          <t>Convenience Store</t>
        </is>
      </c>
      <c r="F55" s="10" t="inlineStr">
        <is>
          <t>Convenience store / grocer</t>
        </is>
      </c>
      <c r="G55" s="10" t="inlineStr">
        <is>
          <t>Independent</t>
        </is>
      </c>
      <c r="H55" s="10" t="inlineStr">
        <is>
          <t>1</t>
        </is>
      </c>
      <c r="I55" s="10" t="inlineStr"/>
      <c r="J55" s="10" t="inlineStr">
        <is>
          <t>Wakefield</t>
        </is>
      </c>
      <c r="K55" s="10" t="inlineStr"/>
      <c r="L55" s="10" t="inlineStr"/>
      <c r="M55" s="10" t="inlineStr"/>
      <c r="N55" s="10" t="inlineStr"/>
      <c r="O55" s="10" t="inlineStr"/>
      <c r="P55" s="10" t="inlineStr"/>
      <c r="Q55" s="10" t="inlineStr"/>
      <c r="R55" s="10" t="inlineStr"/>
      <c r="S55" s="10" t="inlineStr"/>
      <c r="T55" s="10" t="inlineStr"/>
      <c r="U55" s="10" t="inlineStr"/>
      <c r="V55" s="10" t="inlineStr">
        <is>
          <t>Low</t>
        </is>
      </c>
      <c r="W55" s="10" t="inlineStr">
        <is>
          <t>Independent retailer; Relevant category</t>
        </is>
      </c>
      <c r="X55" s="10" t="inlineStr">
        <is>
          <t>Not Found</t>
        </is>
      </c>
      <c r="Y55" s="10" t="inlineStr">
        <is>
          <t>Not Found</t>
        </is>
      </c>
      <c r="Z55" s="10" t="inlineStr">
        <is>
          <t>Low</t>
        </is>
      </c>
      <c r="AA55" s="10" t="inlineStr">
        <is>
          <t>Requires Verification</t>
        </is>
      </c>
      <c r="AB55" s="10" t="inlineStr">
        <is>
          <t>https://www.yell.com/biz/outwood-express-wakefield-10165328/</t>
        </is>
      </c>
    </row>
    <row r="56">
      <c r="A56" s="5" t="inlineStr">
        <is>
          <t>WY-0131</t>
        </is>
      </c>
      <c r="B56" s="5" t="inlineStr">
        <is>
          <t>WY-0131-01</t>
        </is>
      </c>
      <c r="C56" s="5" t="inlineStr"/>
      <c r="D56" s="5" t="inlineStr">
        <is>
          <t>Phantom Vape Store</t>
        </is>
      </c>
      <c r="E56" s="5" t="inlineStr">
        <is>
          <t>Vape Shop</t>
        </is>
      </c>
      <c r="F56" s="5" t="inlineStr">
        <is>
          <t>Pods, kits, e-liquids and accessories</t>
        </is>
      </c>
      <c r="G56" s="5" t="inlineStr">
        <is>
          <t>Independent</t>
        </is>
      </c>
      <c r="H56" s="5" t="inlineStr">
        <is>
          <t>1</t>
        </is>
      </c>
      <c r="I56" s="5" t="inlineStr">
        <is>
          <t>17 Slaithwaite Road</t>
        </is>
      </c>
      <c r="J56" s="5" t="inlineStr">
        <is>
          <t>Dewsbury</t>
        </is>
      </c>
      <c r="K56" s="5" t="inlineStr">
        <is>
          <t>WF12 9DJ</t>
        </is>
      </c>
      <c r="L56" s="5" t="inlineStr"/>
      <c r="M56" s="5" t="inlineStr"/>
      <c r="N56" s="5" t="inlineStr"/>
      <c r="O56" s="5" t="inlineStr">
        <is>
          <t>https://www.phantomvapes.co.uk/</t>
        </is>
      </c>
      <c r="P56" s="5" t="inlineStr">
        <is>
          <t>https://www.facebook.com/61578393599194/</t>
        </is>
      </c>
      <c r="Q56" s="5" t="inlineStr"/>
      <c r="R56" s="5" t="inlineStr"/>
      <c r="S56" s="5" t="inlineStr"/>
      <c r="T56" s="5" t="inlineStr"/>
      <c r="U56" s="5" t="inlineStr"/>
      <c r="V56" s="5" t="inlineStr">
        <is>
          <t>Medium</t>
        </is>
      </c>
      <c r="W56" s="5" t="inlineStr">
        <is>
          <t>Independent retailer; Core relevant category; Active website; Social presence</t>
        </is>
      </c>
      <c r="X56" s="5" t="inlineStr">
        <is>
          <t>Not Found</t>
        </is>
      </c>
      <c r="Y56" s="5" t="inlineStr">
        <is>
          <t>Website Found</t>
        </is>
      </c>
      <c r="Z56" s="5" t="inlineStr">
        <is>
          <t>Medium</t>
        </is>
      </c>
      <c r="AA56" s="5" t="inlineStr">
        <is>
          <t>Requires Verification</t>
        </is>
      </c>
      <c r="AB56" s="5" t="inlineStr">
        <is>
          <t>https://www.phantomvapes.co.uk/vape-shop-dewsbury</t>
        </is>
      </c>
    </row>
    <row r="57">
      <c r="A57" s="10" t="inlineStr">
        <is>
          <t>WY-0133</t>
        </is>
      </c>
      <c r="B57" s="10" t="inlineStr">
        <is>
          <t>WY-0133-01</t>
        </is>
      </c>
      <c r="C57" s="10" t="inlineStr"/>
      <c r="D57" s="10" t="inlineStr">
        <is>
          <t>Premier (Bingley Convenience Store)</t>
        </is>
      </c>
      <c r="E57" s="10" t="inlineStr">
        <is>
          <t>Convenience Store</t>
        </is>
      </c>
      <c r="F57" s="10" t="inlineStr">
        <is>
          <t>Symbol-group convenience store</t>
        </is>
      </c>
      <c r="G57" s="10" t="inlineStr">
        <is>
          <t>Franchise / Symbol Group</t>
        </is>
      </c>
      <c r="H57" s="10" t="inlineStr">
        <is>
          <t>1</t>
        </is>
      </c>
      <c r="I57" s="10" t="inlineStr"/>
      <c r="J57" s="10" t="inlineStr">
        <is>
          <t>Bingley</t>
        </is>
      </c>
      <c r="K57" s="10" t="inlineStr"/>
      <c r="L57" s="10" t="inlineStr"/>
      <c r="M57" s="10" t="inlineStr"/>
      <c r="N57" s="10" t="inlineStr"/>
      <c r="O57" s="10" t="inlineStr"/>
      <c r="P57" s="10" t="inlineStr"/>
      <c r="Q57" s="10" t="inlineStr"/>
      <c r="R57" s="10" t="inlineStr"/>
      <c r="S57" s="10" t="inlineStr"/>
      <c r="T57" s="10" t="inlineStr"/>
      <c r="U57" s="10" t="inlineStr"/>
      <c r="V57" s="10" t="inlineStr">
        <is>
          <t>Low</t>
        </is>
      </c>
      <c r="W57" s="10" t="inlineStr">
        <is>
          <t>Independent retailer; Relevant category</t>
        </is>
      </c>
      <c r="X57" s="10" t="inlineStr">
        <is>
          <t>Not Found</t>
        </is>
      </c>
      <c r="Y57" s="10" t="inlineStr">
        <is>
          <t>Not Found</t>
        </is>
      </c>
      <c r="Z57" s="10" t="inlineStr">
        <is>
          <t>Low</t>
        </is>
      </c>
      <c r="AA57" s="10" t="inlineStr">
        <is>
          <t>Requires Verification</t>
        </is>
      </c>
      <c r="AB57" s="10" t="inlineStr">
        <is>
          <t>https://www.yorkshire.com/bingley/shopping/corner-shops/premier-bingley-convenience-store</t>
        </is>
      </c>
    </row>
    <row r="58">
      <c r="A58" s="5" t="inlineStr">
        <is>
          <t>WY-0134</t>
        </is>
      </c>
      <c r="B58" s="5" t="inlineStr">
        <is>
          <t>WY-0134-01</t>
        </is>
      </c>
      <c r="C58" s="5" t="inlineStr"/>
      <c r="D58" s="5" t="inlineStr">
        <is>
          <t>Premier Hemsworth</t>
        </is>
      </c>
      <c r="E58" s="5" t="inlineStr">
        <is>
          <t>Convenience Store</t>
        </is>
      </c>
      <c r="F58" s="5" t="inlineStr">
        <is>
          <t>Symbol group convenience store</t>
        </is>
      </c>
      <c r="G58" s="5" t="inlineStr">
        <is>
          <t>Franchise / Symbol Group</t>
        </is>
      </c>
      <c r="H58" s="5" t="inlineStr">
        <is>
          <t>1</t>
        </is>
      </c>
      <c r="I58" s="5" t="inlineStr">
        <is>
          <t>51-55 Barnsley Road</t>
        </is>
      </c>
      <c r="J58" s="5" t="inlineStr">
        <is>
          <t>Hemsworth</t>
        </is>
      </c>
      <c r="K58" s="5" t="inlineStr">
        <is>
          <t>WF9 4QZ</t>
        </is>
      </c>
      <c r="L58" s="5" t="inlineStr"/>
      <c r="M58" s="5" t="inlineStr"/>
      <c r="N58" s="5" t="inlineStr"/>
      <c r="O58" s="5" t="inlineStr"/>
      <c r="P58" s="5" t="inlineStr"/>
      <c r="Q58" s="5" t="inlineStr"/>
      <c r="R58" s="5" t="inlineStr"/>
      <c r="S58" s="5" t="inlineStr"/>
      <c r="T58" s="5" t="inlineStr"/>
      <c r="U58" s="5" t="inlineStr"/>
      <c r="V58" s="5" t="inlineStr">
        <is>
          <t>Low</t>
        </is>
      </c>
      <c r="W58" s="5" t="inlineStr">
        <is>
          <t>Independent retailer; Relevant category</t>
        </is>
      </c>
      <c r="X58" s="5" t="inlineStr">
        <is>
          <t>Not Found</t>
        </is>
      </c>
      <c r="Y58" s="5" t="inlineStr">
        <is>
          <t>Not Found</t>
        </is>
      </c>
      <c r="Z58" s="5" t="inlineStr">
        <is>
          <t>Medium</t>
        </is>
      </c>
      <c r="AA58" s="5" t="inlineStr">
        <is>
          <t>Requires Verification</t>
        </is>
      </c>
      <c r="AB58" s="5" t="inlineStr">
        <is>
          <t>https://hemsworth.ukintouch.com/convenience-store/premier-hemsworth/</t>
        </is>
      </c>
    </row>
    <row r="59">
      <c r="A59" s="10" t="inlineStr">
        <is>
          <t>WY-0135</t>
        </is>
      </c>
      <c r="B59" s="10" t="inlineStr">
        <is>
          <t>WY-0135-01</t>
        </is>
      </c>
      <c r="C59" s="10" t="inlineStr"/>
      <c r="D59" s="10" t="inlineStr">
        <is>
          <t>Premier Wholesale Cash &amp; Carry</t>
        </is>
      </c>
      <c r="E59" s="10" t="inlineStr">
        <is>
          <t>Cash &amp; Carry</t>
        </is>
      </c>
      <c r="F59" s="10" t="inlineStr">
        <is>
          <t>General cash and carry wholesaler</t>
        </is>
      </c>
      <c r="G59" s="10" t="inlineStr">
        <is>
          <t>Independent</t>
        </is>
      </c>
      <c r="H59" s="10" t="inlineStr">
        <is>
          <t>1</t>
        </is>
      </c>
      <c r="I59" s="10" t="inlineStr">
        <is>
          <t>Clough Lane</t>
        </is>
      </c>
      <c r="J59" s="10" t="inlineStr">
        <is>
          <t>Huddersfield</t>
        </is>
      </c>
      <c r="K59" s="10" t="inlineStr">
        <is>
          <t>HD1 4UW</t>
        </is>
      </c>
      <c r="L59" s="10" t="inlineStr"/>
      <c r="M59" s="10" t="inlineStr"/>
      <c r="N59" s="10" t="inlineStr"/>
      <c r="O59" s="10" t="inlineStr"/>
      <c r="P59" s="10" t="inlineStr"/>
      <c r="Q59" s="10" t="inlineStr"/>
      <c r="R59" s="10" t="inlineStr"/>
      <c r="S59" s="10" t="inlineStr"/>
      <c r="T59" s="10" t="inlineStr"/>
      <c r="U59" s="10" t="inlineStr"/>
      <c r="V59" s="10" t="inlineStr">
        <is>
          <t>Medium</t>
        </is>
      </c>
      <c r="W59" s="10" t="inlineStr">
        <is>
          <t>Independent retailer; Core relevant category</t>
        </is>
      </c>
      <c r="X59" s="10" t="inlineStr">
        <is>
          <t>Not Found</t>
        </is>
      </c>
      <c r="Y59" s="10" t="inlineStr">
        <is>
          <t>Not Found</t>
        </is>
      </c>
      <c r="Z59" s="10" t="inlineStr">
        <is>
          <t>Low</t>
        </is>
      </c>
      <c r="AA59" s="10" t="inlineStr">
        <is>
          <t>Requires Verification</t>
        </is>
      </c>
      <c r="AB59" s="10" t="inlineStr">
        <is>
          <t>https://www.yell.com/biz/premier-wholesale-cash-and-carry-huddersfield-943025/</t>
        </is>
      </c>
    </row>
    <row r="60">
      <c r="A60" s="5" t="inlineStr">
        <is>
          <t>WY-0136</t>
        </is>
      </c>
      <c r="B60" s="5" t="inlineStr">
        <is>
          <t>WY-0136-01</t>
        </is>
      </c>
      <c r="C60" s="5" t="inlineStr"/>
      <c r="D60" s="5" t="inlineStr">
        <is>
          <t>Quix Newsagents, Off Licence &amp; Convenience Store</t>
        </is>
      </c>
      <c r="E60" s="5" t="inlineStr">
        <is>
          <t>Convenience Store</t>
        </is>
      </c>
      <c r="F60" s="5" t="inlineStr">
        <is>
          <t>Newsagent, off-licence &amp; convenience store</t>
        </is>
      </c>
      <c r="G60" s="5" t="inlineStr">
        <is>
          <t>Independent</t>
        </is>
      </c>
      <c r="H60" s="5" t="inlineStr">
        <is>
          <t>1</t>
        </is>
      </c>
      <c r="I60" s="5" t="inlineStr"/>
      <c r="J60" s="5" t="inlineStr">
        <is>
          <t>Shipley</t>
        </is>
      </c>
      <c r="K60" s="5" t="inlineStr"/>
      <c r="L60" s="5" t="inlineStr"/>
      <c r="M60" s="5" t="inlineStr"/>
      <c r="N60" s="5" t="inlineStr"/>
      <c r="O60" s="5" t="inlineStr"/>
      <c r="P60" s="5" t="inlineStr"/>
      <c r="Q60" s="5" t="inlineStr"/>
      <c r="R60" s="5" t="inlineStr"/>
      <c r="S60" s="5" t="inlineStr"/>
      <c r="T60" s="5" t="inlineStr"/>
      <c r="U60" s="5" t="inlineStr"/>
      <c r="V60" s="5" t="inlineStr">
        <is>
          <t>Low</t>
        </is>
      </c>
      <c r="W60" s="5" t="inlineStr">
        <is>
          <t>Independent retailer; Relevant category</t>
        </is>
      </c>
      <c r="X60" s="5" t="inlineStr">
        <is>
          <t>Not Found</t>
        </is>
      </c>
      <c r="Y60" s="5" t="inlineStr">
        <is>
          <t>Not Found</t>
        </is>
      </c>
      <c r="Z60" s="5" t="inlineStr">
        <is>
          <t>Low</t>
        </is>
      </c>
      <c r="AA60" s="5" t="inlineStr">
        <is>
          <t>Requires Verification</t>
        </is>
      </c>
      <c r="AB60" s="5" t="inlineStr">
        <is>
          <t>https://www.yorkshire.com/shipley/shopping/corner-shops/quix-newsagents-off-licence-convenience-store</t>
        </is>
      </c>
    </row>
    <row r="61">
      <c r="A61" s="10" t="inlineStr">
        <is>
          <t>WY-0137</t>
        </is>
      </c>
      <c r="B61" s="10" t="inlineStr">
        <is>
          <t>WY-0137-01</t>
        </is>
      </c>
      <c r="C61" s="10" t="inlineStr"/>
      <c r="D61" s="10" t="inlineStr">
        <is>
          <t>Rahien Mini Market</t>
        </is>
      </c>
      <c r="E61" s="10" t="inlineStr">
        <is>
          <t>Convenience Store</t>
        </is>
      </c>
      <c r="F61" s="10" t="inlineStr">
        <is>
          <t>Mini market</t>
        </is>
      </c>
      <c r="G61" s="10" t="inlineStr">
        <is>
          <t>Independent</t>
        </is>
      </c>
      <c r="H61" s="10" t="inlineStr">
        <is>
          <t>1</t>
        </is>
      </c>
      <c r="I61" s="10" t="inlineStr">
        <is>
          <t>Queen's Road</t>
        </is>
      </c>
      <c r="J61" s="10" t="inlineStr">
        <is>
          <t>Leeds</t>
        </is>
      </c>
      <c r="K61" s="10" t="inlineStr"/>
      <c r="L61" s="10" t="inlineStr"/>
      <c r="M61" s="10" t="inlineStr"/>
      <c r="N61" s="10" t="inlineStr"/>
      <c r="O61" s="10" t="inlineStr"/>
      <c r="P61" s="10" t="inlineStr"/>
      <c r="Q61" s="10" t="inlineStr"/>
      <c r="R61" s="10" t="inlineStr"/>
      <c r="S61" s="10" t="inlineStr"/>
      <c r="T61" s="10" t="inlineStr"/>
      <c r="U61" s="10" t="inlineStr"/>
      <c r="V61" s="10" t="inlineStr">
        <is>
          <t>Low</t>
        </is>
      </c>
      <c r="W61" s="10" t="inlineStr">
        <is>
          <t>Independent retailer; Relevant category</t>
        </is>
      </c>
      <c r="X61" s="10" t="inlineStr">
        <is>
          <t>Not Found</t>
        </is>
      </c>
      <c r="Y61" s="10" t="inlineStr">
        <is>
          <t>Not Found</t>
        </is>
      </c>
      <c r="Z61" s="10" t="inlineStr">
        <is>
          <t>Low</t>
        </is>
      </c>
      <c r="AA61" s="10" t="inlineStr">
        <is>
          <t>Requires Verification</t>
        </is>
      </c>
      <c r="AB61" s="10" t="inlineStr">
        <is>
          <t>https://www.yorkshire.com/headingley/shopping/markets/rahien-mini-market</t>
        </is>
      </c>
    </row>
    <row r="62">
      <c r="A62" s="5" t="inlineStr">
        <is>
          <t>WY-0138</t>
        </is>
      </c>
      <c r="B62" s="5" t="inlineStr">
        <is>
          <t>WY-0138-01</t>
        </is>
      </c>
      <c r="C62" s="5" t="inlineStr"/>
      <c r="D62" s="5" t="inlineStr">
        <is>
          <t>Revo Vapes</t>
        </is>
      </c>
      <c r="E62" s="5" t="inlineStr">
        <is>
          <t>Vape Shop</t>
        </is>
      </c>
      <c r="F62" s="5" t="inlineStr"/>
      <c r="G62" s="5" t="inlineStr">
        <is>
          <t>Independent</t>
        </is>
      </c>
      <c r="H62" s="5" t="inlineStr">
        <is>
          <t>1</t>
        </is>
      </c>
      <c r="I62" s="5" t="inlineStr">
        <is>
          <t>Unit 1a, 91 Queen Street</t>
        </is>
      </c>
      <c r="J62" s="5" t="inlineStr">
        <is>
          <t>Morley</t>
        </is>
      </c>
      <c r="K62" s="5" t="inlineStr">
        <is>
          <t>LS27 8DW</t>
        </is>
      </c>
      <c r="L62" s="5" t="inlineStr"/>
      <c r="M62" s="5" t="inlineStr"/>
      <c r="N62" s="5" t="inlineStr"/>
      <c r="O62" s="5" t="inlineStr"/>
      <c r="P62" s="5" t="inlineStr"/>
      <c r="Q62" s="5" t="inlineStr"/>
      <c r="R62" s="5" t="inlineStr"/>
      <c r="S62" s="5" t="inlineStr"/>
      <c r="T62" s="5" t="inlineStr"/>
      <c r="U62" s="5" t="inlineStr"/>
      <c r="V62" s="5" t="inlineStr">
        <is>
          <t>Medium</t>
        </is>
      </c>
      <c r="W62" s="5" t="inlineStr">
        <is>
          <t>Independent retailer; Core relevant category</t>
        </is>
      </c>
      <c r="X62" s="5" t="inlineStr">
        <is>
          <t>Not Found</t>
        </is>
      </c>
      <c r="Y62" s="5" t="inlineStr">
        <is>
          <t>Not Found</t>
        </is>
      </c>
      <c r="Z62" s="5" t="inlineStr">
        <is>
          <t>Low</t>
        </is>
      </c>
      <c r="AA62" s="5" t="inlineStr">
        <is>
          <t>Requires Verification</t>
        </is>
      </c>
      <c r="AB62" s="5" t="inlineStr">
        <is>
          <t>https://revo-vapes.wheree.com/</t>
        </is>
      </c>
    </row>
    <row r="63">
      <c r="A63" s="10" t="inlineStr">
        <is>
          <t>WY-0146</t>
        </is>
      </c>
      <c r="B63" s="10" t="inlineStr">
        <is>
          <t>WY-0146-01</t>
        </is>
      </c>
      <c r="C63" s="10" t="inlineStr"/>
      <c r="D63" s="10" t="inlineStr">
        <is>
          <t>Sheepridge Off Licence</t>
        </is>
      </c>
      <c r="E63" s="10" t="inlineStr">
        <is>
          <t>Off-Licence</t>
        </is>
      </c>
      <c r="F63" s="10" t="inlineStr">
        <is>
          <t>Off-licence and convenience store</t>
        </is>
      </c>
      <c r="G63" s="10" t="inlineStr">
        <is>
          <t>Independent</t>
        </is>
      </c>
      <c r="H63" s="10" t="inlineStr">
        <is>
          <t>1</t>
        </is>
      </c>
      <c r="I63" s="10" t="inlineStr">
        <is>
          <t>73 Lawrence Road</t>
        </is>
      </c>
      <c r="J63" s="10" t="inlineStr">
        <is>
          <t>Huddersfield</t>
        </is>
      </c>
      <c r="K63" s="10" t="inlineStr">
        <is>
          <t>HD1 4LW</t>
        </is>
      </c>
      <c r="L63" s="10" t="inlineStr"/>
      <c r="M63" s="10" t="inlineStr"/>
      <c r="N63" s="10" t="inlineStr"/>
      <c r="O63" s="10" t="inlineStr"/>
      <c r="P63" s="10" t="inlineStr"/>
      <c r="Q63" s="10" t="inlineStr"/>
      <c r="R63" s="10" t="inlineStr"/>
      <c r="S63" s="10" t="inlineStr"/>
      <c r="T63" s="10" t="inlineStr"/>
      <c r="U63" s="10" t="inlineStr"/>
      <c r="V63" s="10" t="inlineStr">
        <is>
          <t>Low</t>
        </is>
      </c>
      <c r="W63" s="10" t="inlineStr">
        <is>
          <t>Independent retailer; Relevant category</t>
        </is>
      </c>
      <c r="X63" s="10" t="inlineStr">
        <is>
          <t>Not Found</t>
        </is>
      </c>
      <c r="Y63" s="10" t="inlineStr">
        <is>
          <t>Not Found</t>
        </is>
      </c>
      <c r="Z63" s="10" t="inlineStr">
        <is>
          <t>Low</t>
        </is>
      </c>
      <c r="AA63" s="10" t="inlineStr">
        <is>
          <t>Requires Verification</t>
        </is>
      </c>
      <c r="AB63" s="10" t="inlineStr">
        <is>
          <t>https://www.192.com/atoz/business/huddersfield-hd1/convenience-stores/sheepridge-off-licence-limited/bfc32af555a5eed742b2bfb4d8a2acd75ab80d62/comp/</t>
        </is>
      </c>
    </row>
    <row r="64">
      <c r="A64" s="5" t="inlineStr">
        <is>
          <t>WY-0147</t>
        </is>
      </c>
      <c r="B64" s="5" t="inlineStr">
        <is>
          <t>WY-0147-01</t>
        </is>
      </c>
      <c r="C64" s="5" t="inlineStr"/>
      <c r="D64" s="5" t="inlineStr">
        <is>
          <t>Shoesmiths Tobacconist</t>
        </is>
      </c>
      <c r="E64" s="5" t="inlineStr">
        <is>
          <t>Tobacco Specialist</t>
        </is>
      </c>
      <c r="F64" s="5" t="inlineStr">
        <is>
          <t>Traditional tobacconist and cigar shop</t>
        </is>
      </c>
      <c r="G64" s="5" t="inlineStr">
        <is>
          <t>Independent</t>
        </is>
      </c>
      <c r="H64" s="5" t="inlineStr">
        <is>
          <t>1</t>
        </is>
      </c>
      <c r="I64" s="5" t="inlineStr">
        <is>
          <t>65 Commercial Street</t>
        </is>
      </c>
      <c r="J64" s="5" t="inlineStr">
        <is>
          <t>Halifax</t>
        </is>
      </c>
      <c r="K64" s="5" t="inlineStr">
        <is>
          <t>HX1 1BE</t>
        </is>
      </c>
      <c r="L64" s="5" t="inlineStr"/>
      <c r="M64" s="5" t="inlineStr"/>
      <c r="N64" s="5" t="inlineStr"/>
      <c r="O64" s="5" t="inlineStr"/>
      <c r="P64" s="5" t="inlineStr">
        <is>
          <t>https://www.facebook.com/shoesmiths/</t>
        </is>
      </c>
      <c r="Q64" s="5" t="inlineStr"/>
      <c r="R64" s="5" t="inlineStr"/>
      <c r="S64" s="5" t="inlineStr"/>
      <c r="T64" s="5" t="inlineStr"/>
      <c r="U64" s="5" t="inlineStr"/>
      <c r="V64" s="5" t="inlineStr">
        <is>
          <t>Medium</t>
        </is>
      </c>
      <c r="W64" s="5" t="inlineStr">
        <is>
          <t>Independent retailer; Core relevant category; Social presence</t>
        </is>
      </c>
      <c r="X64" s="5" t="inlineStr">
        <is>
          <t>Not Found</t>
        </is>
      </c>
      <c r="Y64" s="5" t="inlineStr">
        <is>
          <t>Not Found</t>
        </is>
      </c>
      <c r="Z64" s="5" t="inlineStr">
        <is>
          <t>Medium</t>
        </is>
      </c>
      <c r="AA64" s="5" t="inlineStr">
        <is>
          <t>Requires Verification</t>
        </is>
      </c>
      <c r="AB64" s="5" t="inlineStr">
        <is>
          <t>https://www.facebook.com/shoesmiths/</t>
        </is>
      </c>
    </row>
    <row r="65">
      <c r="A65" s="10" t="inlineStr">
        <is>
          <t>WY-0149</t>
        </is>
      </c>
      <c r="B65" s="10" t="inlineStr">
        <is>
          <t>WY-0149-01</t>
        </is>
      </c>
      <c r="C65" s="10" t="inlineStr"/>
      <c r="D65" s="10" t="inlineStr">
        <is>
          <t>Smokers D'Lite</t>
        </is>
      </c>
      <c r="E65" s="10" t="inlineStr">
        <is>
          <t>Vape Shop</t>
        </is>
      </c>
      <c r="F65" s="10" t="inlineStr">
        <is>
          <t>Vape and smoking accessories</t>
        </is>
      </c>
      <c r="G65" s="10" t="inlineStr">
        <is>
          <t>Independent</t>
        </is>
      </c>
      <c r="H65" s="10" t="inlineStr">
        <is>
          <t>1</t>
        </is>
      </c>
      <c r="I65" s="10" t="inlineStr">
        <is>
          <t>20 Thorntons Arcade</t>
        </is>
      </c>
      <c r="J65" s="10" t="inlineStr">
        <is>
          <t>Leeds</t>
        </is>
      </c>
      <c r="K65" s="10" t="inlineStr">
        <is>
          <t>LS1 6LQ</t>
        </is>
      </c>
      <c r="L65" s="10" t="inlineStr"/>
      <c r="M65" s="10" t="inlineStr"/>
      <c r="N65" s="10" t="inlineStr"/>
      <c r="O65" s="10" t="inlineStr"/>
      <c r="P65" s="10" t="inlineStr"/>
      <c r="Q65" s="10" t="inlineStr"/>
      <c r="R65" s="10" t="inlineStr"/>
      <c r="S65" s="10" t="inlineStr"/>
      <c r="T65" s="10" t="inlineStr"/>
      <c r="U65" s="10" t="inlineStr"/>
      <c r="V65" s="10" t="inlineStr">
        <is>
          <t>Medium</t>
        </is>
      </c>
      <c r="W65" s="10" t="inlineStr">
        <is>
          <t>Independent retailer; Core relevant category</t>
        </is>
      </c>
      <c r="X65" s="10" t="inlineStr">
        <is>
          <t>Not Found</t>
        </is>
      </c>
      <c r="Y65" s="10" t="inlineStr">
        <is>
          <t>Not Found</t>
        </is>
      </c>
      <c r="Z65" s="10" t="inlineStr">
        <is>
          <t>Low</t>
        </is>
      </c>
      <c r="AA65" s="10" t="inlineStr">
        <is>
          <t>Requires Verification</t>
        </is>
      </c>
      <c r="AB65" s="10" t="inlineStr">
        <is>
          <t>https://ecigdirectory.co.uk/vape-shop-leeds/</t>
        </is>
      </c>
    </row>
    <row r="66">
      <c r="A66" s="5" t="inlineStr">
        <is>
          <t>WY-0151</t>
        </is>
      </c>
      <c r="B66" s="5" t="inlineStr">
        <is>
          <t>WY-0151-01</t>
        </is>
      </c>
      <c r="C66" s="5" t="inlineStr"/>
      <c r="D66" s="5" t="inlineStr">
        <is>
          <t>Soothill Convenience Store &amp; Off Licence</t>
        </is>
      </c>
      <c r="E66" s="5" t="inlineStr">
        <is>
          <t>Convenience Store</t>
        </is>
      </c>
      <c r="F66" s="5" t="inlineStr">
        <is>
          <t>Convenience store and off-licence</t>
        </is>
      </c>
      <c r="G66" s="5" t="inlineStr">
        <is>
          <t>Independent</t>
        </is>
      </c>
      <c r="H66" s="5" t="inlineStr">
        <is>
          <t>1</t>
        </is>
      </c>
      <c r="I66" s="5" t="inlineStr"/>
      <c r="J66" s="5" t="inlineStr">
        <is>
          <t>Batley</t>
        </is>
      </c>
      <c r="K66" s="5" t="inlineStr"/>
      <c r="L66" s="5" t="inlineStr"/>
      <c r="M66" s="5" t="inlineStr"/>
      <c r="N66" s="5" t="inlineStr"/>
      <c r="O66" s="5" t="inlineStr"/>
      <c r="P66" s="5" t="inlineStr"/>
      <c r="Q66" s="5" t="inlineStr"/>
      <c r="R66" s="5" t="inlineStr"/>
      <c r="S66" s="5" t="inlineStr"/>
      <c r="T66" s="5" t="inlineStr">
        <is>
          <t>11966163</t>
        </is>
      </c>
      <c r="U66" s="5" t="inlineStr"/>
      <c r="V66" s="5" t="inlineStr">
        <is>
          <t>Low</t>
        </is>
      </c>
      <c r="W66" s="5" t="inlineStr">
        <is>
          <t>Independent retailer; Relevant category</t>
        </is>
      </c>
      <c r="X66" s="5" t="inlineStr">
        <is>
          <t>Not Found</t>
        </is>
      </c>
      <c r="Y66" s="5" t="inlineStr">
        <is>
          <t>Not Found</t>
        </is>
      </c>
      <c r="Z66" s="5" t="inlineStr">
        <is>
          <t>Low</t>
        </is>
      </c>
      <c r="AA66" s="5" t="inlineStr">
        <is>
          <t>Requires Verification</t>
        </is>
      </c>
      <c r="AB66" s="5" t="inlineStr">
        <is>
          <t>https://find-and-update.company-information.service.gov.uk/company/11966163/persons-with-significant-control</t>
        </is>
      </c>
    </row>
    <row r="67">
      <c r="A67" s="10" t="inlineStr">
        <is>
          <t>WY-0153</t>
        </is>
      </c>
      <c r="B67" s="10" t="inlineStr">
        <is>
          <t>WY-0153-01</t>
        </is>
      </c>
      <c r="C67" s="10" t="inlineStr"/>
      <c r="D67" s="10" t="inlineStr">
        <is>
          <t>Stainbeck Off Licence (Best-one)</t>
        </is>
      </c>
      <c r="E67" s="10" t="inlineStr">
        <is>
          <t>Off-Licence</t>
        </is>
      </c>
      <c r="F67" s="10" t="inlineStr">
        <is>
          <t>Off-licence and convenience store under Best-one symbol</t>
        </is>
      </c>
      <c r="G67" s="10" t="inlineStr">
        <is>
          <t>Franchise / Symbol Group</t>
        </is>
      </c>
      <c r="H67" s="10" t="inlineStr">
        <is>
          <t>1</t>
        </is>
      </c>
      <c r="I67" s="10" t="inlineStr"/>
      <c r="J67" s="10" t="inlineStr">
        <is>
          <t>Leeds</t>
        </is>
      </c>
      <c r="K67" s="10" t="inlineStr"/>
      <c r="L67" s="10" t="inlineStr"/>
      <c r="M67" s="10" t="inlineStr"/>
      <c r="N67" s="10" t="inlineStr"/>
      <c r="O67" s="10" t="inlineStr"/>
      <c r="P67" s="10" t="inlineStr"/>
      <c r="Q67" s="10" t="inlineStr"/>
      <c r="R67" s="10" t="inlineStr"/>
      <c r="S67" s="10" t="inlineStr"/>
      <c r="T67" s="10" t="inlineStr"/>
      <c r="U67" s="10" t="inlineStr"/>
      <c r="V67" s="10" t="inlineStr">
        <is>
          <t>Low</t>
        </is>
      </c>
      <c r="W67" s="10" t="inlineStr">
        <is>
          <t>Independent retailer; Relevant category</t>
        </is>
      </c>
      <c r="X67" s="10" t="inlineStr">
        <is>
          <t>Not Found</t>
        </is>
      </c>
      <c r="Y67" s="10" t="inlineStr">
        <is>
          <t>Not Found</t>
        </is>
      </c>
      <c r="Z67" s="10" t="inlineStr">
        <is>
          <t>Low</t>
        </is>
      </c>
      <c r="AA67" s="10" t="inlineStr">
        <is>
          <t>Requires Verification</t>
        </is>
      </c>
      <c r="AB67" s="10" t="inlineStr">
        <is>
          <t>https://www.yorkshire.com/chapel-allerton/shopping/off-license</t>
        </is>
      </c>
    </row>
    <row r="68">
      <c r="A68" s="5" t="inlineStr">
        <is>
          <t>WY-0154</t>
        </is>
      </c>
      <c r="B68" s="5" t="inlineStr">
        <is>
          <t>WY-0154-01</t>
        </is>
      </c>
      <c r="C68" s="5" t="inlineStr"/>
      <c r="D68" s="5" t="inlineStr">
        <is>
          <t>Star Express Off-Licence &amp; Convenience Store</t>
        </is>
      </c>
      <c r="E68" s="5" t="inlineStr">
        <is>
          <t>Off-Licence</t>
        </is>
      </c>
      <c r="F68" s="5" t="inlineStr">
        <is>
          <t>Off-licence and convenience store</t>
        </is>
      </c>
      <c r="G68" s="5" t="inlineStr">
        <is>
          <t>Independent</t>
        </is>
      </c>
      <c r="H68" s="5" t="inlineStr">
        <is>
          <t>1</t>
        </is>
      </c>
      <c r="I68" s="5" t="inlineStr">
        <is>
          <t>Norfolk Avenue</t>
        </is>
      </c>
      <c r="J68" s="5" t="inlineStr">
        <is>
          <t>Huddersfield</t>
        </is>
      </c>
      <c r="K68" s="5" t="inlineStr"/>
      <c r="L68" s="5" t="inlineStr"/>
      <c r="M68" s="5" t="inlineStr"/>
      <c r="N68" s="5" t="inlineStr"/>
      <c r="O68" s="5" t="inlineStr"/>
      <c r="P68" s="5" t="inlineStr"/>
      <c r="Q68" s="5" t="inlineStr"/>
      <c r="R68" s="5" t="inlineStr"/>
      <c r="S68" s="5" t="inlineStr"/>
      <c r="T68" s="5" t="inlineStr"/>
      <c r="U68" s="5" t="inlineStr"/>
      <c r="V68" s="5" t="inlineStr">
        <is>
          <t>Low</t>
        </is>
      </c>
      <c r="W68" s="5" t="inlineStr">
        <is>
          <t>Independent retailer; Relevant category</t>
        </is>
      </c>
      <c r="X68" s="5" t="inlineStr">
        <is>
          <t>Not Found</t>
        </is>
      </c>
      <c r="Y68" s="5" t="inlineStr">
        <is>
          <t>Not Found</t>
        </is>
      </c>
      <c r="Z68" s="5" t="inlineStr">
        <is>
          <t>Low</t>
        </is>
      </c>
      <c r="AA68" s="5" t="inlineStr">
        <is>
          <t>Requires Verification</t>
        </is>
      </c>
      <c r="AB68" s="5" t="inlineStr">
        <is>
          <t>https://www.yorkshire.com/huddersfield/shopping/off-license/star-express-off-licence-convenience-store</t>
        </is>
      </c>
    </row>
    <row r="69">
      <c r="A69" s="10" t="inlineStr">
        <is>
          <t>WY-0155</t>
        </is>
      </c>
      <c r="B69" s="10" t="inlineStr">
        <is>
          <t>WY-0155-01</t>
        </is>
      </c>
      <c r="C69" s="10" t="inlineStr"/>
      <c r="D69" s="10" t="inlineStr">
        <is>
          <t>Stringers Service Station</t>
        </is>
      </c>
      <c r="E69" s="10" t="inlineStr">
        <is>
          <t>Petrol Station / Forecourt</t>
        </is>
      </c>
      <c r="F69" s="10" t="inlineStr">
        <is>
          <t>Independent forecourt (Murco fuel) with shop</t>
        </is>
      </c>
      <c r="G69" s="10" t="inlineStr">
        <is>
          <t>Independent</t>
        </is>
      </c>
      <c r="H69" s="10" t="inlineStr">
        <is>
          <t>1</t>
        </is>
      </c>
      <c r="I69" s="10" t="inlineStr">
        <is>
          <t>102 Southgate</t>
        </is>
      </c>
      <c r="J69" s="10" t="inlineStr">
        <is>
          <t>Pontefract</t>
        </is>
      </c>
      <c r="K69" s="10" t="inlineStr">
        <is>
          <t>WF8 1PN</t>
        </is>
      </c>
      <c r="L69" s="10" t="inlineStr"/>
      <c r="M69" s="10" t="inlineStr"/>
      <c r="N69" s="10" t="inlineStr"/>
      <c r="O69" s="10" t="inlineStr"/>
      <c r="P69" s="10" t="inlineStr"/>
      <c r="Q69" s="10" t="inlineStr"/>
      <c r="R69" s="10" t="inlineStr"/>
      <c r="S69" s="10" t="inlineStr"/>
      <c r="T69" s="10" t="inlineStr"/>
      <c r="U69" s="10" t="inlineStr"/>
      <c r="V69" s="10" t="inlineStr">
        <is>
          <t>Low</t>
        </is>
      </c>
      <c r="W69" s="10" t="inlineStr">
        <is>
          <t>Independent retailer; Relevant category</t>
        </is>
      </c>
      <c r="X69" s="10" t="inlineStr">
        <is>
          <t>Not Found</t>
        </is>
      </c>
      <c r="Y69" s="10" t="inlineStr">
        <is>
          <t>Not Found</t>
        </is>
      </c>
      <c r="Z69" s="10" t="inlineStr">
        <is>
          <t>Medium</t>
        </is>
      </c>
      <c r="AA69" s="10" t="inlineStr">
        <is>
          <t>Requires Verification</t>
        </is>
      </c>
      <c r="AB69" s="10" t="inlineStr">
        <is>
          <t>https://www.petrolprices.com/locations/pontefract/grove-road/6837</t>
        </is>
      </c>
    </row>
    <row r="70">
      <c r="A70" s="5" t="inlineStr">
        <is>
          <t>WY-0159</t>
        </is>
      </c>
      <c r="B70" s="5" t="inlineStr">
        <is>
          <t>WY-0159-01</t>
        </is>
      </c>
      <c r="C70" s="5" t="inlineStr"/>
      <c r="D70" s="5" t="inlineStr">
        <is>
          <t>The Local: Elland</t>
        </is>
      </c>
      <c r="E70" s="5" t="inlineStr">
        <is>
          <t>Off-Licence</t>
        </is>
      </c>
      <c r="F70" s="5" t="inlineStr">
        <is>
          <t>Off-licence and everyday essentials</t>
        </is>
      </c>
      <c r="G70" s="5" t="inlineStr">
        <is>
          <t>Unknown</t>
        </is>
      </c>
      <c r="H70" s="5" t="inlineStr">
        <is>
          <t>1</t>
        </is>
      </c>
      <c r="I70" s="5" t="inlineStr">
        <is>
          <t>160 Westgate</t>
        </is>
      </c>
      <c r="J70" s="5" t="inlineStr">
        <is>
          <t>Elland</t>
        </is>
      </c>
      <c r="K70" s="5" t="inlineStr">
        <is>
          <t>HX5 0BB</t>
        </is>
      </c>
      <c r="L70" s="5" t="inlineStr"/>
      <c r="M70" s="5" t="inlineStr"/>
      <c r="N70" s="5" t="inlineStr"/>
      <c r="O70" s="5" t="inlineStr"/>
      <c r="P70" s="5" t="inlineStr"/>
      <c r="Q70" s="5" t="inlineStr"/>
      <c r="R70" s="5" t="inlineStr"/>
      <c r="S70" s="5" t="inlineStr"/>
      <c r="T70" s="5" t="inlineStr"/>
      <c r="U70" s="5" t="inlineStr"/>
      <c r="V70" s="5" t="inlineStr">
        <is>
          <t>Low</t>
        </is>
      </c>
      <c r="W70" s="5" t="inlineStr">
        <is>
          <t>Relevant category</t>
        </is>
      </c>
      <c r="X70" s="5" t="inlineStr">
        <is>
          <t>Not Found</t>
        </is>
      </c>
      <c r="Y70" s="5" t="inlineStr">
        <is>
          <t>Not Found</t>
        </is>
      </c>
      <c r="Z70" s="5" t="inlineStr">
        <is>
          <t>Medium</t>
        </is>
      </c>
      <c r="AA70" s="5" t="inlineStr">
        <is>
          <t>Requires Verification</t>
        </is>
      </c>
      <c r="AB70" s="5" t="inlineStr">
        <is>
          <t>https://www.yorkshire.com/elland/shopping/off-license</t>
        </is>
      </c>
    </row>
    <row r="71">
      <c r="A71" s="10" t="inlineStr">
        <is>
          <t>WY-0162</t>
        </is>
      </c>
      <c r="B71" s="10" t="inlineStr">
        <is>
          <t>WY-0162-01</t>
        </is>
      </c>
      <c r="C71" s="10" t="inlineStr"/>
      <c r="D71" s="10" t="inlineStr">
        <is>
          <t>The Vape Shop Wakefield</t>
        </is>
      </c>
      <c r="E71" s="10" t="inlineStr">
        <is>
          <t>Vape Shop</t>
        </is>
      </c>
      <c r="F71" s="10" t="inlineStr">
        <is>
          <t>E-cigarettes and e-liquids (American and British ranges)</t>
        </is>
      </c>
      <c r="G71" s="10" t="inlineStr">
        <is>
          <t>Independent</t>
        </is>
      </c>
      <c r="H71" s="10" t="inlineStr">
        <is>
          <t>1</t>
        </is>
      </c>
      <c r="I71" s="10" t="inlineStr">
        <is>
          <t>Horbury Road</t>
        </is>
      </c>
      <c r="J71" s="10" t="inlineStr">
        <is>
          <t>Wakefield</t>
        </is>
      </c>
      <c r="K71" s="10" t="inlineStr"/>
      <c r="L71" s="10" t="inlineStr"/>
      <c r="M71" s="10" t="inlineStr"/>
      <c r="N71" s="10" t="inlineStr"/>
      <c r="O71" s="10" t="inlineStr"/>
      <c r="P71" s="10" t="inlineStr">
        <is>
          <t>https://www.facebook.com/vapeshopwakefield.uk/</t>
        </is>
      </c>
      <c r="Q71" s="10" t="inlineStr"/>
      <c r="R71" s="10" t="inlineStr"/>
      <c r="S71" s="10" t="inlineStr"/>
      <c r="T71" s="10" t="inlineStr"/>
      <c r="U71" s="10" t="inlineStr"/>
      <c r="V71" s="10" t="inlineStr">
        <is>
          <t>Medium</t>
        </is>
      </c>
      <c r="W71" s="10" t="inlineStr">
        <is>
          <t>Independent retailer; Core relevant category; Social presence</t>
        </is>
      </c>
      <c r="X71" s="10" t="inlineStr">
        <is>
          <t>Not Found</t>
        </is>
      </c>
      <c r="Y71" s="10" t="inlineStr">
        <is>
          <t>Not Found</t>
        </is>
      </c>
      <c r="Z71" s="10" t="inlineStr">
        <is>
          <t>Low</t>
        </is>
      </c>
      <c r="AA71" s="10" t="inlineStr">
        <is>
          <t>Requires Verification</t>
        </is>
      </c>
      <c r="AB71" s="10" t="inlineStr">
        <is>
          <t>https://www.facebook.com/vapeshopwakefield.uk/</t>
        </is>
      </c>
    </row>
    <row r="72">
      <c r="A72" s="5" t="inlineStr">
        <is>
          <t>WY-0163</t>
        </is>
      </c>
      <c r="B72" s="5" t="inlineStr">
        <is>
          <t>WY-0163-01</t>
        </is>
      </c>
      <c r="C72" s="5" t="inlineStr"/>
      <c r="D72" s="5" t="inlineStr">
        <is>
          <t>The Vintage Vapour Co</t>
        </is>
      </c>
      <c r="E72" s="5" t="inlineStr">
        <is>
          <t>Vape Shop</t>
        </is>
      </c>
      <c r="F72" s="5" t="inlineStr">
        <is>
          <t>Vape retailer</t>
        </is>
      </c>
      <c r="G72" s="5" t="inlineStr">
        <is>
          <t>Independent</t>
        </is>
      </c>
      <c r="H72" s="5" t="inlineStr">
        <is>
          <t>1</t>
        </is>
      </c>
      <c r="I72" s="5" t="inlineStr">
        <is>
          <t>12 Town End</t>
        </is>
      </c>
      <c r="J72" s="5" t="inlineStr">
        <is>
          <t>Ossett</t>
        </is>
      </c>
      <c r="K72" s="5" t="inlineStr">
        <is>
          <t>WF5 8BJ</t>
        </is>
      </c>
      <c r="L72" s="5" t="inlineStr"/>
      <c r="M72" s="5" t="inlineStr"/>
      <c r="N72" s="5" t="inlineStr"/>
      <c r="O72" s="5" t="inlineStr"/>
      <c r="P72" s="5" t="inlineStr"/>
      <c r="Q72" s="5" t="inlineStr"/>
      <c r="R72" s="5" t="inlineStr"/>
      <c r="S72" s="5" t="inlineStr"/>
      <c r="T72" s="5" t="inlineStr"/>
      <c r="U72" s="5" t="inlineStr"/>
      <c r="V72" s="5" t="inlineStr">
        <is>
          <t>Medium</t>
        </is>
      </c>
      <c r="W72" s="5" t="inlineStr">
        <is>
          <t>Independent retailer; Core relevant category</t>
        </is>
      </c>
      <c r="X72" s="5" t="inlineStr">
        <is>
          <t>Not Found</t>
        </is>
      </c>
      <c r="Y72" s="5" t="inlineStr">
        <is>
          <t>Not Found</t>
        </is>
      </c>
      <c r="Z72" s="5" t="inlineStr">
        <is>
          <t>Low</t>
        </is>
      </c>
      <c r="AA72" s="5" t="inlineStr">
        <is>
          <t>Requires Verification</t>
        </is>
      </c>
      <c r="AB72" s="5" t="inlineStr">
        <is>
          <t>https://vapegeezer.co.uk/vape-shop-directory/locations/west-yorkshire/</t>
        </is>
      </c>
    </row>
    <row r="73">
      <c r="A73" s="10" t="inlineStr">
        <is>
          <t>WY-0166</t>
        </is>
      </c>
      <c r="B73" s="10" t="inlineStr">
        <is>
          <t>WY-0166-01</t>
        </is>
      </c>
      <c r="C73" s="10" t="inlineStr"/>
      <c r="D73" s="10" t="inlineStr">
        <is>
          <t>Told Vape Co</t>
        </is>
      </c>
      <c r="E73" s="10" t="inlineStr">
        <is>
          <t>Vape Shop</t>
        </is>
      </c>
      <c r="F73" s="10" t="inlineStr">
        <is>
          <t>Vape retailer</t>
        </is>
      </c>
      <c r="G73" s="10" t="inlineStr">
        <is>
          <t>Independent</t>
        </is>
      </c>
      <c r="H73" s="10" t="inlineStr">
        <is>
          <t>1</t>
        </is>
      </c>
      <c r="I73" s="10" t="inlineStr">
        <is>
          <t>29 Queen Street</t>
        </is>
      </c>
      <c r="J73" s="10" t="inlineStr">
        <is>
          <t>Horbury</t>
        </is>
      </c>
      <c r="K73" s="10" t="inlineStr">
        <is>
          <t>WF4 6LP</t>
        </is>
      </c>
      <c r="L73" s="10" t="inlineStr"/>
      <c r="M73" s="10" t="inlineStr"/>
      <c r="N73" s="10" t="inlineStr"/>
      <c r="O73" s="10" t="inlineStr"/>
      <c r="P73" s="10" t="inlineStr"/>
      <c r="Q73" s="10" t="inlineStr"/>
      <c r="R73" s="10" t="inlineStr"/>
      <c r="S73" s="10" t="inlineStr"/>
      <c r="T73" s="10" t="inlineStr"/>
      <c r="U73" s="10" t="inlineStr"/>
      <c r="V73" s="10" t="inlineStr">
        <is>
          <t>Medium</t>
        </is>
      </c>
      <c r="W73" s="10" t="inlineStr">
        <is>
          <t>Independent retailer; Core relevant category</t>
        </is>
      </c>
      <c r="X73" s="10" t="inlineStr">
        <is>
          <t>Not Found</t>
        </is>
      </c>
      <c r="Y73" s="10" t="inlineStr">
        <is>
          <t>Not Found</t>
        </is>
      </c>
      <c r="Z73" s="10" t="inlineStr">
        <is>
          <t>Medium</t>
        </is>
      </c>
      <c r="AA73" s="10" t="inlineStr">
        <is>
          <t>Requires Verification</t>
        </is>
      </c>
      <c r="AB73" s="10" t="inlineStr">
        <is>
          <t>https://ecigdirectory.co.uk/vape-shop/listing/told-vape-co</t>
        </is>
      </c>
    </row>
    <row r="74">
      <c r="A74" s="5" t="inlineStr">
        <is>
          <t>WY-0167</t>
        </is>
      </c>
      <c r="B74" s="5" t="inlineStr">
        <is>
          <t>WY-0167-01</t>
        </is>
      </c>
      <c r="C74" s="5" t="inlineStr"/>
      <c r="D74" s="5" t="inlineStr">
        <is>
          <t>Top Shelf Off Licence</t>
        </is>
      </c>
      <c r="E74" s="5" t="inlineStr">
        <is>
          <t>Off-Licence</t>
        </is>
      </c>
      <c r="F74" s="5" t="inlineStr">
        <is>
          <t>Off-licence</t>
        </is>
      </c>
      <c r="G74" s="5" t="inlineStr">
        <is>
          <t>Independent</t>
        </is>
      </c>
      <c r="H74" s="5" t="inlineStr">
        <is>
          <t>1</t>
        </is>
      </c>
      <c r="I74" s="5" t="inlineStr">
        <is>
          <t>557 Leeds Road</t>
        </is>
      </c>
      <c r="J74" s="5" t="inlineStr">
        <is>
          <t>Wakefield</t>
        </is>
      </c>
      <c r="K74" s="5" t="inlineStr">
        <is>
          <t>WF1 2JL</t>
        </is>
      </c>
      <c r="L74" s="5" t="inlineStr"/>
      <c r="M74" s="5" t="inlineStr"/>
      <c r="N74" s="5" t="inlineStr"/>
      <c r="O74" s="5" t="inlineStr"/>
      <c r="P74" s="5" t="inlineStr"/>
      <c r="Q74" s="5" t="inlineStr"/>
      <c r="R74" s="5" t="inlineStr"/>
      <c r="S74" s="5" t="inlineStr"/>
      <c r="T74" s="5" t="inlineStr"/>
      <c r="U74" s="5" t="inlineStr"/>
      <c r="V74" s="5" t="inlineStr">
        <is>
          <t>Low</t>
        </is>
      </c>
      <c r="W74" s="5" t="inlineStr">
        <is>
          <t>Independent retailer; Relevant category</t>
        </is>
      </c>
      <c r="X74" s="5" t="inlineStr">
        <is>
          <t>Not Found</t>
        </is>
      </c>
      <c r="Y74" s="5" t="inlineStr">
        <is>
          <t>Not Found</t>
        </is>
      </c>
      <c r="Z74" s="5" t="inlineStr">
        <is>
          <t>Low</t>
        </is>
      </c>
      <c r="AA74" s="5" t="inlineStr">
        <is>
          <t>Requires Verification</t>
        </is>
      </c>
      <c r="AB74" s="5" t="inlineStr">
        <is>
          <t>https://www.foodhygienerankings.co.uk/authorities/wakefield</t>
        </is>
      </c>
    </row>
    <row r="75">
      <c r="A75" s="10" t="inlineStr">
        <is>
          <t>WY-0168</t>
        </is>
      </c>
      <c r="B75" s="10" t="inlineStr">
        <is>
          <t>WY-0168-01</t>
        </is>
      </c>
      <c r="C75" s="10" t="inlineStr"/>
      <c r="D75" s="10" t="inlineStr">
        <is>
          <t>Turners Food &amp; Wine</t>
        </is>
      </c>
      <c r="E75" s="10" t="inlineStr">
        <is>
          <t>Convenience Store</t>
        </is>
      </c>
      <c r="F75" s="10" t="inlineStr">
        <is>
          <t>Convenience store with off-licence</t>
        </is>
      </c>
      <c r="G75" s="10" t="inlineStr">
        <is>
          <t>Independent</t>
        </is>
      </c>
      <c r="H75" s="10" t="inlineStr">
        <is>
          <t>1</t>
        </is>
      </c>
      <c r="I75" s="10" t="inlineStr"/>
      <c r="J75" s="10" t="inlineStr">
        <is>
          <t>Leeds</t>
        </is>
      </c>
      <c r="K75" s="10" t="inlineStr"/>
      <c r="L75" s="10" t="inlineStr"/>
      <c r="M75" s="10" t="inlineStr"/>
      <c r="N75" s="10" t="inlineStr"/>
      <c r="O75" s="10" t="inlineStr"/>
      <c r="P75" s="10" t="inlineStr"/>
      <c r="Q75" s="10" t="inlineStr"/>
      <c r="R75" s="10" t="inlineStr"/>
      <c r="S75" s="10" t="inlineStr"/>
      <c r="T75" s="10" t="inlineStr"/>
      <c r="U75" s="10" t="inlineStr"/>
      <c r="V75" s="10" t="inlineStr">
        <is>
          <t>Low</t>
        </is>
      </c>
      <c r="W75" s="10" t="inlineStr">
        <is>
          <t>Independent retailer; Relevant category</t>
        </is>
      </c>
      <c r="X75" s="10" t="inlineStr">
        <is>
          <t>Not Found</t>
        </is>
      </c>
      <c r="Y75" s="10" t="inlineStr">
        <is>
          <t>Not Found</t>
        </is>
      </c>
      <c r="Z75" s="10" t="inlineStr">
        <is>
          <t>Low</t>
        </is>
      </c>
      <c r="AA75" s="10" t="inlineStr">
        <is>
          <t>Requires Verification</t>
        </is>
      </c>
      <c r="AB75" s="10" t="inlineStr">
        <is>
          <t>https://www.yorkshire.com/leeds/shopping/off-license</t>
        </is>
      </c>
    </row>
    <row r="76">
      <c r="A76" s="5" t="inlineStr">
        <is>
          <t>WY-0169</t>
        </is>
      </c>
      <c r="B76" s="5" t="inlineStr">
        <is>
          <t>WY-0169-01</t>
        </is>
      </c>
      <c r="C76" s="5" t="inlineStr"/>
      <c r="D76" s="5" t="inlineStr">
        <is>
          <t>Tylor's Booze</t>
        </is>
      </c>
      <c r="E76" s="5" t="inlineStr">
        <is>
          <t>Off-Licence</t>
        </is>
      </c>
      <c r="F76" s="5" t="inlineStr">
        <is>
          <t>Off-licence</t>
        </is>
      </c>
      <c r="G76" s="5" t="inlineStr">
        <is>
          <t>Independent</t>
        </is>
      </c>
      <c r="H76" s="5" t="inlineStr">
        <is>
          <t>1</t>
        </is>
      </c>
      <c r="I76" s="5" t="inlineStr">
        <is>
          <t>33 Albion Street</t>
        </is>
      </c>
      <c r="J76" s="5" t="inlineStr">
        <is>
          <t>Castleford</t>
        </is>
      </c>
      <c r="K76" s="5" t="inlineStr">
        <is>
          <t>WF10 1EG</t>
        </is>
      </c>
      <c r="L76" s="5" t="inlineStr"/>
      <c r="M76" s="5" t="inlineStr"/>
      <c r="N76" s="5" t="inlineStr"/>
      <c r="O76" s="5" t="inlineStr"/>
      <c r="P76" s="5" t="inlineStr"/>
      <c r="Q76" s="5" t="inlineStr"/>
      <c r="R76" s="5" t="inlineStr"/>
      <c r="S76" s="5" t="inlineStr"/>
      <c r="T76" s="5" t="inlineStr">
        <is>
          <t>12100725</t>
        </is>
      </c>
      <c r="U76" s="5" t="inlineStr">
        <is>
          <t>Active</t>
        </is>
      </c>
      <c r="V76" s="5" t="inlineStr">
        <is>
          <t>Low</t>
        </is>
      </c>
      <c r="W76" s="5" t="inlineStr">
        <is>
          <t>Independent retailer; Relevant category</t>
        </is>
      </c>
      <c r="X76" s="5" t="inlineStr">
        <is>
          <t>Not Found</t>
        </is>
      </c>
      <c r="Y76" s="5" t="inlineStr">
        <is>
          <t>Not Found</t>
        </is>
      </c>
      <c r="Z76" s="5" t="inlineStr">
        <is>
          <t>Medium</t>
        </is>
      </c>
      <c r="AA76" s="5" t="inlineStr">
        <is>
          <t>Partially Verified</t>
        </is>
      </c>
      <c r="AB76" s="5" t="inlineStr">
        <is>
          <t>https://find-and-update.company-information.service.gov.uk/company/12100725</t>
        </is>
      </c>
    </row>
    <row r="77">
      <c r="A77" s="10" t="inlineStr">
        <is>
          <t>WY-0170</t>
        </is>
      </c>
      <c r="B77" s="10" t="inlineStr">
        <is>
          <t>WY-0170-01</t>
        </is>
      </c>
      <c r="C77" s="10" t="inlineStr"/>
      <c r="D77" s="10" t="inlineStr">
        <is>
          <t>Umrah Supermarket</t>
        </is>
      </c>
      <c r="E77" s="10" t="inlineStr">
        <is>
          <t>Independent Supermarket</t>
        </is>
      </c>
      <c r="F77" s="10" t="inlineStr">
        <is>
          <t>South Asian, Middle Eastern and African foods supermarket</t>
        </is>
      </c>
      <c r="G77" s="10" t="inlineStr">
        <is>
          <t>Independent</t>
        </is>
      </c>
      <c r="H77" s="10" t="inlineStr">
        <is>
          <t>1</t>
        </is>
      </c>
      <c r="I77" s="10" t="inlineStr">
        <is>
          <t>Trinity Street</t>
        </is>
      </c>
      <c r="J77" s="10" t="inlineStr">
        <is>
          <t>Huddersfield</t>
        </is>
      </c>
      <c r="K77" s="10" t="inlineStr"/>
      <c r="L77" s="10" t="inlineStr"/>
      <c r="M77" s="10" t="inlineStr"/>
      <c r="N77" s="10" t="inlineStr"/>
      <c r="O77" s="10" t="inlineStr"/>
      <c r="P77" s="10" t="inlineStr">
        <is>
          <t>https://www.facebook.com/p/Umrah-Supermarket-Huddersfield-61555683256072/</t>
        </is>
      </c>
      <c r="Q77" s="10" t="inlineStr"/>
      <c r="R77" s="10" t="inlineStr"/>
      <c r="S77" s="10" t="inlineStr"/>
      <c r="T77" s="10" t="inlineStr"/>
      <c r="U77" s="10" t="inlineStr"/>
      <c r="V77" s="10" t="inlineStr">
        <is>
          <t>Medium</t>
        </is>
      </c>
      <c r="W77" s="10" t="inlineStr">
        <is>
          <t>Independent retailer; Relevant category; Social presence</t>
        </is>
      </c>
      <c r="X77" s="10" t="inlineStr">
        <is>
          <t>Not Found</t>
        </is>
      </c>
      <c r="Y77" s="10" t="inlineStr">
        <is>
          <t>Not Found</t>
        </is>
      </c>
      <c r="Z77" s="10" t="inlineStr">
        <is>
          <t>Low</t>
        </is>
      </c>
      <c r="AA77" s="10" t="inlineStr">
        <is>
          <t>Requires Verification</t>
        </is>
      </c>
      <c r="AB77" s="10" t="inlineStr">
        <is>
          <t>https://www.facebook.com/p/Umrah-Supermarket-Huddersfield-61555683256072/</t>
        </is>
      </c>
    </row>
    <row r="78">
      <c r="A78" s="5" t="inlineStr">
        <is>
          <t>WY-0172</t>
        </is>
      </c>
      <c r="B78" s="5" t="inlineStr">
        <is>
          <t>WY-0172-01</t>
        </is>
      </c>
      <c r="C78" s="5" t="inlineStr"/>
      <c r="D78" s="5" t="inlineStr">
        <is>
          <t>Vape Dream</t>
        </is>
      </c>
      <c r="E78" s="5" t="inlineStr">
        <is>
          <t>Vape Shop</t>
        </is>
      </c>
      <c r="F78" s="5" t="inlineStr">
        <is>
          <t>Vape retailer</t>
        </is>
      </c>
      <c r="G78" s="5" t="inlineStr">
        <is>
          <t>Independent</t>
        </is>
      </c>
      <c r="H78" s="5" t="inlineStr">
        <is>
          <t>1</t>
        </is>
      </c>
      <c r="I78" s="5" t="inlineStr"/>
      <c r="J78" s="5" t="inlineStr">
        <is>
          <t>Dewsbury</t>
        </is>
      </c>
      <c r="K78" s="5" t="inlineStr"/>
      <c r="L78" s="5" t="inlineStr"/>
      <c r="M78" s="5" t="inlineStr"/>
      <c r="N78" s="5" t="inlineStr"/>
      <c r="O78" s="5" t="inlineStr"/>
      <c r="P78" s="5" t="inlineStr">
        <is>
          <t>https://www.facebook.com/p/Vape-Dream-Vape-Shop-61558567906935/</t>
        </is>
      </c>
      <c r="Q78" s="5" t="inlineStr"/>
      <c r="R78" s="5" t="inlineStr"/>
      <c r="S78" s="5" t="inlineStr"/>
      <c r="T78" s="5" t="inlineStr"/>
      <c r="U78" s="5" t="inlineStr"/>
      <c r="V78" s="5" t="inlineStr">
        <is>
          <t>Medium</t>
        </is>
      </c>
      <c r="W78" s="5" t="inlineStr">
        <is>
          <t>Independent retailer; Core relevant category; Social presence</t>
        </is>
      </c>
      <c r="X78" s="5" t="inlineStr">
        <is>
          <t>Not Found</t>
        </is>
      </c>
      <c r="Y78" s="5" t="inlineStr">
        <is>
          <t>Not Found</t>
        </is>
      </c>
      <c r="Z78" s="5" t="inlineStr">
        <is>
          <t>Low</t>
        </is>
      </c>
      <c r="AA78" s="5" t="inlineStr">
        <is>
          <t>Requires Verification</t>
        </is>
      </c>
      <c r="AB78" s="5" t="inlineStr">
        <is>
          <t>https://www.facebook.com/p/Vape-Dream-Vape-Shop-61558567906935/</t>
        </is>
      </c>
    </row>
    <row r="79">
      <c r="A79" s="10" t="inlineStr">
        <is>
          <t>WY-0173</t>
        </is>
      </c>
      <c r="B79" s="10" t="inlineStr">
        <is>
          <t>WY-0173-01</t>
        </is>
      </c>
      <c r="C79" s="10" t="inlineStr"/>
      <c r="D79" s="10" t="inlineStr">
        <is>
          <t>Vape N Go</t>
        </is>
      </c>
      <c r="E79" s="10" t="inlineStr">
        <is>
          <t>Vape Shop</t>
        </is>
      </c>
      <c r="F79" s="10" t="inlineStr"/>
      <c r="G79" s="10" t="inlineStr">
        <is>
          <t>Independent</t>
        </is>
      </c>
      <c r="H79" s="10" t="inlineStr">
        <is>
          <t>1</t>
        </is>
      </c>
      <c r="I79" s="10" t="inlineStr">
        <is>
          <t>14 The Square</t>
        </is>
      </c>
      <c r="J79" s="10" t="inlineStr">
        <is>
          <t>Halifax</t>
        </is>
      </c>
      <c r="K79" s="10" t="inlineStr">
        <is>
          <t>HX1 1RU</t>
        </is>
      </c>
      <c r="L79" s="10" t="inlineStr"/>
      <c r="M79" s="10" t="inlineStr"/>
      <c r="N79" s="10" t="inlineStr"/>
      <c r="O79" s="10" t="inlineStr"/>
      <c r="P79" s="10" t="inlineStr"/>
      <c r="Q79" s="10" t="inlineStr"/>
      <c r="R79" s="10" t="inlineStr"/>
      <c r="S79" s="10" t="inlineStr"/>
      <c r="T79" s="10" t="inlineStr"/>
      <c r="U79" s="10" t="inlineStr"/>
      <c r="V79" s="10" t="inlineStr">
        <is>
          <t>Medium</t>
        </is>
      </c>
      <c r="W79" s="10" t="inlineStr">
        <is>
          <t>Independent retailer; Core relevant category</t>
        </is>
      </c>
      <c r="X79" s="10" t="inlineStr">
        <is>
          <t>Not Found</t>
        </is>
      </c>
      <c r="Y79" s="10" t="inlineStr">
        <is>
          <t>Not Found</t>
        </is>
      </c>
      <c r="Z79" s="10" t="inlineStr">
        <is>
          <t>Low</t>
        </is>
      </c>
      <c r="AA79" s="10" t="inlineStr">
        <is>
          <t>Requires Verification</t>
        </is>
      </c>
      <c r="AB79" s="10" t="inlineStr">
        <is>
          <t>https://www.yell.com/s/tobacconists-halifax.html</t>
        </is>
      </c>
    </row>
    <row r="80">
      <c r="A80" s="5" t="inlineStr">
        <is>
          <t>WY-0176</t>
        </is>
      </c>
      <c r="B80" s="5" t="inlineStr">
        <is>
          <t>WY-0176-01</t>
        </is>
      </c>
      <c r="C80" s="5" t="inlineStr"/>
      <c r="D80" s="5" t="inlineStr">
        <is>
          <t>Vape Road Cleckheaton</t>
        </is>
      </c>
      <c r="E80" s="5" t="inlineStr">
        <is>
          <t>Vape Shop</t>
        </is>
      </c>
      <c r="F80" s="5" t="inlineStr">
        <is>
          <t>Vape retailer</t>
        </is>
      </c>
      <c r="G80" s="5" t="inlineStr">
        <is>
          <t>Independent</t>
        </is>
      </c>
      <c r="H80" s="5" t="inlineStr">
        <is>
          <t>1</t>
        </is>
      </c>
      <c r="I80" s="5" t="inlineStr">
        <is>
          <t>Railway Street</t>
        </is>
      </c>
      <c r="J80" s="5" t="inlineStr">
        <is>
          <t>Cleckheaton</t>
        </is>
      </c>
      <c r="K80" s="5" t="inlineStr"/>
      <c r="L80" s="5" t="inlineStr"/>
      <c r="M80" s="5" t="inlineStr"/>
      <c r="N80" s="5" t="inlineStr"/>
      <c r="O80" s="5" t="inlineStr"/>
      <c r="P80" s="5" t="inlineStr"/>
      <c r="Q80" s="5" t="inlineStr"/>
      <c r="R80" s="5" t="inlineStr"/>
      <c r="S80" s="5" t="inlineStr"/>
      <c r="T80" s="5" t="inlineStr"/>
      <c r="U80" s="5" t="inlineStr"/>
      <c r="V80" s="5" t="inlineStr">
        <is>
          <t>Medium</t>
        </is>
      </c>
      <c r="W80" s="5" t="inlineStr">
        <is>
          <t>Independent retailer; Core relevant category</t>
        </is>
      </c>
      <c r="X80" s="5" t="inlineStr">
        <is>
          <t>Not Found</t>
        </is>
      </c>
      <c r="Y80" s="5" t="inlineStr">
        <is>
          <t>Not Found</t>
        </is>
      </c>
      <c r="Z80" s="5" t="inlineStr">
        <is>
          <t>Low</t>
        </is>
      </c>
      <c r="AA80" s="5" t="inlineStr">
        <is>
          <t>Requires Verification</t>
        </is>
      </c>
      <c r="AB80" s="5" t="inlineStr">
        <is>
          <t>https://cleckheaton.cylex-uk.co.uk/company/vape-road-cleckheaton-26986187.html</t>
        </is>
      </c>
    </row>
    <row r="81">
      <c r="A81" s="10" t="inlineStr">
        <is>
          <t>WY-0178</t>
        </is>
      </c>
      <c r="B81" s="10" t="inlineStr">
        <is>
          <t>WY-0178-01</t>
        </is>
      </c>
      <c r="C81" s="10" t="inlineStr"/>
      <c r="D81" s="10" t="inlineStr">
        <is>
          <t>Vape and Wine Village</t>
        </is>
      </c>
      <c r="E81" s="10" t="inlineStr">
        <is>
          <t>Off-Licence</t>
        </is>
      </c>
      <c r="F81" s="10" t="inlineStr">
        <is>
          <t>Off-licence and vape shop</t>
        </is>
      </c>
      <c r="G81" s="10" t="inlineStr">
        <is>
          <t>Independent</t>
        </is>
      </c>
      <c r="H81" s="10" t="inlineStr">
        <is>
          <t>1</t>
        </is>
      </c>
      <c r="I81" s="10" t="inlineStr">
        <is>
          <t>13-15 Hyde Park Road</t>
        </is>
      </c>
      <c r="J81" s="10" t="inlineStr">
        <is>
          <t>Leeds</t>
        </is>
      </c>
      <c r="K81" s="10" t="inlineStr">
        <is>
          <t>LS6 1PY</t>
        </is>
      </c>
      <c r="L81" s="10" t="inlineStr"/>
      <c r="M81" s="10" t="inlineStr"/>
      <c r="N81" s="10" t="inlineStr"/>
      <c r="O81" s="10" t="inlineStr"/>
      <c r="P81" s="10" t="inlineStr"/>
      <c r="Q81" s="10" t="inlineStr"/>
      <c r="R81" s="10" t="inlineStr"/>
      <c r="S81" s="10" t="inlineStr"/>
      <c r="T81" s="10" t="inlineStr"/>
      <c r="U81" s="10" t="inlineStr"/>
      <c r="V81" s="10" t="inlineStr">
        <is>
          <t>Low</t>
        </is>
      </c>
      <c r="W81" s="10" t="inlineStr">
        <is>
          <t>Independent retailer; Relevant category</t>
        </is>
      </c>
      <c r="X81" s="10" t="inlineStr">
        <is>
          <t>Not Found</t>
        </is>
      </c>
      <c r="Y81" s="10" t="inlineStr">
        <is>
          <t>Not Found</t>
        </is>
      </c>
      <c r="Z81" s="10" t="inlineStr">
        <is>
          <t>Low</t>
        </is>
      </c>
      <c r="AA81" s="10" t="inlineStr">
        <is>
          <t>Requires Verification</t>
        </is>
      </c>
      <c r="AB81" s="10" t="inlineStr">
        <is>
          <t>https://www.yorkshire.com/leeds/shopping/off-license</t>
        </is>
      </c>
    </row>
    <row r="82">
      <c r="A82" s="5" t="inlineStr">
        <is>
          <t>WY-0179</t>
        </is>
      </c>
      <c r="B82" s="5" t="inlineStr">
        <is>
          <t>WY-0179-01</t>
        </is>
      </c>
      <c r="C82" s="5" t="inlineStr"/>
      <c r="D82" s="5" t="inlineStr">
        <is>
          <t>VapeShop Leeds</t>
        </is>
      </c>
      <c r="E82" s="5" t="inlineStr">
        <is>
          <t>Vape Shop</t>
        </is>
      </c>
      <c r="F82" s="5" t="inlineStr">
        <is>
          <t>E-cigarette specialist</t>
        </is>
      </c>
      <c r="G82" s="5" t="inlineStr">
        <is>
          <t>Independent</t>
        </is>
      </c>
      <c r="H82" s="5" t="inlineStr">
        <is>
          <t>1</t>
        </is>
      </c>
      <c r="I82" s="5" t="inlineStr">
        <is>
          <t>229 Selby Road</t>
        </is>
      </c>
      <c r="J82" s="5" t="inlineStr">
        <is>
          <t>Leeds</t>
        </is>
      </c>
      <c r="K82" s="5" t="inlineStr">
        <is>
          <t>LS15 7HW</t>
        </is>
      </c>
      <c r="L82" s="5" t="inlineStr"/>
      <c r="M82" s="5" t="inlineStr"/>
      <c r="N82" s="5" t="inlineStr"/>
      <c r="O82" s="5" t="inlineStr"/>
      <c r="P82" s="5" t="inlineStr"/>
      <c r="Q82" s="5" t="inlineStr"/>
      <c r="R82" s="5" t="inlineStr"/>
      <c r="S82" s="5" t="inlineStr"/>
      <c r="T82" s="5" t="inlineStr"/>
      <c r="U82" s="5" t="inlineStr"/>
      <c r="V82" s="5" t="inlineStr">
        <is>
          <t>Medium</t>
        </is>
      </c>
      <c r="W82" s="5" t="inlineStr">
        <is>
          <t>Independent retailer; Core relevant category</t>
        </is>
      </c>
      <c r="X82" s="5" t="inlineStr">
        <is>
          <t>Not Found</t>
        </is>
      </c>
      <c r="Y82" s="5" t="inlineStr">
        <is>
          <t>Not Found</t>
        </is>
      </c>
      <c r="Z82" s="5" t="inlineStr">
        <is>
          <t>Low</t>
        </is>
      </c>
      <c r="AA82" s="5" t="inlineStr">
        <is>
          <t>Requires Verification</t>
        </is>
      </c>
      <c r="AB82" s="5" t="inlineStr">
        <is>
          <t>https://ecigdirectory.co.uk/vape-shop/listing/vapeshop-leeds</t>
        </is>
      </c>
    </row>
    <row r="83">
      <c r="A83" s="10" t="inlineStr">
        <is>
          <t>WY-0182</t>
        </is>
      </c>
      <c r="B83" s="10" t="inlineStr">
        <is>
          <t>WY-0182-01</t>
        </is>
      </c>
      <c r="C83" s="10" t="inlineStr"/>
      <c r="D83" s="10" t="inlineStr">
        <is>
          <t>Vaping Bar Normanton</t>
        </is>
      </c>
      <c r="E83" s="10" t="inlineStr">
        <is>
          <t>Vape Shop</t>
        </is>
      </c>
      <c r="F83" s="10" t="inlineStr">
        <is>
          <t>Vape retailer</t>
        </is>
      </c>
      <c r="G83" s="10" t="inlineStr">
        <is>
          <t>Independent</t>
        </is>
      </c>
      <c r="H83" s="10" t="inlineStr">
        <is>
          <t>1</t>
        </is>
      </c>
      <c r="I83" s="10" t="inlineStr"/>
      <c r="J83" s="10" t="inlineStr">
        <is>
          <t>Normanton</t>
        </is>
      </c>
      <c r="K83" s="10" t="inlineStr"/>
      <c r="L83" s="10" t="inlineStr"/>
      <c r="M83" s="10" t="inlineStr"/>
      <c r="N83" s="10" t="inlineStr"/>
      <c r="O83" s="10" t="inlineStr"/>
      <c r="P83" s="10" t="inlineStr">
        <is>
          <t>https://www.facebook.com/p/Vaping-Bar-Normanton-100063635944918/</t>
        </is>
      </c>
      <c r="Q83" s="10" t="inlineStr"/>
      <c r="R83" s="10" t="inlineStr"/>
      <c r="S83" s="10" t="inlineStr"/>
      <c r="T83" s="10" t="inlineStr"/>
      <c r="U83" s="10" t="inlineStr"/>
      <c r="V83" s="10" t="inlineStr">
        <is>
          <t>Medium</t>
        </is>
      </c>
      <c r="W83" s="10" t="inlineStr">
        <is>
          <t>Independent retailer; Core relevant category; Social presence</t>
        </is>
      </c>
      <c r="X83" s="10" t="inlineStr">
        <is>
          <t>Not Found</t>
        </is>
      </c>
      <c r="Y83" s="10" t="inlineStr">
        <is>
          <t>Not Found</t>
        </is>
      </c>
      <c r="Z83" s="10" t="inlineStr">
        <is>
          <t>Low</t>
        </is>
      </c>
      <c r="AA83" s="10" t="inlineStr">
        <is>
          <t>Requires Verification</t>
        </is>
      </c>
      <c r="AB83" s="10" t="inlineStr">
        <is>
          <t>https://www.facebook.com/p/Vaping-Bar-Normanton-100063635944918/</t>
        </is>
      </c>
    </row>
    <row r="84">
      <c r="A84" s="5" t="inlineStr">
        <is>
          <t>WY-0184</t>
        </is>
      </c>
      <c r="B84" s="5" t="inlineStr">
        <is>
          <t>WY-0184-01</t>
        </is>
      </c>
      <c r="C84" s="5" t="inlineStr"/>
      <c r="D84" s="5" t="inlineStr">
        <is>
          <t>Vapour Parlour</t>
        </is>
      </c>
      <c r="E84" s="5" t="inlineStr">
        <is>
          <t>Vape Shop</t>
        </is>
      </c>
      <c r="F84" s="5" t="inlineStr">
        <is>
          <t>Vape retailer</t>
        </is>
      </c>
      <c r="G84" s="5" t="inlineStr">
        <is>
          <t>Independent</t>
        </is>
      </c>
      <c r="H84" s="5" t="inlineStr">
        <is>
          <t>1</t>
        </is>
      </c>
      <c r="I84" s="5" t="inlineStr">
        <is>
          <t>83 Kirkby Road</t>
        </is>
      </c>
      <c r="J84" s="5" t="inlineStr">
        <is>
          <t>Hemsworth</t>
        </is>
      </c>
      <c r="K84" s="5" t="inlineStr"/>
      <c r="L84" s="5" t="inlineStr"/>
      <c r="M84" s="5" t="inlineStr"/>
      <c r="N84" s="5" t="inlineStr"/>
      <c r="O84" s="5" t="inlineStr"/>
      <c r="P84" s="5" t="inlineStr"/>
      <c r="Q84" s="5" t="inlineStr"/>
      <c r="R84" s="5" t="inlineStr"/>
      <c r="S84" s="5" t="inlineStr"/>
      <c r="T84" s="5" t="inlineStr"/>
      <c r="U84" s="5" t="inlineStr"/>
      <c r="V84" s="5" t="inlineStr">
        <is>
          <t>Medium</t>
        </is>
      </c>
      <c r="W84" s="5" t="inlineStr">
        <is>
          <t>Independent retailer; Core relevant category</t>
        </is>
      </c>
      <c r="X84" s="5" t="inlineStr">
        <is>
          <t>Not Found</t>
        </is>
      </c>
      <c r="Y84" s="5" t="inlineStr">
        <is>
          <t>Not Found</t>
        </is>
      </c>
      <c r="Z84" s="5" t="inlineStr">
        <is>
          <t>Low</t>
        </is>
      </c>
      <c r="AA84" s="5" t="inlineStr">
        <is>
          <t>Requires Verification</t>
        </is>
      </c>
      <c r="AB84" s="5" t="inlineStr">
        <is>
          <t>https://ecigdirectory.co.uk/vape-shop/listing/vapour-parlour</t>
        </is>
      </c>
    </row>
    <row r="85">
      <c r="A85" s="10" t="inlineStr">
        <is>
          <t>WY-0185</t>
        </is>
      </c>
      <c r="B85" s="10" t="inlineStr">
        <is>
          <t>WY-0185-01</t>
        </is>
      </c>
      <c r="C85" s="10" t="inlineStr"/>
      <c r="D85" s="10" t="inlineStr">
        <is>
          <t>Wakefield Road Service Station (Featherstone)</t>
        </is>
      </c>
      <c r="E85" s="10" t="inlineStr">
        <is>
          <t>Petrol Station / Forecourt</t>
        </is>
      </c>
      <c r="F85" s="10" t="inlineStr">
        <is>
          <t>Forecourt with convenience store</t>
        </is>
      </c>
      <c r="G85" s="10" t="inlineStr">
        <is>
          <t>Multi-Site Independent</t>
        </is>
      </c>
      <c r="H85" s="10" t="inlineStr">
        <is>
          <t>3</t>
        </is>
      </c>
      <c r="I85" s="10" t="inlineStr">
        <is>
          <t>Wakefield Road</t>
        </is>
      </c>
      <c r="J85" s="10" t="inlineStr">
        <is>
          <t>Featherstone</t>
        </is>
      </c>
      <c r="K85" s="10" t="inlineStr"/>
      <c r="L85" s="10" t="inlineStr"/>
      <c r="M85" s="10" t="inlineStr"/>
      <c r="N85" s="10" t="inlineStr"/>
      <c r="O85" s="10" t="inlineStr"/>
      <c r="P85" s="10" t="inlineStr"/>
      <c r="Q85" s="10" t="inlineStr"/>
      <c r="R85" s="10" t="inlineStr">
        <is>
          <t>Saqib Javaid; Zeeshan Ali</t>
        </is>
      </c>
      <c r="S85" s="10" t="inlineStr">
        <is>
          <t>Owners / Operators</t>
        </is>
      </c>
      <c r="T85" s="10" t="inlineStr"/>
      <c r="U85" s="10" t="inlineStr"/>
      <c r="V85" s="10" t="inlineStr">
        <is>
          <t>Medium</t>
        </is>
      </c>
      <c r="W85" s="10" t="inlineStr">
        <is>
          <t>Multi-site retailer; Independent retailer; Relevant category</t>
        </is>
      </c>
      <c r="X85" s="10" t="inlineStr">
        <is>
          <t>Not Found</t>
        </is>
      </c>
      <c r="Y85" s="10" t="inlineStr">
        <is>
          <t>Not Found</t>
        </is>
      </c>
      <c r="Z85" s="10" t="inlineStr">
        <is>
          <t>Low</t>
        </is>
      </c>
      <c r="AA85" s="10" t="inlineStr">
        <is>
          <t>Requires Verification</t>
        </is>
      </c>
      <c r="AB85" s="10" t="inlineStr">
        <is>
          <t>https://forecourttrader.co.uk/latest-news/forecourt-operator-duo-add-wakefield-road-service-station-to-portfolio/708047.article</t>
        </is>
      </c>
    </row>
    <row r="86">
      <c r="A86" s="5" t="inlineStr">
        <is>
          <t>WY-0186</t>
        </is>
      </c>
      <c r="B86" s="5" t="inlineStr">
        <is>
          <t>WY-0186-01</t>
        </is>
      </c>
      <c r="C86" s="5" t="inlineStr"/>
      <c r="D86" s="5" t="inlineStr">
        <is>
          <t>Wayward Wines</t>
        </is>
      </c>
      <c r="E86" s="5" t="inlineStr">
        <is>
          <t>Off-Licence</t>
        </is>
      </c>
      <c r="F86" s="5" t="inlineStr">
        <is>
          <t>Natural / organic wine shop</t>
        </is>
      </c>
      <c r="G86" s="5" t="inlineStr">
        <is>
          <t>Independent</t>
        </is>
      </c>
      <c r="H86" s="5" t="inlineStr">
        <is>
          <t>1</t>
        </is>
      </c>
      <c r="I86" s="5" t="inlineStr">
        <is>
          <t>1C Regent Street</t>
        </is>
      </c>
      <c r="J86" s="5" t="inlineStr">
        <is>
          <t>Leeds</t>
        </is>
      </c>
      <c r="K86" s="5" t="inlineStr">
        <is>
          <t>LS7 4PE</t>
        </is>
      </c>
      <c r="L86" s="5" t="inlineStr"/>
      <c r="M86" s="5" t="inlineStr"/>
      <c r="N86" s="5" t="inlineStr"/>
      <c r="O86" s="5" t="inlineStr"/>
      <c r="P86" s="5" t="inlineStr"/>
      <c r="Q86" s="5" t="inlineStr"/>
      <c r="R86" s="5" t="inlineStr"/>
      <c r="S86" s="5" t="inlineStr"/>
      <c r="T86" s="5" t="inlineStr"/>
      <c r="U86" s="5" t="inlineStr"/>
      <c r="V86" s="5" t="inlineStr">
        <is>
          <t>Low</t>
        </is>
      </c>
      <c r="W86" s="5" t="inlineStr">
        <is>
          <t>Independent retailer; Relevant category</t>
        </is>
      </c>
      <c r="X86" s="5" t="inlineStr">
        <is>
          <t>Not Found</t>
        </is>
      </c>
      <c r="Y86" s="5" t="inlineStr">
        <is>
          <t>Not Found</t>
        </is>
      </c>
      <c r="Z86" s="5" t="inlineStr">
        <is>
          <t>Medium</t>
        </is>
      </c>
      <c r="AA86" s="5" t="inlineStr">
        <is>
          <t>Requires Verification</t>
        </is>
      </c>
      <c r="AB86" s="5" t="inlineStr">
        <is>
          <t>https://confidentials.com/leeds/six-of-the-best-bottle-shops</t>
        </is>
      </c>
    </row>
    <row r="87">
      <c r="A87" s="10" t="inlineStr">
        <is>
          <t>WY-0187</t>
        </is>
      </c>
      <c r="B87" s="10" t="inlineStr">
        <is>
          <t>WY-0187-01</t>
        </is>
      </c>
      <c r="C87" s="10" t="inlineStr"/>
      <c r="D87" s="10" t="inlineStr">
        <is>
          <t>West End Off Licence</t>
        </is>
      </c>
      <c r="E87" s="10" t="inlineStr">
        <is>
          <t>Off-Licence</t>
        </is>
      </c>
      <c r="F87" s="10" t="inlineStr"/>
      <c r="G87" s="10" t="inlineStr">
        <is>
          <t>Independent</t>
        </is>
      </c>
      <c r="H87" s="10" t="inlineStr">
        <is>
          <t>1</t>
        </is>
      </c>
      <c r="I87" s="10" t="inlineStr">
        <is>
          <t>2 Mile Cross Terrace</t>
        </is>
      </c>
      <c r="J87" s="10" t="inlineStr">
        <is>
          <t>Halifax</t>
        </is>
      </c>
      <c r="K87" s="10" t="inlineStr">
        <is>
          <t>HX1 4HP</t>
        </is>
      </c>
      <c r="L87" s="10" t="inlineStr"/>
      <c r="M87" s="10" t="inlineStr"/>
      <c r="N87" s="10" t="inlineStr"/>
      <c r="O87" s="10" t="inlineStr"/>
      <c r="P87" s="10" t="inlineStr"/>
      <c r="Q87" s="10" t="inlineStr"/>
      <c r="R87" s="10" t="inlineStr"/>
      <c r="S87" s="10" t="inlineStr"/>
      <c r="T87" s="10" t="inlineStr"/>
      <c r="U87" s="10" t="inlineStr"/>
      <c r="V87" s="10" t="inlineStr">
        <is>
          <t>Low</t>
        </is>
      </c>
      <c r="W87" s="10" t="inlineStr">
        <is>
          <t>Independent retailer; Relevant category</t>
        </is>
      </c>
      <c r="X87" s="10" t="inlineStr">
        <is>
          <t>Not Found</t>
        </is>
      </c>
      <c r="Y87" s="10" t="inlineStr">
        <is>
          <t>Not Found</t>
        </is>
      </c>
      <c r="Z87" s="10" t="inlineStr">
        <is>
          <t>Medium</t>
        </is>
      </c>
      <c r="AA87" s="10" t="inlineStr">
        <is>
          <t>Requires Verification</t>
        </is>
      </c>
      <c r="AB87" s="10" t="inlineStr">
        <is>
          <t>https://www.yelp.co.uk/biz/westend-off-licence-rickys-halifax</t>
        </is>
      </c>
    </row>
    <row r="88">
      <c r="A88" s="5" t="inlineStr">
        <is>
          <t>WY-0190</t>
        </is>
      </c>
      <c r="B88" s="5" t="inlineStr">
        <is>
          <t>WY-0190-01</t>
        </is>
      </c>
      <c r="C88" s="5" t="inlineStr"/>
      <c r="D88" s="5" t="inlineStr">
        <is>
          <t>Yorkshire Fuels (Green Lane Service Station)</t>
        </is>
      </c>
      <c r="E88" s="5" t="inlineStr">
        <is>
          <t>Petrol Station / Forecourt</t>
        </is>
      </c>
      <c r="F88" s="5" t="inlineStr">
        <is>
          <t>24-hour forecourt with convenience store</t>
        </is>
      </c>
      <c r="G88" s="5" t="inlineStr">
        <is>
          <t>Independent</t>
        </is>
      </c>
      <c r="H88" s="5" t="inlineStr">
        <is>
          <t>1</t>
        </is>
      </c>
      <c r="I88" s="5" t="inlineStr">
        <is>
          <t>Green Lane</t>
        </is>
      </c>
      <c r="J88" s="5" t="inlineStr">
        <is>
          <t>Yeadon</t>
        </is>
      </c>
      <c r="K88" s="5" t="inlineStr">
        <is>
          <t>LS19 7BU</t>
        </is>
      </c>
      <c r="L88" s="5" t="inlineStr"/>
      <c r="M88" s="5" t="inlineStr"/>
      <c r="N88" s="5" t="inlineStr"/>
      <c r="O88" s="5" t="inlineStr"/>
      <c r="P88" s="5" t="inlineStr"/>
      <c r="Q88" s="5" t="inlineStr"/>
      <c r="R88" s="5" t="inlineStr"/>
      <c r="S88" s="5" t="inlineStr"/>
      <c r="T88" s="5" t="inlineStr">
        <is>
          <t>14479452</t>
        </is>
      </c>
      <c r="U88" s="5" t="inlineStr">
        <is>
          <t>Active</t>
        </is>
      </c>
      <c r="V88" s="5" t="inlineStr">
        <is>
          <t>Low</t>
        </is>
      </c>
      <c r="W88" s="5" t="inlineStr">
        <is>
          <t>Independent retailer; Relevant category</t>
        </is>
      </c>
      <c r="X88" s="5" t="inlineStr">
        <is>
          <t>Not Found</t>
        </is>
      </c>
      <c r="Y88" s="5" t="inlineStr">
        <is>
          <t>Not Found</t>
        </is>
      </c>
      <c r="Z88" s="5" t="inlineStr">
        <is>
          <t>Medium</t>
        </is>
      </c>
      <c r="AA88" s="5" t="inlineStr">
        <is>
          <t>Partially Verified</t>
        </is>
      </c>
      <c r="AB88" s="5" t="inlineStr">
        <is>
          <t>https://find-and-update.company-information.service.gov.uk/company/14479452</t>
        </is>
      </c>
    </row>
    <row r="89">
      <c r="A89" s="10" t="inlineStr">
        <is>
          <t>WY-0192</t>
        </is>
      </c>
      <c r="B89" s="10" t="inlineStr">
        <is>
          <t>WY-0192-01</t>
        </is>
      </c>
      <c r="C89" s="10" t="inlineStr"/>
      <c r="D89" s="10" t="inlineStr">
        <is>
          <t>eVape Outlet</t>
        </is>
      </c>
      <c r="E89" s="10" t="inlineStr">
        <is>
          <t>Vape Shop</t>
        </is>
      </c>
      <c r="F89" s="10" t="inlineStr">
        <is>
          <t>Vape shop</t>
        </is>
      </c>
      <c r="G89" s="10" t="inlineStr">
        <is>
          <t>Independent</t>
        </is>
      </c>
      <c r="H89" s="10" t="inlineStr">
        <is>
          <t>1</t>
        </is>
      </c>
      <c r="I89" s="10" t="inlineStr"/>
      <c r="J89" s="10" t="inlineStr">
        <is>
          <t>Keighley</t>
        </is>
      </c>
      <c r="K89" s="10" t="inlineStr"/>
      <c r="L89" s="10" t="inlineStr"/>
      <c r="M89" s="10" t="inlineStr"/>
      <c r="N89" s="10" t="inlineStr"/>
      <c r="O89" s="10" t="inlineStr"/>
      <c r="P89" s="10" t="inlineStr"/>
      <c r="Q89" s="10" t="inlineStr"/>
      <c r="R89" s="10" t="inlineStr"/>
      <c r="S89" s="10" t="inlineStr"/>
      <c r="T89" s="10" t="inlineStr"/>
      <c r="U89" s="10" t="inlineStr"/>
      <c r="V89" s="10" t="inlineStr">
        <is>
          <t>Medium</t>
        </is>
      </c>
      <c r="W89" s="10" t="inlineStr">
        <is>
          <t>Independent retailer; Core relevant category</t>
        </is>
      </c>
      <c r="X89" s="10" t="inlineStr">
        <is>
          <t>Not Found</t>
        </is>
      </c>
      <c r="Y89" s="10" t="inlineStr">
        <is>
          <t>Not Found</t>
        </is>
      </c>
      <c r="Z89" s="10" t="inlineStr">
        <is>
          <t>Low</t>
        </is>
      </c>
      <c r="AA89" s="10" t="inlineStr">
        <is>
          <t>Requires Verification</t>
        </is>
      </c>
      <c r="AB89" s="10" t="inlineStr">
        <is>
          <t>https://keighley.cylex-uk.co.uk/company/evape-outlet-27656791.html</t>
        </is>
      </c>
    </row>
    <row r="90">
      <c r="A90" s="5" t="inlineStr">
        <is>
          <t>WY-0193</t>
        </is>
      </c>
      <c r="B90" s="5" t="inlineStr">
        <is>
          <t>WY-0193-01</t>
        </is>
      </c>
      <c r="C90" s="5" t="inlineStr"/>
      <c r="D90" s="5" t="inlineStr">
        <is>
          <t>iVape Lounge</t>
        </is>
      </c>
      <c r="E90" s="5" t="inlineStr">
        <is>
          <t>Vape Shop</t>
        </is>
      </c>
      <c r="F90" s="5" t="inlineStr"/>
      <c r="G90" s="5" t="inlineStr">
        <is>
          <t>Independent</t>
        </is>
      </c>
      <c r="H90" s="5" t="inlineStr">
        <is>
          <t>1</t>
        </is>
      </c>
      <c r="I90" s="5" t="inlineStr">
        <is>
          <t>53 Halifax Road</t>
        </is>
      </c>
      <c r="J90" s="5" t="inlineStr">
        <is>
          <t>Todmorden</t>
        </is>
      </c>
      <c r="K90" s="5" t="inlineStr">
        <is>
          <t>OL14 5BB</t>
        </is>
      </c>
      <c r="L90" s="5" t="inlineStr"/>
      <c r="M90" s="5" t="inlineStr"/>
      <c r="N90" s="5" t="inlineStr"/>
      <c r="O90" s="5" t="inlineStr"/>
      <c r="P90" s="5" t="inlineStr"/>
      <c r="Q90" s="5" t="inlineStr"/>
      <c r="R90" s="5" t="inlineStr"/>
      <c r="S90" s="5" t="inlineStr"/>
      <c r="T90" s="5" t="inlineStr"/>
      <c r="U90" s="5" t="inlineStr"/>
      <c r="V90" s="5" t="inlineStr">
        <is>
          <t>Medium</t>
        </is>
      </c>
      <c r="W90" s="5" t="inlineStr">
        <is>
          <t>Independent retailer; Core relevant category</t>
        </is>
      </c>
      <c r="X90" s="5" t="inlineStr">
        <is>
          <t>Not Found</t>
        </is>
      </c>
      <c r="Y90" s="5" t="inlineStr">
        <is>
          <t>Not Found</t>
        </is>
      </c>
      <c r="Z90" s="5" t="inlineStr">
        <is>
          <t>Low</t>
        </is>
      </c>
      <c r="AA90" s="5" t="inlineStr">
        <is>
          <t>Requires Verification</t>
        </is>
      </c>
      <c r="AB90" s="5" t="inlineStr">
        <is>
          <t>https://ivape-lounge-todmorden-vape-shop.wheree.com/</t>
        </is>
      </c>
    </row>
  </sheetData>
  <autoFilter ref="A1:AB9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B4"/>
  <sheetViews>
    <sheetView workbookViewId="0">
      <pane ySplit="1" topLeftCell="A2" activePane="bottomLeft" state="frozen"/>
      <selection pane="bottomLeft" activeCell="A1" sqref="A1"/>
    </sheetView>
  </sheetViews>
  <sheetFormatPr baseColWidth="8" defaultRowHeight="15"/>
  <cols>
    <col width="11" customWidth="1" min="1" max="1"/>
    <col width="15" customWidth="1" min="2" max="2"/>
    <col width="16" customWidth="1" min="3" max="3"/>
    <col width="45" customWidth="1" min="4" max="4"/>
    <col width="25" customWidth="1" min="5" max="5"/>
    <col width="45" customWidth="1" min="6" max="6"/>
    <col width="24" customWidth="1" min="7" max="7"/>
    <col width="21" customWidth="1" min="8" max="8"/>
    <col width="16" customWidth="1" min="9" max="9"/>
    <col width="13" customWidth="1" min="10" max="10"/>
    <col width="10" customWidth="1" min="11" max="11"/>
    <col width="12" customWidth="1" min="12" max="12"/>
    <col width="15" customWidth="1" min="13" max="13"/>
    <col width="13" customWidth="1" min="14" max="14"/>
    <col width="31" customWidth="1" min="15" max="15"/>
    <col width="45" customWidth="1" min="16" max="16"/>
    <col width="41" customWidth="1" min="17" max="17"/>
    <col width="14" customWidth="1" min="18" max="18"/>
    <col width="18" customWidth="1" min="19" max="19"/>
    <col width="24" customWidth="1" min="20" max="20"/>
    <col width="16" customWidth="1" min="21" max="21"/>
    <col width="15" customWidth="1" min="22" max="22"/>
    <col width="45" customWidth="1" min="23" max="23"/>
    <col width="14" customWidth="1" min="24" max="24"/>
    <col width="15" customWidth="1" min="25" max="25"/>
    <col width="17" customWidth="1" min="26" max="26"/>
    <col width="27" customWidth="1" min="27" max="27"/>
    <col width="31" customWidth="1" min="28" max="28"/>
  </cols>
  <sheetData>
    <row r="1">
      <c r="A1" s="16" t="inlineStr">
        <is>
          <t>Record ID</t>
        </is>
      </c>
      <c r="B1" s="16" t="inlineStr">
        <is>
          <t>Location ID</t>
        </is>
      </c>
      <c r="C1" s="16" t="inlineStr">
        <is>
          <t>Parent Company</t>
        </is>
      </c>
      <c r="D1" s="16" t="inlineStr">
        <is>
          <t>Business Name</t>
        </is>
      </c>
      <c r="E1" s="16" t="inlineStr">
        <is>
          <t>Business Category</t>
        </is>
      </c>
      <c r="F1" s="16" t="inlineStr">
        <is>
          <t>Business Subcategory</t>
        </is>
      </c>
      <c r="G1" s="16" t="inlineStr">
        <is>
          <t>Independent / Chain</t>
        </is>
      </c>
      <c r="H1" s="16" t="inlineStr">
        <is>
          <t>Number of Locations</t>
        </is>
      </c>
      <c r="I1" s="16" t="inlineStr">
        <is>
          <t>Address Line 1</t>
        </is>
      </c>
      <c r="J1" s="16" t="inlineStr">
        <is>
          <t>Town / City</t>
        </is>
      </c>
      <c r="K1" s="16" t="inlineStr">
        <is>
          <t>Postcode</t>
        </is>
      </c>
      <c r="L1" s="16" t="inlineStr">
        <is>
          <t>Main Phone</t>
        </is>
      </c>
      <c r="M1" s="16" t="inlineStr">
        <is>
          <t>General Email</t>
        </is>
      </c>
      <c r="N1" s="16" t="inlineStr">
        <is>
          <t>Sales Email</t>
        </is>
      </c>
      <c r="O1" s="16" t="inlineStr">
        <is>
          <t>Website</t>
        </is>
      </c>
      <c r="P1" s="16" t="inlineStr">
        <is>
          <t>Facebook</t>
        </is>
      </c>
      <c r="Q1" s="16" t="inlineStr">
        <is>
          <t>Instagram</t>
        </is>
      </c>
      <c r="R1" s="16" t="inlineStr">
        <is>
          <t>Contact Name</t>
        </is>
      </c>
      <c r="S1" s="16" t="inlineStr">
        <is>
          <t>Contact Position</t>
        </is>
      </c>
      <c r="T1" s="16" t="inlineStr">
        <is>
          <t>Companies House Number</t>
        </is>
      </c>
      <c r="U1" s="16" t="inlineStr">
        <is>
          <t>Company Status</t>
        </is>
      </c>
      <c r="V1" s="16" t="inlineStr">
        <is>
          <t>Lead Priority</t>
        </is>
      </c>
      <c r="W1" s="16" t="inlineStr">
        <is>
          <t>Priority Reasons</t>
        </is>
      </c>
      <c r="X1" s="16" t="inlineStr">
        <is>
          <t>Phone Status</t>
        </is>
      </c>
      <c r="Y1" s="16" t="inlineStr">
        <is>
          <t>Email Status</t>
        </is>
      </c>
      <c r="Z1" s="16" t="inlineStr">
        <is>
          <t>Data Confidence</t>
        </is>
      </c>
      <c r="AA1" s="16" t="inlineStr">
        <is>
          <t>Verification Status</t>
        </is>
      </c>
      <c r="AB1" s="16" t="inlineStr">
        <is>
          <t>Primary Source</t>
        </is>
      </c>
    </row>
    <row r="2">
      <c r="A2" s="5" t="inlineStr">
        <is>
          <t>WY-0007</t>
        </is>
      </c>
      <c r="B2" s="5" t="inlineStr">
        <is>
          <t>ABUBAKRGRO-02</t>
        </is>
      </c>
      <c r="C2" s="5" t="inlineStr">
        <is>
          <t>Abu Bakr Group</t>
        </is>
      </c>
      <c r="D2" s="5" t="inlineStr">
        <is>
          <t>Abu Bakr Supermarket (Dewsbury Road, Beeston, Leeds)</t>
        </is>
      </c>
      <c r="E2" s="5" t="inlineStr">
        <is>
          <t>Independent Supermarket</t>
        </is>
      </c>
      <c r="F2" s="5" t="inlineStr">
        <is>
          <t>Halal / world foods supermarket with retail &amp; wholesale supply</t>
        </is>
      </c>
      <c r="G2" s="5" t="inlineStr">
        <is>
          <t>Multi-Site Independent</t>
        </is>
      </c>
      <c r="H2" s="5" t="inlineStr">
        <is>
          <t>5</t>
        </is>
      </c>
      <c r="I2" s="5" t="inlineStr">
        <is>
          <t>Dewsbury Road</t>
        </is>
      </c>
      <c r="J2" s="5" t="inlineStr">
        <is>
          <t>Leeds</t>
        </is>
      </c>
      <c r="K2" s="5" t="inlineStr">
        <is>
          <t>LS11 5HY</t>
        </is>
      </c>
      <c r="L2" s="5" t="inlineStr"/>
      <c r="M2" s="5" t="inlineStr"/>
      <c r="N2" s="5" t="inlineStr"/>
      <c r="O2" s="5" t="inlineStr">
        <is>
          <t>https://www.abubakrgroup.com/</t>
        </is>
      </c>
      <c r="P2" s="5" t="inlineStr">
        <is>
          <t>https://www.facebook.com/abubakrsupermarketsleeds/</t>
        </is>
      </c>
      <c r="Q2" s="5" t="inlineStr">
        <is>
          <t>https://www.instagram.com/abubakrleeds/</t>
        </is>
      </c>
      <c r="R2" s="5" t="inlineStr"/>
      <c r="S2" s="5" t="inlineStr"/>
      <c r="T2" s="5" t="inlineStr"/>
      <c r="U2" s="5" t="inlineStr"/>
      <c r="V2" s="5" t="inlineStr">
        <is>
          <t>High</t>
        </is>
      </c>
      <c r="W2" s="5" t="inlineStr">
        <is>
          <t>Multi-site retailer; Independent retailer; Relevant category; Active website; Social presence</t>
        </is>
      </c>
      <c r="X2" s="5" t="inlineStr">
        <is>
          <t>Not Found</t>
        </is>
      </c>
      <c r="Y2" s="5" t="inlineStr">
        <is>
          <t>Website Found</t>
        </is>
      </c>
      <c r="Z2" s="5" t="inlineStr">
        <is>
          <t>Medium</t>
        </is>
      </c>
      <c r="AA2" s="5" t="inlineStr">
        <is>
          <t>Duplicate Review Required</t>
        </is>
      </c>
      <c r="AB2" s="5" t="inlineStr">
        <is>
          <t>https://www.abubakrgroup.com/</t>
        </is>
      </c>
    </row>
    <row r="3">
      <c r="A3" s="10" t="inlineStr">
        <is>
          <t>WY-0008</t>
        </is>
      </c>
      <c r="B3" s="10" t="inlineStr">
        <is>
          <t>ABUBAKRGRO-03</t>
        </is>
      </c>
      <c r="C3" s="10" t="inlineStr">
        <is>
          <t>Abu Bakr Group</t>
        </is>
      </c>
      <c r="D3" s="10" t="inlineStr">
        <is>
          <t>Abu Bakr Supermarket (Kirkstall Road, Leeds)</t>
        </is>
      </c>
      <c r="E3" s="10" t="inlineStr">
        <is>
          <t>Independent Supermarket</t>
        </is>
      </c>
      <c r="F3" s="10" t="inlineStr">
        <is>
          <t>Halal / world foods supermarket with retail &amp; wholesale supply</t>
        </is>
      </c>
      <c r="G3" s="10" t="inlineStr">
        <is>
          <t>Multi-Site Independent</t>
        </is>
      </c>
      <c r="H3" s="10" t="inlineStr">
        <is>
          <t>5</t>
        </is>
      </c>
      <c r="I3" s="10" t="inlineStr">
        <is>
          <t>Kirkstall Road</t>
        </is>
      </c>
      <c r="J3" s="10" t="inlineStr">
        <is>
          <t>Leeds</t>
        </is>
      </c>
      <c r="K3" s="10" t="inlineStr">
        <is>
          <t>LS4 2DN</t>
        </is>
      </c>
      <c r="L3" s="10" t="inlineStr"/>
      <c r="M3" s="10" t="inlineStr"/>
      <c r="N3" s="10" t="inlineStr"/>
      <c r="O3" s="10" t="inlineStr">
        <is>
          <t>https://www.abubakrgroup.com/</t>
        </is>
      </c>
      <c r="P3" s="10" t="inlineStr">
        <is>
          <t>https://www.facebook.com/abubakrsupermarketsleeds/</t>
        </is>
      </c>
      <c r="Q3" s="10" t="inlineStr">
        <is>
          <t>https://www.instagram.com/abubakrleeds/</t>
        </is>
      </c>
      <c r="R3" s="10" t="inlineStr"/>
      <c r="S3" s="10" t="inlineStr"/>
      <c r="T3" s="10" t="inlineStr"/>
      <c r="U3" s="10" t="inlineStr"/>
      <c r="V3" s="10" t="inlineStr">
        <is>
          <t>High</t>
        </is>
      </c>
      <c r="W3" s="10" t="inlineStr">
        <is>
          <t>Multi-site retailer; Independent retailer; Relevant category; Active website; Social presence</t>
        </is>
      </c>
      <c r="X3" s="10" t="inlineStr">
        <is>
          <t>Not Found</t>
        </is>
      </c>
      <c r="Y3" s="10" t="inlineStr">
        <is>
          <t>Website Found</t>
        </is>
      </c>
      <c r="Z3" s="10" t="inlineStr">
        <is>
          <t>Medium</t>
        </is>
      </c>
      <c r="AA3" s="10" t="inlineStr">
        <is>
          <t>Duplicate Review Required</t>
        </is>
      </c>
      <c r="AB3" s="10" t="inlineStr">
        <is>
          <t>https://www.abubakrgroup.com/</t>
        </is>
      </c>
    </row>
    <row r="4">
      <c r="A4" s="5" t="inlineStr">
        <is>
          <t>WY-0009</t>
        </is>
      </c>
      <c r="B4" s="5" t="inlineStr">
        <is>
          <t>ABUBAKRGRO-04</t>
        </is>
      </c>
      <c r="C4" s="5" t="inlineStr">
        <is>
          <t>Abu Bakr Group</t>
        </is>
      </c>
      <c r="D4" s="5" t="inlineStr">
        <is>
          <t>Abu Bakr Supermarket (Queens Road, Leeds)</t>
        </is>
      </c>
      <c r="E4" s="5" t="inlineStr">
        <is>
          <t>Independent Supermarket</t>
        </is>
      </c>
      <c r="F4" s="5" t="inlineStr">
        <is>
          <t>Halal / world foods supermarket with retail &amp; wholesale supply</t>
        </is>
      </c>
      <c r="G4" s="5" t="inlineStr">
        <is>
          <t>Multi-Site Independent</t>
        </is>
      </c>
      <c r="H4" s="5" t="inlineStr">
        <is>
          <t>5</t>
        </is>
      </c>
      <c r="I4" s="5" t="inlineStr">
        <is>
          <t>37 Queens Road</t>
        </is>
      </c>
      <c r="J4" s="5" t="inlineStr">
        <is>
          <t>Leeds</t>
        </is>
      </c>
      <c r="K4" s="5" t="inlineStr">
        <is>
          <t>LS6 1NY</t>
        </is>
      </c>
      <c r="L4" s="5" t="inlineStr"/>
      <c r="M4" s="5" t="inlineStr"/>
      <c r="N4" s="5" t="inlineStr"/>
      <c r="O4" s="5" t="inlineStr">
        <is>
          <t>https://www.abubakrgroup.com/</t>
        </is>
      </c>
      <c r="P4" s="5" t="inlineStr">
        <is>
          <t>https://www.facebook.com/abubakrsupermarketsleeds/</t>
        </is>
      </c>
      <c r="Q4" s="5" t="inlineStr">
        <is>
          <t>https://www.instagram.com/abubakrleeds/</t>
        </is>
      </c>
      <c r="R4" s="5" t="inlineStr"/>
      <c r="S4" s="5" t="inlineStr"/>
      <c r="T4" s="5" t="inlineStr"/>
      <c r="U4" s="5" t="inlineStr"/>
      <c r="V4" s="5" t="inlineStr">
        <is>
          <t>High</t>
        </is>
      </c>
      <c r="W4" s="5" t="inlineStr">
        <is>
          <t>Multi-site retailer; Independent retailer; Relevant category; Active website; Social presence</t>
        </is>
      </c>
      <c r="X4" s="5" t="inlineStr">
        <is>
          <t>Not Found</t>
        </is>
      </c>
      <c r="Y4" s="5" t="inlineStr">
        <is>
          <t>Website Found</t>
        </is>
      </c>
      <c r="Z4" s="5" t="inlineStr">
        <is>
          <t>Medium</t>
        </is>
      </c>
      <c r="AA4" s="5" t="inlineStr">
        <is>
          <t>Duplicate Review Required</t>
        </is>
      </c>
      <c r="AB4" s="5" t="inlineStr">
        <is>
          <t>https://www.abubakrgroup.com/</t>
        </is>
      </c>
    </row>
  </sheetData>
  <autoFilter ref="A1:AB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425"/>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16" customWidth="1" min="3" max="3"/>
    <col width="45" customWidth="1" min="4" max="4"/>
    <col width="20" customWidth="1" min="5" max="5"/>
    <col width="16" customWidth="1" min="6" max="6"/>
    <col width="45" customWidth="1" min="7" max="7"/>
    <col width="38" customWidth="1" min="8" max="8"/>
  </cols>
  <sheetData>
    <row r="1">
      <c r="A1" s="16" t="inlineStr">
        <is>
          <t>Record ID</t>
        </is>
      </c>
      <c r="B1" s="16" t="inlineStr">
        <is>
          <t>Business Name</t>
        </is>
      </c>
      <c r="C1" s="16" t="inlineStr">
        <is>
          <t>Town / City</t>
        </is>
      </c>
      <c r="D1" s="16" t="inlineStr">
        <is>
          <t>Source URL</t>
        </is>
      </c>
      <c r="E1" s="16" t="inlineStr">
        <is>
          <t>Source Type</t>
        </is>
      </c>
      <c r="F1" s="16" t="inlineStr">
        <is>
          <t>Date Collected</t>
        </is>
      </c>
      <c r="G1" s="16" t="inlineStr">
        <is>
          <t>Information Obtained</t>
        </is>
      </c>
      <c r="H1" s="16" t="inlineStr">
        <is>
          <t>Verification Status</t>
        </is>
      </c>
    </row>
    <row r="2">
      <c r="A2" s="5" t="inlineStr">
        <is>
          <t>WY-0001</t>
        </is>
      </c>
      <c r="B2" s="5" t="inlineStr">
        <is>
          <t>1865 Cigars (Huddersfield)</t>
        </is>
      </c>
      <c r="C2" s="5" t="inlineStr">
        <is>
          <t>Huddersfield</t>
        </is>
      </c>
      <c r="D2" s="5" t="inlineStr">
        <is>
          <t>https://1865cigars.com/locations/sheffield/tobacconist-in-sheffield/</t>
        </is>
      </c>
      <c r="E2" s="5" t="inlineStr">
        <is>
          <t>Official Website</t>
        </is>
      </c>
      <c r="F2" s="5" t="inlineStr">
        <is>
          <t>2026-09-16</t>
        </is>
      </c>
      <c r="G2" s="5" t="inlineStr">
        <is>
          <t>Huddersfield store address and phone referenced on own site</t>
        </is>
      </c>
      <c r="H2" s="5" t="inlineStr">
        <is>
          <t>Requires Verification</t>
        </is>
      </c>
    </row>
    <row r="3">
      <c r="A3" s="10" t="inlineStr">
        <is>
          <t>WY-0001</t>
        </is>
      </c>
      <c r="B3" s="10" t="inlineStr">
        <is>
          <t>1865 Cigars (Huddersfield)</t>
        </is>
      </c>
      <c r="C3" s="10" t="inlineStr">
        <is>
          <t>Huddersfield</t>
        </is>
      </c>
      <c r="D3" s="10" t="inlineStr">
        <is>
          <t>https://www.facebook.com/p/1865Cigars-61555796965999/</t>
        </is>
      </c>
      <c r="E3" s="10" t="inlineStr">
        <is>
          <t>Facebook</t>
        </is>
      </c>
      <c r="F3" s="10" t="inlineStr">
        <is>
          <t>2026-09-16</t>
        </is>
      </c>
      <c r="G3" s="10" t="inlineStr">
        <is>
          <t>Huddersfield Facebook presence, phone, email</t>
        </is>
      </c>
      <c r="H3" s="10" t="inlineStr">
        <is>
          <t>Requires Verification</t>
        </is>
      </c>
    </row>
    <row r="4">
      <c r="A4" s="5" t="inlineStr">
        <is>
          <t>WY-0001</t>
        </is>
      </c>
      <c r="B4" s="5" t="inlineStr">
        <is>
          <t>1865 Cigars (Huddersfield)</t>
        </is>
      </c>
      <c r="C4" s="5" t="inlineStr">
        <is>
          <t>Huddersfield</t>
        </is>
      </c>
      <c r="D4" s="5" t="inlineStr">
        <is>
          <t>https://www.instagram.com/1865.cigars/</t>
        </is>
      </c>
      <c r="E4" s="5" t="inlineStr">
        <is>
          <t>Instagram</t>
        </is>
      </c>
      <c r="F4" s="5" t="inlineStr">
        <is>
          <t>2026-09-16</t>
        </is>
      </c>
      <c r="G4" s="5" t="inlineStr">
        <is>
          <t>Huddersfield Instagram presence</t>
        </is>
      </c>
      <c r="H4" s="5" t="inlineStr">
        <is>
          <t>Requires Verification</t>
        </is>
      </c>
    </row>
    <row r="5">
      <c r="A5" s="10" t="inlineStr">
        <is>
          <t>WY-0002</t>
        </is>
      </c>
      <c r="B5" s="10" t="inlineStr">
        <is>
          <t>420 Vape Shop (Leeds Road, Shipley)</t>
        </is>
      </c>
      <c r="C5" s="10" t="inlineStr">
        <is>
          <t>Shipley</t>
        </is>
      </c>
      <c r="D5" s="10" t="inlineStr">
        <is>
          <t>https://420vapeshop.co.uk/pages/contact</t>
        </is>
      </c>
      <c r="E5" s="10" t="inlineStr">
        <is>
          <t>Official Website</t>
        </is>
      </c>
      <c r="F5" s="10" t="inlineStr">
        <is>
          <t>2026-09-16</t>
        </is>
      </c>
      <c r="G5" s="10" t="inlineStr">
        <is>
          <t>address, postcode, phone, opening hours (via search extraction)</t>
        </is>
      </c>
      <c r="H5" s="10" t="inlineStr">
        <is>
          <t>Verified (website + Companies House)</t>
        </is>
      </c>
    </row>
    <row r="6">
      <c r="A6" s="5" t="inlineStr">
        <is>
          <t>WY-0002</t>
        </is>
      </c>
      <c r="B6" s="5" t="inlineStr">
        <is>
          <t>420 Vape Shop (Leeds Road, Shipley)</t>
        </is>
      </c>
      <c r="C6" s="5" t="inlineStr">
        <is>
          <t>Shipley</t>
        </is>
      </c>
      <c r="D6" s="5" t="inlineStr">
        <is>
          <t>https://ecigdirectory.co.uk/vape-shop/listing/420-vape-shop</t>
        </is>
      </c>
      <c r="E6" s="5" t="inlineStr">
        <is>
          <t>Directory</t>
        </is>
      </c>
      <c r="F6" s="5" t="inlineStr">
        <is>
          <t>2026-09-16</t>
        </is>
      </c>
      <c r="G6" s="5" t="inlineStr">
        <is>
          <t>chain listing cross-check</t>
        </is>
      </c>
      <c r="H6" s="5" t="inlineStr">
        <is>
          <t>Verified (website + Companies House)</t>
        </is>
      </c>
    </row>
    <row r="7">
      <c r="A7" s="10" t="inlineStr">
        <is>
          <t>WY-0003</t>
        </is>
      </c>
      <c r="B7" s="10" t="inlineStr">
        <is>
          <t>420 Vape Shop (Tong Street, Bradford)</t>
        </is>
      </c>
      <c r="C7" s="10" t="inlineStr">
        <is>
          <t>Bradford</t>
        </is>
      </c>
      <c r="D7" s="10" t="inlineStr">
        <is>
          <t>https://420vapeshop.co.uk/pages/contact</t>
        </is>
      </c>
      <c r="E7" s="10" t="inlineStr">
        <is>
          <t>Official Website</t>
        </is>
      </c>
      <c r="F7" s="10" t="inlineStr">
        <is>
          <t>2026-09-16</t>
        </is>
      </c>
      <c r="G7" s="10" t="inlineStr">
        <is>
          <t>address, postcode, phone, opening hours (via search extraction)</t>
        </is>
      </c>
      <c r="H7" s="10" t="inlineStr">
        <is>
          <t>Verified (website + Companies House)</t>
        </is>
      </c>
    </row>
    <row r="8">
      <c r="A8" s="5" t="inlineStr">
        <is>
          <t>WY-0003</t>
        </is>
      </c>
      <c r="B8" s="5" t="inlineStr">
        <is>
          <t>420 Vape Shop (Tong Street, Bradford)</t>
        </is>
      </c>
      <c r="C8" s="5" t="inlineStr">
        <is>
          <t>Bradford</t>
        </is>
      </c>
      <c r="D8" s="5" t="inlineStr">
        <is>
          <t>https://bradford.cylex-uk.co.uk/company/420-vape-shop-28839044.html</t>
        </is>
      </c>
      <c r="E8" s="5" t="inlineStr">
        <is>
          <t>Directory</t>
        </is>
      </c>
      <c r="F8" s="5" t="inlineStr">
        <is>
          <t>2026-09-16</t>
        </is>
      </c>
      <c r="G8" s="5" t="inlineStr">
        <is>
          <t>address cross-check</t>
        </is>
      </c>
      <c r="H8" s="5" t="inlineStr">
        <is>
          <t>Verified (website + Companies House)</t>
        </is>
      </c>
    </row>
    <row r="9">
      <c r="A9" s="10" t="inlineStr">
        <is>
          <t>WY-0003</t>
        </is>
      </c>
      <c r="B9" s="10" t="inlineStr">
        <is>
          <t>420 Vape Shop (Tong Street, Bradford)</t>
        </is>
      </c>
      <c r="C9" s="10" t="inlineStr">
        <is>
          <t>Bradford</t>
        </is>
      </c>
      <c r="D9" s="10" t="inlineStr">
        <is>
          <t>https://420-vape-shop-eliquid-nic-salts-vape-kits.wheree.com/</t>
        </is>
      </c>
      <c r="E9" s="10" t="inlineStr">
        <is>
          <t>Directory</t>
        </is>
      </c>
      <c r="F9" s="10" t="inlineStr">
        <is>
          <t>2026-09-16</t>
        </is>
      </c>
      <c r="G9" s="10" t="inlineStr">
        <is>
          <t>phone cross-check, description</t>
        </is>
      </c>
      <c r="H9" s="10" t="inlineStr">
        <is>
          <t>Verified (website + Companies House)</t>
        </is>
      </c>
    </row>
    <row r="10">
      <c r="A10" s="5" t="inlineStr">
        <is>
          <t>WY-0003</t>
        </is>
      </c>
      <c r="B10" s="5" t="inlineStr">
        <is>
          <t>420 Vape Shop (Tong Street, Bradford)</t>
        </is>
      </c>
      <c r="C10" s="5" t="inlineStr">
        <is>
          <t>Bradford</t>
        </is>
      </c>
      <c r="D10" s="5" t="inlineStr">
        <is>
          <t>https://find-and-update.company-information.service.gov.uk/company/14931262</t>
        </is>
      </c>
      <c r="E10" s="5" t="inlineStr">
        <is>
          <t>Companies House</t>
        </is>
      </c>
      <c r="F10" s="5" t="inlineStr">
        <is>
          <t>2026-09-16</t>
        </is>
      </c>
      <c r="G10" s="5" t="inlineStr">
        <is>
          <t>related company 420 VAPE WHOLESALE LTD 14931262 dissolved 04/03/2025 (not attached)</t>
        </is>
      </c>
      <c r="H10" s="5" t="inlineStr">
        <is>
          <t>Verified (website + Companies House)</t>
        </is>
      </c>
    </row>
    <row r="11">
      <c r="A11" s="10" t="inlineStr">
        <is>
          <t>WY-0004</t>
        </is>
      </c>
      <c r="B11" s="10" t="inlineStr">
        <is>
          <t>420 Vape Shop (Town Street, Stanningley)</t>
        </is>
      </c>
      <c r="C11" s="10" t="inlineStr">
        <is>
          <t>Pudsey</t>
        </is>
      </c>
      <c r="D11" s="10" t="inlineStr">
        <is>
          <t>https://420vapeshop.co.uk/pages/contact</t>
        </is>
      </c>
      <c r="E11" s="10" t="inlineStr">
        <is>
          <t>Official Website</t>
        </is>
      </c>
      <c r="F11" s="10" t="inlineStr">
        <is>
          <t>2026-09-16</t>
        </is>
      </c>
      <c r="G11" s="10" t="inlineStr">
        <is>
          <t>address, postcode, phone, opening hours (via search extraction)</t>
        </is>
      </c>
      <c r="H11" s="10" t="inlineStr">
        <is>
          <t>Verified (website + Companies House)</t>
        </is>
      </c>
    </row>
    <row r="12">
      <c r="A12" s="5" t="inlineStr">
        <is>
          <t>WY-0004</t>
        </is>
      </c>
      <c r="B12" s="5" t="inlineStr">
        <is>
          <t>420 Vape Shop (Town Street, Stanningley)</t>
        </is>
      </c>
      <c r="C12" s="5" t="inlineStr">
        <is>
          <t>Pudsey</t>
        </is>
      </c>
      <c r="D12" s="5" t="inlineStr">
        <is>
          <t>https://ecigdirectory.co.uk/vape-shop/listing/420-vape-shop</t>
        </is>
      </c>
      <c r="E12" s="5" t="inlineStr">
        <is>
          <t>Directory</t>
        </is>
      </c>
      <c r="F12" s="5" t="inlineStr">
        <is>
          <t>2026-09-16</t>
        </is>
      </c>
      <c r="G12" s="5" t="inlineStr">
        <is>
          <t>chain listing cross-check</t>
        </is>
      </c>
      <c r="H12" s="5" t="inlineStr">
        <is>
          <t>Verified (website + Companies House)</t>
        </is>
      </c>
    </row>
    <row r="13">
      <c r="A13" s="10" t="inlineStr">
        <is>
          <t>WY-0005</t>
        </is>
      </c>
      <c r="B13" s="10" t="inlineStr">
        <is>
          <t>Parfetts Cash &amp; Carry (Halifax)</t>
        </is>
      </c>
      <c r="C13" s="10" t="inlineStr">
        <is>
          <t>Halifax</t>
        </is>
      </c>
      <c r="D13" s="10" t="inlineStr">
        <is>
          <t>https://www.thomsonlocal.com/search/cash-carry-wholesalers/halifax-brighouse-calderdale/a-g-parfett-sons-ltd/270236/01422363167</t>
        </is>
      </c>
      <c r="E13" s="10" t="inlineStr">
        <is>
          <t>Directory</t>
        </is>
      </c>
      <c r="F13" s="10" t="inlineStr">
        <is>
          <t>2026-09-16</t>
        </is>
      </c>
      <c r="G13" s="10" t="inlineStr">
        <is>
          <t>legal name, address, phone</t>
        </is>
      </c>
      <c r="H13" s="10" t="inlineStr">
        <is>
          <t>Requires Verification</t>
        </is>
      </c>
    </row>
    <row r="14">
      <c r="A14" s="5" t="inlineStr">
        <is>
          <t>WY-0005</t>
        </is>
      </c>
      <c r="B14" s="5" t="inlineStr">
        <is>
          <t>Parfetts Cash &amp; Carry (Halifax)</t>
        </is>
      </c>
      <c r="C14" s="5" t="inlineStr">
        <is>
          <t>Halifax</t>
        </is>
      </c>
      <c r="D14" s="5" t="inlineStr">
        <is>
          <t>https://barandkitchenmagazine.com/members/a-g-parfett-sons-ltd-halifax/</t>
        </is>
      </c>
      <c r="E14" s="5" t="inlineStr">
        <is>
          <t>Directory</t>
        </is>
      </c>
      <c r="F14" s="5" t="inlineStr">
        <is>
          <t>2026-09-16</t>
        </is>
      </c>
      <c r="G14" s="5" t="inlineStr">
        <is>
          <t>depot listing cross-check</t>
        </is>
      </c>
      <c r="H14" s="5" t="inlineStr">
        <is>
          <t>Requires Verification</t>
        </is>
      </c>
    </row>
    <row r="15">
      <c r="A15" s="10" t="inlineStr">
        <is>
          <t>WY-0005</t>
        </is>
      </c>
      <c r="B15" s="10" t="inlineStr">
        <is>
          <t>Parfetts Cash &amp; Carry (Halifax)</t>
        </is>
      </c>
      <c r="C15" s="10" t="inlineStr">
        <is>
          <t>Halifax</t>
        </is>
      </c>
      <c r="D15" s="10" t="inlineStr">
        <is>
          <t>https://www.misterwhat.co.uk/company/2704607-a-g-parfetts-halifax</t>
        </is>
      </c>
      <c r="E15" s="10" t="inlineStr">
        <is>
          <t>Directory</t>
        </is>
      </c>
      <c r="F15" s="10" t="inlineStr">
        <is>
          <t>2026-09-16</t>
        </is>
      </c>
      <c r="G15" s="10" t="inlineStr">
        <is>
          <t>postcode HX3 6RA cross-check</t>
        </is>
      </c>
      <c r="H15" s="10" t="inlineStr">
        <is>
          <t>Requires Verification</t>
        </is>
      </c>
    </row>
    <row r="16">
      <c r="A16" s="5" t="inlineStr">
        <is>
          <t>WY-0005</t>
        </is>
      </c>
      <c r="B16" s="5" t="inlineStr">
        <is>
          <t>Parfetts Cash &amp; Carry (Halifax)</t>
        </is>
      </c>
      <c r="C16" s="5" t="inlineStr">
        <is>
          <t>Halifax</t>
        </is>
      </c>
      <c r="D16" s="5" t="inlineStr">
        <is>
          <t>https://www.facebook.com/pages/parfetts-cash-carry-Halifax/253069908059088</t>
        </is>
      </c>
      <c r="E16" s="5" t="inlineStr">
        <is>
          <t>Facebook</t>
        </is>
      </c>
      <c r="F16" s="5" t="inlineStr">
        <is>
          <t>2026-09-16</t>
        </is>
      </c>
      <c r="G16" s="5" t="inlineStr">
        <is>
          <t>social (facebook)</t>
        </is>
      </c>
      <c r="H16" s="5" t="inlineStr">
        <is>
          <t>Requires Verification</t>
        </is>
      </c>
    </row>
    <row r="17">
      <c r="A17" s="10" t="inlineStr">
        <is>
          <t>WY-0006</t>
        </is>
      </c>
      <c r="B17" s="10" t="inlineStr">
        <is>
          <t>Abu Bakr Supermarket (Batley)</t>
        </is>
      </c>
      <c r="C17" s="10" t="inlineStr">
        <is>
          <t>Batley</t>
        </is>
      </c>
      <c r="D17" s="10" t="inlineStr">
        <is>
          <t>https://www.asianexpress.co.uk/2024/10/abu-bakr-supermarkets-group-opens-a-new-flagship-store-in-batley/</t>
        </is>
      </c>
      <c r="E17" s="10" t="inlineStr">
        <is>
          <t>News / Trade Press</t>
        </is>
      </c>
      <c r="F17" s="10" t="inlineStr">
        <is>
          <t>2026-09-16</t>
        </is>
      </c>
      <c r="G17" s="10" t="inlineStr">
        <is>
          <t>flagship opening, Blakeridge Mill location, 12,000 sq ft</t>
        </is>
      </c>
      <c r="H17" s="10" t="inlineStr">
        <is>
          <t>Verified (website + Companies House)</t>
        </is>
      </c>
    </row>
    <row r="18">
      <c r="A18" s="5" t="inlineStr">
        <is>
          <t>WY-0006</t>
        </is>
      </c>
      <c r="B18" s="5" t="inlineStr">
        <is>
          <t>Abu Bakr Supermarket (Batley)</t>
        </is>
      </c>
      <c r="C18" s="5" t="inlineStr">
        <is>
          <t>Batley</t>
        </is>
      </c>
      <c r="D18" s="5" t="inlineStr">
        <is>
          <t>https://find-and-update.company-information.service.gov.uk/company/15303931</t>
        </is>
      </c>
      <c r="E18" s="5" t="inlineStr">
        <is>
          <t>Companies House</t>
        </is>
      </c>
      <c r="F18" s="5" t="inlineStr">
        <is>
          <t>2026-09-16</t>
        </is>
      </c>
      <c r="G18" s="5" t="inlineStr">
        <is>
          <t>company number 15303931, status Active, incorporated 22 Nov 2023, registered office 21 Hyde Park Road Leeds LS6 1PY</t>
        </is>
      </c>
      <c r="H18" s="5" t="inlineStr">
        <is>
          <t>Verified (website + Companies House)</t>
        </is>
      </c>
    </row>
    <row r="19">
      <c r="A19" s="10" t="inlineStr">
        <is>
          <t>WY-0006</t>
        </is>
      </c>
      <c r="B19" s="10" t="inlineStr">
        <is>
          <t>Abu Bakr Supermarket (Batley)</t>
        </is>
      </c>
      <c r="C19" s="10" t="inlineStr">
        <is>
          <t>Batley</t>
        </is>
      </c>
      <c r="D19" s="10" t="inlineStr">
        <is>
          <t>https://www.yorkshire.com/batley/shopping/supermarkets/abu-bakr-supermarket-1</t>
        </is>
      </c>
      <c r="E19" s="10" t="inlineStr">
        <is>
          <t>Directory</t>
        </is>
      </c>
      <c r="F19" s="10" t="inlineStr">
        <is>
          <t>2026-09-16</t>
        </is>
      </c>
      <c r="G19" s="10" t="inlineStr">
        <is>
          <t>store listing cross-check</t>
        </is>
      </c>
      <c r="H19" s="10" t="inlineStr">
        <is>
          <t>Verified (website + Companies House)</t>
        </is>
      </c>
    </row>
    <row r="20">
      <c r="A20" s="5" t="inlineStr">
        <is>
          <t>WY-0006</t>
        </is>
      </c>
      <c r="B20" s="5" t="inlineStr">
        <is>
          <t>Abu Bakr Supermarket (Batley)</t>
        </is>
      </c>
      <c r="C20" s="5" t="inlineStr">
        <is>
          <t>Batley</t>
        </is>
      </c>
      <c r="D20" s="5" t="inlineStr">
        <is>
          <t>https://www.zabihah.com/restaurants/0f599a87-6f7b-4975-b72e-9dc85109c413/abu-bakr-supermarket-batley-west-yorkshire</t>
        </is>
      </c>
      <c r="E20" s="5" t="inlineStr">
        <is>
          <t>Directory</t>
        </is>
      </c>
      <c r="F20" s="5" t="inlineStr">
        <is>
          <t>2026-09-16</t>
        </is>
      </c>
      <c r="G20" s="5" t="inlineStr">
        <is>
          <t>postcode, phone</t>
        </is>
      </c>
      <c r="H20" s="5" t="inlineStr">
        <is>
          <t>Verified (website + Companies House)</t>
        </is>
      </c>
    </row>
    <row r="21">
      <c r="A21" s="10" t="inlineStr">
        <is>
          <t>WY-0007</t>
        </is>
      </c>
      <c r="B21" s="10" t="inlineStr">
        <is>
          <t>Abu Bakr Supermarket (Dewsbury Road, Beeston, Leeds)</t>
        </is>
      </c>
      <c r="C21" s="10" t="inlineStr">
        <is>
          <t>Leeds</t>
        </is>
      </c>
      <c r="D21" s="10" t="inlineStr">
        <is>
          <t>https://www.abubakrgroup.com/</t>
        </is>
      </c>
      <c r="E21" s="10" t="inlineStr">
        <is>
          <t>Official Website</t>
        </is>
      </c>
      <c r="F21" s="10" t="inlineStr">
        <is>
          <t>2026-09-16</t>
        </is>
      </c>
      <c r="G21" s="10" t="inlineStr">
        <is>
          <t>group store list, Beeston opened 2015 (via search extraction)</t>
        </is>
      </c>
      <c r="H21" s="10" t="inlineStr">
        <is>
          <t>Duplicate Review Required</t>
        </is>
      </c>
    </row>
    <row r="22">
      <c r="A22" s="5" t="inlineStr">
        <is>
          <t>WY-0007</t>
        </is>
      </c>
      <c r="B22" s="5" t="inlineStr">
        <is>
          <t>Abu Bakr Supermarket (Dewsbury Road, Beeston, Leeds)</t>
        </is>
      </c>
      <c r="C22" s="5" t="inlineStr">
        <is>
          <t>Leeds</t>
        </is>
      </c>
      <c r="D22" s="5" t="inlineStr">
        <is>
          <t>https://en.halalguide.me/leeds/produktoviy-magazin/abu-bakr</t>
        </is>
      </c>
      <c r="E22" s="5" t="inlineStr">
        <is>
          <t>Directory</t>
        </is>
      </c>
      <c r="F22" s="5" t="inlineStr">
        <is>
          <t>2026-09-16</t>
        </is>
      </c>
      <c r="G22" s="5" t="inlineStr">
        <is>
          <t>store existence cross-check</t>
        </is>
      </c>
      <c r="H22" s="5" t="inlineStr">
        <is>
          <t>Duplicate Review Required</t>
        </is>
      </c>
    </row>
    <row r="23">
      <c r="A23" s="10" t="inlineStr">
        <is>
          <t>WY-0007</t>
        </is>
      </c>
      <c r="B23" s="10" t="inlineStr">
        <is>
          <t>Abu Bakr Supermarket (Dewsbury Road, Beeston, Leeds)</t>
        </is>
      </c>
      <c r="C23" s="10" t="inlineStr">
        <is>
          <t>Leeds</t>
        </is>
      </c>
      <c r="D23" s="10" t="inlineStr">
        <is>
          <t>https://x.com/abubakrleeds?lang=en</t>
        </is>
      </c>
      <c r="E23" s="10" t="inlineStr">
        <is>
          <t>Other</t>
        </is>
      </c>
      <c r="F23" s="10" t="inlineStr">
        <is>
          <t>2026-09-16</t>
        </is>
      </c>
      <c r="G23" s="10" t="inlineStr">
        <is>
          <t>store list including 259 Dewsbury Road (via search results)</t>
        </is>
      </c>
      <c r="H23" s="10" t="inlineStr">
        <is>
          <t>Duplicate Review Required</t>
        </is>
      </c>
    </row>
    <row r="24">
      <c r="A24" s="5" t="inlineStr">
        <is>
          <t>WY-0007</t>
        </is>
      </c>
      <c r="B24" s="5" t="inlineStr">
        <is>
          <t>Abu Bakr Supermarket (Dewsbury Road, Beeston, Leeds)</t>
        </is>
      </c>
      <c r="C24" s="5" t="inlineStr">
        <is>
          <t>Leeds</t>
        </is>
      </c>
      <c r="D24" s="5" t="inlineStr">
        <is>
          <t>https://find-open.co.uk/leeds/abubakr-supermarket-2223114</t>
        </is>
      </c>
      <c r="E24" s="5" t="inlineStr">
        <is>
          <t>Directory</t>
        </is>
      </c>
      <c r="F24" s="5" t="inlineStr">
        <is>
          <t>2026-09-16</t>
        </is>
      </c>
      <c r="G24" s="5" t="inlineStr">
        <is>
          <t>postcode</t>
        </is>
      </c>
      <c r="H24" s="5" t="inlineStr">
        <is>
          <t>Duplicate Review Required</t>
        </is>
      </c>
    </row>
    <row r="25">
      <c r="A25" s="10" t="inlineStr">
        <is>
          <t>WY-0008</t>
        </is>
      </c>
      <c r="B25" s="10" t="inlineStr">
        <is>
          <t>Abu Bakr Supermarket (Kirkstall Road, Leeds)</t>
        </is>
      </c>
      <c r="C25" s="10" t="inlineStr">
        <is>
          <t>Leeds</t>
        </is>
      </c>
      <c r="D25" s="10" t="inlineStr">
        <is>
          <t>https://www.asianexpress.co.uk/2022/03/respect-unity-abu-bakr-supermarket-expands-with-new-flagship-site-in-kirkstall/</t>
        </is>
      </c>
      <c r="E25" s="10" t="inlineStr">
        <is>
          <t>News / Trade Press</t>
        </is>
      </c>
      <c r="F25" s="10" t="inlineStr">
        <is>
          <t>2026-09-16</t>
        </is>
      </c>
      <c r="G25" s="10" t="inlineStr">
        <is>
          <t>Kirkstall flagship opening</t>
        </is>
      </c>
      <c r="H25" s="10" t="inlineStr">
        <is>
          <t>Duplicate Review Required</t>
        </is>
      </c>
    </row>
    <row r="26">
      <c r="A26" s="5" t="inlineStr">
        <is>
          <t>WY-0008</t>
        </is>
      </c>
      <c r="B26" s="5" t="inlineStr">
        <is>
          <t>Abu Bakr Supermarket (Kirkstall Road, Leeds)</t>
        </is>
      </c>
      <c r="C26" s="5" t="inlineStr">
        <is>
          <t>Leeds</t>
        </is>
      </c>
      <c r="D26" s="5" t="inlineStr">
        <is>
          <t>https://abu-bakr-supermarket-kirkstall-road.wheree.com/</t>
        </is>
      </c>
      <c r="E26" s="5" t="inlineStr">
        <is>
          <t>Directory</t>
        </is>
      </c>
      <c r="F26" s="5" t="inlineStr">
        <is>
          <t>2026-09-16</t>
        </is>
      </c>
      <c r="G26" s="5" t="inlineStr">
        <is>
          <t>store existence on Kirkstall Road</t>
        </is>
      </c>
      <c r="H26" s="5" t="inlineStr">
        <is>
          <t>Duplicate Review Required</t>
        </is>
      </c>
    </row>
    <row r="27">
      <c r="A27" s="10" t="inlineStr">
        <is>
          <t>WY-0008</t>
        </is>
      </c>
      <c r="B27" s="10" t="inlineStr">
        <is>
          <t>Abu Bakr Supermarket (Kirkstall Road, Leeds)</t>
        </is>
      </c>
      <c r="C27" s="10" t="inlineStr">
        <is>
          <t>Leeds</t>
        </is>
      </c>
      <c r="D27" s="10" t="inlineStr">
        <is>
          <t>https://www.abubakrgroup.com/</t>
        </is>
      </c>
      <c r="E27" s="10" t="inlineStr">
        <is>
          <t>Official Website</t>
        </is>
      </c>
      <c r="F27" s="10" t="inlineStr">
        <is>
          <t>2026-09-16</t>
        </is>
      </c>
      <c r="G27" s="10" t="inlineStr">
        <is>
          <t>group store list (via search extraction)</t>
        </is>
      </c>
      <c r="H27" s="10" t="inlineStr">
        <is>
          <t>Duplicate Review Required</t>
        </is>
      </c>
    </row>
    <row r="28">
      <c r="A28" s="5" t="inlineStr">
        <is>
          <t>WY-0008</t>
        </is>
      </c>
      <c r="B28" s="5" t="inlineStr">
        <is>
          <t>Abu Bakr Supermarket (Kirkstall Road, Leeds)</t>
        </is>
      </c>
      <c r="C28" s="5" t="inlineStr">
        <is>
          <t>Leeds</t>
        </is>
      </c>
      <c r="D28" s="5" t="inlineStr">
        <is>
          <t>https://maps.apple.com/place?place-id=I3FCBEFB2552AB5AA</t>
        </is>
      </c>
      <c r="E28" s="5" t="inlineStr">
        <is>
          <t>Other</t>
        </is>
      </c>
      <c r="F28" s="5" t="inlineStr">
        <is>
          <t>2026-09-16</t>
        </is>
      </c>
      <c r="G28" s="5" t="inlineStr">
        <is>
          <t>330 Kirkstall Road LS4 2DN address (via search results)</t>
        </is>
      </c>
      <c r="H28" s="5" t="inlineStr">
        <is>
          <t>Duplicate Review Required</t>
        </is>
      </c>
    </row>
    <row r="29">
      <c r="A29" s="10" t="inlineStr">
        <is>
          <t>WY-0009</t>
        </is>
      </c>
      <c r="B29" s="10" t="inlineStr">
        <is>
          <t>Abu Bakr Supermarket (Queens Road, Leeds)</t>
        </is>
      </c>
      <c r="C29" s="10" t="inlineStr">
        <is>
          <t>Leeds</t>
        </is>
      </c>
      <c r="D29" s="10" t="inlineStr">
        <is>
          <t>https://www.abubakrgroup.com/</t>
        </is>
      </c>
      <c r="E29" s="10" t="inlineStr">
        <is>
          <t>Official Website</t>
        </is>
      </c>
      <c r="F29" s="10" t="inlineStr">
        <is>
          <t>2026-09-16</t>
        </is>
      </c>
      <c r="G29" s="10" t="inlineStr">
        <is>
          <t>group history, store count (via search extraction)</t>
        </is>
      </c>
      <c r="H29" s="10" t="inlineStr">
        <is>
          <t>Duplicate Review Required</t>
        </is>
      </c>
    </row>
    <row r="30">
      <c r="A30" s="5" t="inlineStr">
        <is>
          <t>WY-0009</t>
        </is>
      </c>
      <c r="B30" s="5" t="inlineStr">
        <is>
          <t>Abu Bakr Supermarket (Queens Road, Leeds)</t>
        </is>
      </c>
      <c r="C30" s="5" t="inlineStr">
        <is>
          <t>Leeds</t>
        </is>
      </c>
      <c r="D30" s="5" t="inlineStr">
        <is>
          <t>https://www.yelp.co.uk/biz/abu-bakar-supermarket-leeds</t>
        </is>
      </c>
      <c r="E30" s="5" t="inlineStr">
        <is>
          <t>Directory</t>
        </is>
      </c>
      <c r="F30" s="5" t="inlineStr">
        <is>
          <t>2026-09-16</t>
        </is>
      </c>
      <c r="G30" s="5" t="inlineStr">
        <is>
          <t>address 37 Queens Road</t>
        </is>
      </c>
      <c r="H30" s="5" t="inlineStr">
        <is>
          <t>Duplicate Review Required</t>
        </is>
      </c>
    </row>
    <row r="31">
      <c r="A31" s="10" t="inlineStr">
        <is>
          <t>WY-0009</t>
        </is>
      </c>
      <c r="B31" s="10" t="inlineStr">
        <is>
          <t>Abu Bakr Supermarket (Queens Road, Leeds)</t>
        </is>
      </c>
      <c r="C31" s="10" t="inlineStr">
        <is>
          <t>Leeds</t>
        </is>
      </c>
      <c r="D31" s="10" t="inlineStr">
        <is>
          <t>https://leeds.ukintouch.com/supermarket/abu-bakr-supermarkets/</t>
        </is>
      </c>
      <c r="E31" s="10" t="inlineStr">
        <is>
          <t>Directory</t>
        </is>
      </c>
      <c r="F31" s="10" t="inlineStr">
        <is>
          <t>2026-09-16</t>
        </is>
      </c>
      <c r="G31" s="10" t="inlineStr">
        <is>
          <t>full address &amp; postcode LS6 1NY</t>
        </is>
      </c>
      <c r="H31" s="10" t="inlineStr">
        <is>
          <t>Duplicate Review Required</t>
        </is>
      </c>
    </row>
    <row r="32">
      <c r="A32" s="5" t="inlineStr">
        <is>
          <t>WY-0009</t>
        </is>
      </c>
      <c r="B32" s="5" t="inlineStr">
        <is>
          <t>Abu Bakr Supermarket (Queens Road, Leeds)</t>
        </is>
      </c>
      <c r="C32" s="5" t="inlineStr">
        <is>
          <t>Leeds</t>
        </is>
      </c>
      <c r="D32" s="5" t="inlineStr">
        <is>
          <t>http://companycheck.co.uk/company/04530917/ABU-BAKAR-SUPERMARKETS-LIMITED</t>
        </is>
      </c>
      <c r="E32" s="5" t="inlineStr">
        <is>
          <t>Companies House</t>
        </is>
      </c>
      <c r="F32" s="5" t="inlineStr">
        <is>
          <t>2026-09-16</t>
        </is>
      </c>
      <c r="G32" s="5" t="inlineStr">
        <is>
          <t>historic company 04530917 (dissolved; not attached)</t>
        </is>
      </c>
      <c r="H32" s="5" t="inlineStr">
        <is>
          <t>Duplicate Review Required</t>
        </is>
      </c>
    </row>
    <row r="33">
      <c r="A33" s="10" t="inlineStr">
        <is>
          <t>WY-0009</t>
        </is>
      </c>
      <c r="B33" s="10" t="inlineStr">
        <is>
          <t>Abu Bakr Supermarket (Queens Road, Leeds)</t>
        </is>
      </c>
      <c r="C33" s="10" t="inlineStr">
        <is>
          <t>Leeds</t>
        </is>
      </c>
      <c r="D33" s="10" t="inlineStr">
        <is>
          <t>https://www.yelp.com/biz/abu-bakar-supermarket-leeds</t>
        </is>
      </c>
      <c r="E33" s="10" t="inlineStr">
        <is>
          <t>Directory</t>
        </is>
      </c>
      <c r="F33" s="10" t="inlineStr">
        <is>
          <t>2026-09-16</t>
        </is>
      </c>
      <c r="G33" s="10" t="inlineStr">
        <is>
          <t>Queens Road address (via search results)</t>
        </is>
      </c>
      <c r="H33" s="10" t="inlineStr">
        <is>
          <t>Duplicate Review Required</t>
        </is>
      </c>
    </row>
    <row r="34">
      <c r="A34" s="5" t="inlineStr">
        <is>
          <t>WY-0010</t>
        </is>
      </c>
      <c r="B34" s="5" t="inlineStr">
        <is>
          <t>Abu Bakr Supermarket (Roundhay Road, Leeds)</t>
        </is>
      </c>
      <c r="C34" s="5" t="inlineStr">
        <is>
          <t>Leeds</t>
        </is>
      </c>
      <c r="D34" s="5" t="inlineStr">
        <is>
          <t>https://www.yelp.com/biz/abubakar-supermarkets-leeds</t>
        </is>
      </c>
      <c r="E34" s="5" t="inlineStr">
        <is>
          <t>Directory</t>
        </is>
      </c>
      <c r="F34" s="5" t="inlineStr">
        <is>
          <t>2026-09-16</t>
        </is>
      </c>
      <c r="G34" s="5" t="inlineStr">
        <is>
          <t>address 215 Roundhay Road</t>
        </is>
      </c>
      <c r="H34" s="5" t="inlineStr">
        <is>
          <t>Partially Verified</t>
        </is>
      </c>
    </row>
    <row r="35">
      <c r="A35" s="10" t="inlineStr">
        <is>
          <t>WY-0010</t>
        </is>
      </c>
      <c r="B35" s="10" t="inlineStr">
        <is>
          <t>Abu Bakr Supermarket (Roundhay Road, Leeds)</t>
        </is>
      </c>
      <c r="C35" s="10" t="inlineStr">
        <is>
          <t>Leeds</t>
        </is>
      </c>
      <c r="D35" s="10" t="inlineStr">
        <is>
          <t>https://www.yorkshire.com/chapel-allerton/shopping/supermarkets/abu-bakr-supermarket-roundhay-road</t>
        </is>
      </c>
      <c r="E35" s="10" t="inlineStr">
        <is>
          <t>Directory</t>
        </is>
      </c>
      <c r="F35" s="10" t="inlineStr">
        <is>
          <t>2026-09-16</t>
        </is>
      </c>
      <c r="G35" s="10" t="inlineStr">
        <is>
          <t>store existence, opened 2004</t>
        </is>
      </c>
      <c r="H35" s="10" t="inlineStr">
        <is>
          <t>Partially Verified</t>
        </is>
      </c>
    </row>
    <row r="36">
      <c r="A36" s="5" t="inlineStr">
        <is>
          <t>WY-0010</t>
        </is>
      </c>
      <c r="B36" s="5" t="inlineStr">
        <is>
          <t>Abu Bakr Supermarket (Roundhay Road, Leeds)</t>
        </is>
      </c>
      <c r="C36" s="5" t="inlineStr">
        <is>
          <t>Leeds</t>
        </is>
      </c>
      <c r="D36" s="5" t="inlineStr">
        <is>
          <t>https://www.abubakrgroup.com/</t>
        </is>
      </c>
      <c r="E36" s="5" t="inlineStr">
        <is>
          <t>Official Website</t>
        </is>
      </c>
      <c r="F36" s="5" t="inlineStr">
        <is>
          <t>2026-09-16</t>
        </is>
      </c>
      <c r="G36" s="5" t="inlineStr">
        <is>
          <t>group store list (via search extraction)</t>
        </is>
      </c>
      <c r="H36" s="5" t="inlineStr">
        <is>
          <t>Partially Verified</t>
        </is>
      </c>
    </row>
    <row r="37">
      <c r="A37" s="10" t="inlineStr">
        <is>
          <t>WY-0011</t>
        </is>
      </c>
      <c r="B37" s="10" t="inlineStr">
        <is>
          <t>Cheapasmokes</t>
        </is>
      </c>
      <c r="C37" s="10" t="inlineStr">
        <is>
          <t>Halifax</t>
        </is>
      </c>
      <c r="D37" s="10" t="inlineStr">
        <is>
          <t>https://www.cheapasmokes.com/pages/cheapasmokes-halifax</t>
        </is>
      </c>
      <c r="E37" s="10" t="inlineStr">
        <is>
          <t>Official Website</t>
        </is>
      </c>
      <c r="F37" s="10" t="inlineStr">
        <is>
          <t>2026-09-16</t>
        </is>
      </c>
      <c r="G37" s="10" t="inlineStr">
        <is>
          <t>store page, address, description (via search snippet; fetch blocked)</t>
        </is>
      </c>
      <c r="H37" s="10" t="inlineStr">
        <is>
          <t>Partially Verified</t>
        </is>
      </c>
    </row>
    <row r="38">
      <c r="A38" s="5" t="inlineStr">
        <is>
          <t>WY-0011</t>
        </is>
      </c>
      <c r="B38" s="5" t="inlineStr">
        <is>
          <t>Cheapasmokes</t>
        </is>
      </c>
      <c r="C38" s="5" t="inlineStr">
        <is>
          <t>Halifax</t>
        </is>
      </c>
      <c r="D38" s="5" t="inlineStr">
        <is>
          <t>https://cigars.co.uk/location/cheapasmokes-halifax/</t>
        </is>
      </c>
      <c r="E38" s="5" t="inlineStr">
        <is>
          <t>Directory</t>
        </is>
      </c>
      <c r="F38" s="5" t="inlineStr">
        <is>
          <t>2026-09-16</t>
        </is>
      </c>
      <c r="G38" s="5" t="inlineStr">
        <is>
          <t>stockist listing, phone</t>
        </is>
      </c>
      <c r="H38" s="5" t="inlineStr">
        <is>
          <t>Partially Verified</t>
        </is>
      </c>
    </row>
    <row r="39">
      <c r="A39" s="10" t="inlineStr">
        <is>
          <t>WY-0011</t>
        </is>
      </c>
      <c r="B39" s="10" t="inlineStr">
        <is>
          <t>Cheapasmokes</t>
        </is>
      </c>
      <c r="C39" s="10" t="inlineStr">
        <is>
          <t>Halifax</t>
        </is>
      </c>
      <c r="D39" s="10" t="inlineStr">
        <is>
          <t>https://www.yell.com/biz/cheapasmokes-halifax-3579320/</t>
        </is>
      </c>
      <c r="E39" s="10" t="inlineStr">
        <is>
          <t>Yell</t>
        </is>
      </c>
      <c r="F39" s="10" t="inlineStr">
        <is>
          <t>2026-09-16</t>
        </is>
      </c>
      <c r="G39" s="10" t="inlineStr">
        <is>
          <t>listing confirmation</t>
        </is>
      </c>
      <c r="H39" s="10" t="inlineStr">
        <is>
          <t>Partially Verified</t>
        </is>
      </c>
    </row>
    <row r="40">
      <c r="A40" s="5" t="inlineStr">
        <is>
          <t>WY-0011</t>
        </is>
      </c>
      <c r="B40" s="5" t="inlineStr">
        <is>
          <t>Cheapasmokes</t>
        </is>
      </c>
      <c r="C40" s="5" t="inlineStr">
        <is>
          <t>Halifax</t>
        </is>
      </c>
      <c r="D40" s="5" t="inlineStr">
        <is>
          <t>https://www.cheapasmokes.com/pages/contact-us</t>
        </is>
      </c>
      <c r="E40" s="5" t="inlineStr">
        <is>
          <t>Official Website</t>
        </is>
      </c>
      <c r="F40" s="5" t="inlineStr">
        <is>
          <t>2026-09-16</t>
        </is>
      </c>
      <c r="G40" s="5" t="inlineStr">
        <is>
          <t>email (sales)</t>
        </is>
      </c>
      <c r="H40" s="5" t="inlineStr">
        <is>
          <t>Partially Verified</t>
        </is>
      </c>
    </row>
    <row r="41">
      <c r="A41" s="10" t="inlineStr">
        <is>
          <t>WY-0012</t>
        </is>
      </c>
      <c r="B41" s="10" t="inlineStr">
        <is>
          <t>C.Gars Leeds (Dominique London)</t>
        </is>
      </c>
      <c r="C41" s="10" t="inlineStr">
        <is>
          <t>Leeds</t>
        </is>
      </c>
      <c r="D41" s="10" t="inlineStr">
        <is>
          <t>https://www.cgarsltd.co.uk/new-cgars-ltd-store-leeds-a-521.html</t>
        </is>
      </c>
      <c r="E41" s="10" t="inlineStr">
        <is>
          <t>Official Website</t>
        </is>
      </c>
      <c r="F41" s="10" t="inlineStr">
        <is>
          <t>2026-09-16</t>
        </is>
      </c>
      <c r="G41" s="10" t="inlineStr">
        <is>
          <t>store address, description (via search results)</t>
        </is>
      </c>
      <c r="H41" s="10" t="inlineStr">
        <is>
          <t>Requires Verification</t>
        </is>
      </c>
    </row>
    <row r="42">
      <c r="A42" s="5" t="inlineStr">
        <is>
          <t>WY-0012</t>
        </is>
      </c>
      <c r="B42" s="5" t="inlineStr">
        <is>
          <t>C.Gars Leeds (Dominique London)</t>
        </is>
      </c>
      <c r="C42" s="5" t="inlineStr">
        <is>
          <t>Leeds</t>
        </is>
      </c>
      <c r="D42" s="5" t="inlineStr">
        <is>
          <t>https://cigars.co.uk/news/new-havana-cigar-specialist-opens-in-leeds/</t>
        </is>
      </c>
      <c r="E42" s="5" t="inlineStr">
        <is>
          <t>News / Trade Press</t>
        </is>
      </c>
      <c r="F42" s="5" t="inlineStr">
        <is>
          <t>2026-09-16</t>
        </is>
      </c>
      <c r="G42" s="5" t="inlineStr">
        <is>
          <t>opening announcement, Thornton's Arcade location (via search results)</t>
        </is>
      </c>
      <c r="H42" s="5" t="inlineStr">
        <is>
          <t>Requires Verification</t>
        </is>
      </c>
    </row>
    <row r="43">
      <c r="A43" s="10" t="inlineStr">
        <is>
          <t>WY-0012</t>
        </is>
      </c>
      <c r="B43" s="10" t="inlineStr">
        <is>
          <t>C.Gars Leeds (Dominique London)</t>
        </is>
      </c>
      <c r="C43" s="10" t="inlineStr">
        <is>
          <t>Leeds</t>
        </is>
      </c>
      <c r="D43" s="10" t="inlineStr">
        <is>
          <t>https://www.cgarsltd.co.uk/cigar-shops/CGars_Leeds_1.html</t>
        </is>
      </c>
      <c r="E43" s="10" t="inlineStr">
        <is>
          <t>Official Website</t>
        </is>
      </c>
      <c r="F43" s="10" t="inlineStr">
        <is>
          <t>2026-09-16</t>
        </is>
      </c>
      <c r="G43" s="10" t="inlineStr">
        <is>
          <t>phone</t>
        </is>
      </c>
      <c r="H43" s="10" t="inlineStr">
        <is>
          <t>Requires Verification</t>
        </is>
      </c>
    </row>
    <row r="44">
      <c r="A44" s="5" t="inlineStr">
        <is>
          <t>WY-0013</t>
        </is>
      </c>
      <c r="B44" s="5" t="inlineStr">
        <is>
          <t>Ecig N Vape South Elmsall</t>
        </is>
      </c>
      <c r="C44" s="5" t="inlineStr">
        <is>
          <t>South Elmsall</t>
        </is>
      </c>
      <c r="D44" s="5" t="inlineStr">
        <is>
          <t>https://www.chamberofcommerce.uk/business-directory/england/south-elmsallsouth-kirkby/miscellaneous/2381504-ecig-n-vape-south-elmsall</t>
        </is>
      </c>
      <c r="E44" s="5" t="inlineStr">
        <is>
          <t>Directory</t>
        </is>
      </c>
      <c r="F44" s="5" t="inlineStr">
        <is>
          <t>2026-09-16</t>
        </is>
      </c>
      <c r="G44" s="5" t="inlineStr">
        <is>
          <t>address 13 Barnsley Rd WF9 2RJ, phone</t>
        </is>
      </c>
      <c r="H44" s="5" t="inlineStr">
        <is>
          <t>Requires Verification</t>
        </is>
      </c>
    </row>
    <row r="45">
      <c r="A45" s="10" t="inlineStr">
        <is>
          <t>WY-0013</t>
        </is>
      </c>
      <c r="B45" s="10" t="inlineStr">
        <is>
          <t>Ecig N Vape South Elmsall</t>
        </is>
      </c>
      <c r="C45" s="10" t="inlineStr">
        <is>
          <t>South Elmsall</t>
        </is>
      </c>
      <c r="D45" s="10" t="inlineStr">
        <is>
          <t>https://www.facebook.com/Ecignvapesouthelmsall/</t>
        </is>
      </c>
      <c r="E45" s="10" t="inlineStr">
        <is>
          <t>Facebook</t>
        </is>
      </c>
      <c r="F45" s="10" t="inlineStr">
        <is>
          <t>2026-09-16</t>
        </is>
      </c>
      <c r="G45" s="10" t="inlineStr">
        <is>
          <t>trading status, second shop announcement</t>
        </is>
      </c>
      <c r="H45" s="10" t="inlineStr">
        <is>
          <t>Requires Verification</t>
        </is>
      </c>
    </row>
    <row r="46">
      <c r="A46" s="5" t="inlineStr">
        <is>
          <t>WY-0013</t>
        </is>
      </c>
      <c r="B46" s="5" t="inlineStr">
        <is>
          <t>Ecig N Vape South Elmsall</t>
        </is>
      </c>
      <c r="C46" s="5" t="inlineStr">
        <is>
          <t>South Elmsall</t>
        </is>
      </c>
      <c r="D46" s="5" t="inlineStr">
        <is>
          <t>https://find-and-update.company-information.service.gov.uk/company/12772350</t>
        </is>
      </c>
      <c r="E46" s="5" t="inlineStr">
        <is>
          <t>Companies House</t>
        </is>
      </c>
      <c r="F46" s="5" t="inlineStr">
        <is>
          <t>2026-09-16</t>
        </is>
      </c>
      <c r="G46" s="5" t="inlineStr">
        <is>
          <t>company number (URL surfaced in search; page not fetched)</t>
        </is>
      </c>
      <c r="H46" s="5" t="inlineStr">
        <is>
          <t>Requires Verification</t>
        </is>
      </c>
    </row>
    <row r="47">
      <c r="A47" s="10" t="inlineStr">
        <is>
          <t>WY-0014</t>
        </is>
      </c>
      <c r="B47" s="10" t="inlineStr">
        <is>
          <t>GT News (White Rose Shopping Centre)</t>
        </is>
      </c>
      <c r="C47" s="10" t="inlineStr">
        <is>
          <t>Leeds</t>
        </is>
      </c>
      <c r="D47" s="10" t="inlineStr">
        <is>
          <t>https://www.leedsonline.co.uk/info/17974/</t>
        </is>
      </c>
      <c r="E47" s="10" t="inlineStr">
        <is>
          <t>Directory</t>
        </is>
      </c>
      <c r="F47" s="10" t="inlineStr">
        <is>
          <t>2026-09-16</t>
        </is>
      </c>
      <c r="G47" s="10" t="inlineStr">
        <is>
          <t>name, unit addresses, phone, website (via search results)</t>
        </is>
      </c>
      <c r="H47" s="10" t="inlineStr">
        <is>
          <t>Requires Verification</t>
        </is>
      </c>
    </row>
    <row r="48">
      <c r="A48" s="5" t="inlineStr">
        <is>
          <t>WY-0014</t>
        </is>
      </c>
      <c r="B48" s="5" t="inlineStr">
        <is>
          <t>GT News (White Rose Shopping Centre)</t>
        </is>
      </c>
      <c r="C48" s="5" t="inlineStr">
        <is>
          <t>Leeds</t>
        </is>
      </c>
      <c r="D48" s="5" t="inlineStr">
        <is>
          <t>https://www.misterwhat.co.uk/company/2740902-gt-news-leeds</t>
        </is>
      </c>
      <c r="E48" s="5" t="inlineStr">
        <is>
          <t>Directory</t>
        </is>
      </c>
      <c r="F48" s="5" t="inlineStr">
        <is>
          <t>2026-09-16</t>
        </is>
      </c>
      <c r="G48" s="5" t="inlineStr">
        <is>
          <t>postcode</t>
        </is>
      </c>
      <c r="H48" s="5" t="inlineStr">
        <is>
          <t>Requires Verification</t>
        </is>
      </c>
    </row>
    <row r="49">
      <c r="A49" s="10" t="inlineStr">
        <is>
          <t>WY-0015</t>
        </is>
      </c>
      <c r="B49" s="10" t="inlineStr">
        <is>
          <t>KPM Vapes</t>
        </is>
      </c>
      <c r="C49" s="10" t="inlineStr">
        <is>
          <t>Huddersfield</t>
        </is>
      </c>
      <c r="D49" s="10" t="inlineStr">
        <is>
          <t>https://www.instagram.com/kpmvapes/</t>
        </is>
      </c>
      <c r="E49" s="10" t="inlineStr">
        <is>
          <t>Instagram</t>
        </is>
      </c>
      <c r="F49" s="10" t="inlineStr">
        <is>
          <t>2026-09-16</t>
        </is>
      </c>
      <c r="G49" s="10" t="inlineStr">
        <is>
          <t>address 87/89 Wakefield Road HD5 9AB (posted by business)</t>
        </is>
      </c>
      <c r="H49" s="10" t="inlineStr">
        <is>
          <t>Requires Verification</t>
        </is>
      </c>
    </row>
    <row r="50">
      <c r="A50" s="5" t="inlineStr">
        <is>
          <t>WY-0015</t>
        </is>
      </c>
      <c r="B50" s="5" t="inlineStr">
        <is>
          <t>KPM Vapes</t>
        </is>
      </c>
      <c r="C50" s="5" t="inlineStr">
        <is>
          <t>Huddersfield</t>
        </is>
      </c>
      <c r="D50" s="5" t="inlineStr">
        <is>
          <t>https://www.yellowtom.co.uk/1574732</t>
        </is>
      </c>
      <c r="E50" s="5" t="inlineStr">
        <is>
          <t>Directory</t>
        </is>
      </c>
      <c r="F50" s="5" t="inlineStr">
        <is>
          <t>2026-09-16</t>
        </is>
      </c>
      <c r="G50" s="5" t="inlineStr">
        <is>
          <t>phone, email, Bradford branch</t>
        </is>
      </c>
      <c r="H50" s="5" t="inlineStr">
        <is>
          <t>Requires Verification</t>
        </is>
      </c>
    </row>
    <row r="51">
      <c r="A51" s="10" t="inlineStr">
        <is>
          <t>WY-0015</t>
        </is>
      </c>
      <c r="B51" s="10" t="inlineStr">
        <is>
          <t>KPM Vapes</t>
        </is>
      </c>
      <c r="C51" s="10" t="inlineStr">
        <is>
          <t>Huddersfield</t>
        </is>
      </c>
      <c r="D51" s="10" t="inlineStr">
        <is>
          <t>https://www.facebook.com/people/KPM-Vapes/61556161391449/</t>
        </is>
      </c>
      <c r="E51" s="10" t="inlineStr">
        <is>
          <t>Facebook</t>
        </is>
      </c>
      <c r="F51" s="10" t="inlineStr">
        <is>
          <t>2026-09-16</t>
        </is>
      </c>
      <c r="G51" s="10" t="inlineStr">
        <is>
          <t>business Facebook page</t>
        </is>
      </c>
      <c r="H51" s="10" t="inlineStr">
        <is>
          <t>Requires Verification</t>
        </is>
      </c>
    </row>
    <row r="52">
      <c r="A52" s="5" t="inlineStr">
        <is>
          <t>WY-0016</t>
        </is>
      </c>
      <c r="B52" s="5" t="inlineStr">
        <is>
          <t>Chidswell Service Station (Karan Retail)</t>
        </is>
      </c>
      <c r="C52" s="5" t="inlineStr">
        <is>
          <t>Dewsbury</t>
        </is>
      </c>
      <c r="D52" s="5" t="inlineStr">
        <is>
          <t>https://www.asiantrader.biz/karan-retail-chidswell-service-station-acquisition</t>
        </is>
      </c>
      <c r="E52" s="5" t="inlineStr">
        <is>
          <t>News / Trade Press</t>
        </is>
      </c>
      <c r="F52" s="5" t="inlineStr">
        <is>
          <t>2026-09-16</t>
        </is>
      </c>
      <c r="G52" s="5" t="inlineStr">
        <is>
          <t>acquisition of Chidswell Service Station, location off A653</t>
        </is>
      </c>
      <c r="H52" s="5" t="inlineStr">
        <is>
          <t>Requires Verification</t>
        </is>
      </c>
    </row>
    <row r="53">
      <c r="A53" s="10" t="inlineStr">
        <is>
          <t>WY-0017</t>
        </is>
      </c>
      <c r="B53" s="10" t="inlineStr">
        <is>
          <t>Manchester Superstore (Wakefield)</t>
        </is>
      </c>
      <c r="C53" s="10" t="inlineStr">
        <is>
          <t>Wakefield</t>
        </is>
      </c>
      <c r="D53" s="10" t="inlineStr">
        <is>
          <t>https://manchestersuperstores.co.uk/store-locations/manchester-super-stores-in-wakefield/</t>
        </is>
      </c>
      <c r="E53" s="10" t="inlineStr">
        <is>
          <t>Official Website</t>
        </is>
      </c>
      <c r="F53" s="10" t="inlineStr">
        <is>
          <t>2026-09-16</t>
        </is>
      </c>
      <c r="G53" s="10" t="inlineStr">
        <is>
          <t>store existence, description (seen in search results; fetch blocked)</t>
        </is>
      </c>
      <c r="H53" s="10" t="inlineStr">
        <is>
          <t>Requires Verification</t>
        </is>
      </c>
    </row>
    <row r="54">
      <c r="A54" s="5" t="inlineStr">
        <is>
          <t>WY-0017</t>
        </is>
      </c>
      <c r="B54" s="5" t="inlineStr">
        <is>
          <t>Manchester Superstore (Wakefield)</t>
        </is>
      </c>
      <c r="C54" s="5" t="inlineStr">
        <is>
          <t>Wakefield</t>
        </is>
      </c>
      <c r="D54" s="5" t="inlineStr">
        <is>
          <t>http://ukplaces.com/Supermarkets/wakefield/manchester-superstore</t>
        </is>
      </c>
      <c r="E54" s="5" t="inlineStr">
        <is>
          <t>Directory</t>
        </is>
      </c>
      <c r="F54" s="5" t="inlineStr">
        <is>
          <t>2026-09-16</t>
        </is>
      </c>
      <c r="G54" s="5" t="inlineStr">
        <is>
          <t>address 38 Park Lodge Lane WF1 4NL, phone</t>
        </is>
      </c>
      <c r="H54" s="5" t="inlineStr">
        <is>
          <t>Requires Verification</t>
        </is>
      </c>
    </row>
    <row r="55">
      <c r="A55" s="10" t="inlineStr">
        <is>
          <t>WY-0017</t>
        </is>
      </c>
      <c r="B55" s="10" t="inlineStr">
        <is>
          <t>Manchester Superstore (Wakefield)</t>
        </is>
      </c>
      <c r="C55" s="10" t="inlineStr">
        <is>
          <t>Wakefield</t>
        </is>
      </c>
      <c r="D55" s="10" t="inlineStr">
        <is>
          <t>https://find-and-update.company-information.service.gov.uk/company/08447369</t>
        </is>
      </c>
      <c r="E55" s="10" t="inlineStr">
        <is>
          <t>Companies House</t>
        </is>
      </c>
      <c r="F55" s="10" t="inlineStr">
        <is>
          <t>2026-09-16</t>
        </is>
      </c>
      <c r="G55" s="10" t="inlineStr">
        <is>
          <t>company number and registered name (URL surfaced in search)</t>
        </is>
      </c>
      <c r="H55" s="10" t="inlineStr">
        <is>
          <t>Requires Verification</t>
        </is>
      </c>
    </row>
    <row r="56">
      <c r="A56" s="5" t="inlineStr">
        <is>
          <t>WY-0018</t>
        </is>
      </c>
      <c r="B56" s="5" t="inlineStr">
        <is>
          <t>Manchester Superstore Bradford</t>
        </is>
      </c>
      <c r="C56" s="5" t="inlineStr">
        <is>
          <t>Bradford</t>
        </is>
      </c>
      <c r="D56" s="5" t="inlineStr">
        <is>
          <t>https://manchestersuperstores.co.uk/store-locations/manchester-super-stores-in-bradford/</t>
        </is>
      </c>
      <c r="E56" s="5" t="inlineStr">
        <is>
          <t>Official Website</t>
        </is>
      </c>
      <c r="F56" s="5" t="inlineStr">
        <is>
          <t>2026-09-16</t>
        </is>
      </c>
      <c r="G56" s="5" t="inlineStr">
        <is>
          <t>Bradford store page exists (search result; fetch blocked)</t>
        </is>
      </c>
      <c r="H56" s="5" t="inlineStr">
        <is>
          <t>Partially Verified</t>
        </is>
      </c>
    </row>
    <row r="57">
      <c r="A57" s="10" t="inlineStr">
        <is>
          <t>WY-0018</t>
        </is>
      </c>
      <c r="B57" s="10" t="inlineStr">
        <is>
          <t>Manchester Superstore Bradford</t>
        </is>
      </c>
      <c r="C57" s="10" t="inlineStr">
        <is>
          <t>Bradford</t>
        </is>
      </c>
      <c r="D57" s="10" t="inlineStr">
        <is>
          <t>https://gb.near-place.com/manchester-superstore-florence-street-bradford</t>
        </is>
      </c>
      <c r="E57" s="10" t="inlineStr">
        <is>
          <t>Directory</t>
        </is>
      </c>
      <c r="F57" s="10" t="inlineStr">
        <is>
          <t>2026-09-16</t>
        </is>
      </c>
      <c r="G57" s="10" t="inlineStr">
        <is>
          <t>address Florence Street BD3 8EX, phone (search snippet)</t>
        </is>
      </c>
      <c r="H57" s="10" t="inlineStr">
        <is>
          <t>Partially Verified</t>
        </is>
      </c>
    </row>
    <row r="58">
      <c r="A58" s="5" t="inlineStr">
        <is>
          <t>WY-0018</t>
        </is>
      </c>
      <c r="B58" s="5" t="inlineStr">
        <is>
          <t>Manchester Superstore Bradford</t>
        </is>
      </c>
      <c r="C58" s="5" t="inlineStr">
        <is>
          <t>Bradford</t>
        </is>
      </c>
      <c r="D58" s="5" t="inlineStr">
        <is>
          <t>https://www.facebook.com/p/Manchester-SuperStore-Bradford-100066139307711/</t>
        </is>
      </c>
      <c r="E58" s="5" t="inlineStr">
        <is>
          <t>Facebook</t>
        </is>
      </c>
      <c r="F58" s="5" t="inlineStr">
        <is>
          <t>2026-09-16</t>
        </is>
      </c>
      <c r="G58" s="5" t="inlineStr">
        <is>
          <t>email</t>
        </is>
      </c>
      <c r="H58" s="5" t="inlineStr">
        <is>
          <t>Partially Verified</t>
        </is>
      </c>
    </row>
    <row r="59">
      <c r="A59" s="10" t="inlineStr">
        <is>
          <t>WY-0019</t>
        </is>
      </c>
      <c r="B59" s="10" t="inlineStr">
        <is>
          <t>Mullaco (Batley)</t>
        </is>
      </c>
      <c r="C59" s="10" t="inlineStr">
        <is>
          <t>Batley</t>
        </is>
      </c>
      <c r="D59" s="10" t="inlineStr">
        <is>
          <t>https://www.zoominfo.com/c/mullaco-ltd/370332224</t>
        </is>
      </c>
      <c r="E59" s="10" t="inlineStr">
        <is>
          <t>Directory</t>
        </is>
      </c>
      <c r="F59" s="10" t="inlineStr">
        <is>
          <t>2026-09-16</t>
        </is>
      </c>
      <c r="G59" s="10" t="inlineStr">
        <is>
          <t>Batley store address 35 Oxford Street WF17 7PJ, head office</t>
        </is>
      </c>
      <c r="H59" s="10" t="inlineStr">
        <is>
          <t>Requires Verification</t>
        </is>
      </c>
    </row>
    <row r="60">
      <c r="A60" s="5" t="inlineStr">
        <is>
          <t>WY-0019</t>
        </is>
      </c>
      <c r="B60" s="5" t="inlineStr">
        <is>
          <t>Mullaco (Batley)</t>
        </is>
      </c>
      <c r="C60" s="5" t="inlineStr">
        <is>
          <t>Batley</t>
        </is>
      </c>
      <c r="D60" s="5" t="inlineStr">
        <is>
          <t>https://mullaco.co.uk/contact-us/</t>
        </is>
      </c>
      <c r="E60" s="5" t="inlineStr">
        <is>
          <t>Official Website</t>
        </is>
      </c>
      <c r="F60" s="5" t="inlineStr">
        <is>
          <t>2026-09-16</t>
        </is>
      </c>
      <c r="G60" s="5" t="inlineStr">
        <is>
          <t>website URL seen in search results (fetch blocked)</t>
        </is>
      </c>
      <c r="H60" s="5" t="inlineStr">
        <is>
          <t>Requires Verification</t>
        </is>
      </c>
    </row>
    <row r="61">
      <c r="A61" s="10" t="inlineStr">
        <is>
          <t>WY-0019</t>
        </is>
      </c>
      <c r="B61" s="10" t="inlineStr">
        <is>
          <t>Mullaco (Batley)</t>
        </is>
      </c>
      <c r="C61" s="10" t="inlineStr">
        <is>
          <t>Batley</t>
        </is>
      </c>
      <c r="D61" s="10" t="inlineStr">
        <is>
          <t>https://m.yelp.com/biz/mullaco-foods-batley</t>
        </is>
      </c>
      <c r="E61" s="10" t="inlineStr">
        <is>
          <t>Directory</t>
        </is>
      </c>
      <c r="F61" s="10" t="inlineStr">
        <is>
          <t>2026-09-16</t>
        </is>
      </c>
      <c r="G61" s="10" t="inlineStr">
        <is>
          <t>phone</t>
        </is>
      </c>
      <c r="H61" s="10" t="inlineStr">
        <is>
          <t>Requires Verification</t>
        </is>
      </c>
    </row>
    <row r="62">
      <c r="A62" s="5" t="inlineStr">
        <is>
          <t>WY-0020</t>
        </is>
      </c>
      <c r="B62" s="5" t="inlineStr">
        <is>
          <t>Mullaco Minimarket (Dewsbury)</t>
        </is>
      </c>
      <c r="C62" s="5" t="inlineStr">
        <is>
          <t>Dewsbury</t>
        </is>
      </c>
      <c r="D62" s="5" t="inlineStr">
        <is>
          <t>https://www.zoominfo.com/c/mullaco-ltd/370332224</t>
        </is>
      </c>
      <c r="E62" s="5" t="inlineStr">
        <is>
          <t>Directory</t>
        </is>
      </c>
      <c r="F62" s="5" t="inlineStr">
        <is>
          <t>2026-09-16</t>
        </is>
      </c>
      <c r="G62" s="5" t="inlineStr">
        <is>
          <t>minimarket postcode WF12 9LX</t>
        </is>
      </c>
      <c r="H62" s="5" t="inlineStr">
        <is>
          <t>Requires Verification</t>
        </is>
      </c>
    </row>
    <row r="63">
      <c r="A63" s="10" t="inlineStr">
        <is>
          <t>WY-0020</t>
        </is>
      </c>
      <c r="B63" s="10" t="inlineStr">
        <is>
          <t>Mullaco Minimarket (Dewsbury)</t>
        </is>
      </c>
      <c r="C63" s="10" t="inlineStr">
        <is>
          <t>Dewsbury</t>
        </is>
      </c>
      <c r="D63" s="10" t="inlineStr">
        <is>
          <t>https://www.facebook.com/mullaco.supermarket/</t>
        </is>
      </c>
      <c r="E63" s="10" t="inlineStr">
        <is>
          <t>Facebook</t>
        </is>
      </c>
      <c r="F63" s="10" t="inlineStr">
        <is>
          <t>2026-09-16</t>
        </is>
      </c>
      <c r="G63" s="10" t="inlineStr">
        <is>
          <t>social (facebook)</t>
        </is>
      </c>
      <c r="H63" s="10" t="inlineStr">
        <is>
          <t>Requires Verification</t>
        </is>
      </c>
    </row>
    <row r="64">
      <c r="A64" s="5" t="inlineStr">
        <is>
          <t>WY-0021</t>
        </is>
      </c>
      <c r="B64" s="5" t="inlineStr">
        <is>
          <t>Mullaco Supermarket (Dewsbury)</t>
        </is>
      </c>
      <c r="C64" s="5" t="inlineStr">
        <is>
          <t>Dewsbury</t>
        </is>
      </c>
      <c r="D64" s="5" t="inlineStr">
        <is>
          <t>https://dewsbury.cylex-uk.co.uk/company/mullaco-online-23857309.html</t>
        </is>
      </c>
      <c r="E64" s="5" t="inlineStr">
        <is>
          <t>Directory</t>
        </is>
      </c>
      <c r="F64" s="5" t="inlineStr">
        <is>
          <t>2026-09-16</t>
        </is>
      </c>
      <c r="G64" s="5" t="inlineStr">
        <is>
          <t>address, phone</t>
        </is>
      </c>
      <c r="H64" s="5" t="inlineStr">
        <is>
          <t>Requires Verification</t>
        </is>
      </c>
    </row>
    <row r="65">
      <c r="A65" s="10" t="inlineStr">
        <is>
          <t>WY-0021</t>
        </is>
      </c>
      <c r="B65" s="10" t="inlineStr">
        <is>
          <t>Mullaco Supermarket (Dewsbury)</t>
        </is>
      </c>
      <c r="C65" s="10" t="inlineStr">
        <is>
          <t>Dewsbury</t>
        </is>
      </c>
      <c r="D65" s="10" t="inlineStr">
        <is>
          <t>https://www.yorkshire.com/dewsbury/shopping/supermarkets/mullaco-supermarket</t>
        </is>
      </c>
      <c r="E65" s="10" t="inlineStr">
        <is>
          <t>Directory</t>
        </is>
      </c>
      <c r="F65" s="10" t="inlineStr">
        <is>
          <t>2026-09-16</t>
        </is>
      </c>
      <c r="G65" s="10" t="inlineStr">
        <is>
          <t>store description</t>
        </is>
      </c>
      <c r="H65" s="10" t="inlineStr">
        <is>
          <t>Requires Verification</t>
        </is>
      </c>
    </row>
    <row r="66">
      <c r="A66" s="5" t="inlineStr">
        <is>
          <t>WY-0021</t>
        </is>
      </c>
      <c r="B66" s="5" t="inlineStr">
        <is>
          <t>Mullaco Supermarket (Dewsbury)</t>
        </is>
      </c>
      <c r="C66" s="5" t="inlineStr">
        <is>
          <t>Dewsbury</t>
        </is>
      </c>
      <c r="D66" s="5" t="inlineStr">
        <is>
          <t>https://find-and-update.company-information.service.gov.uk/company/06629345</t>
        </is>
      </c>
      <c r="E66" s="5" t="inlineStr">
        <is>
          <t>Companies House</t>
        </is>
      </c>
      <c r="F66" s="5" t="inlineStr">
        <is>
          <t>2026-09-16</t>
        </is>
      </c>
      <c r="G66" s="5" t="inlineStr">
        <is>
          <t>registered company name, company number</t>
        </is>
      </c>
      <c r="H66" s="5" t="inlineStr">
        <is>
          <t>Requires Verification</t>
        </is>
      </c>
    </row>
    <row r="67">
      <c r="A67" s="10" t="inlineStr">
        <is>
          <t>WY-0021</t>
        </is>
      </c>
      <c r="B67" s="10" t="inlineStr">
        <is>
          <t>Mullaco Supermarket (Dewsbury)</t>
        </is>
      </c>
      <c r="C67" s="10" t="inlineStr">
        <is>
          <t>Dewsbury</t>
        </is>
      </c>
      <c r="D67" s="10" t="inlineStr">
        <is>
          <t>https://mullaco.co.uk/contact-us/</t>
        </is>
      </c>
      <c r="E67" s="10" t="inlineStr">
        <is>
          <t>Official Website</t>
        </is>
      </c>
      <c r="F67" s="10" t="inlineStr">
        <is>
          <t>2026-09-16</t>
        </is>
      </c>
      <c r="G67" s="10" t="inlineStr">
        <is>
          <t>website URL seen in search results (fetch blocked)</t>
        </is>
      </c>
      <c r="H67" s="10" t="inlineStr">
        <is>
          <t>Requires Verification</t>
        </is>
      </c>
    </row>
    <row r="68">
      <c r="A68" s="5" t="inlineStr">
        <is>
          <t>WY-0022</t>
        </is>
      </c>
      <c r="B68" s="5" t="inlineStr">
        <is>
          <t>SMKD</t>
        </is>
      </c>
      <c r="C68" s="5" t="inlineStr">
        <is>
          <t>Halifax</t>
        </is>
      </c>
      <c r="D68" s="5" t="inlineStr">
        <is>
          <t>https://www.ukmalls.co.uk/shopping-centres/england/yorkshire-and-the-humber/halifax/halifax-borough-market/smkd-e-cigarettes-and-vape-shop-halifax</t>
        </is>
      </c>
      <c r="E68" s="5" t="inlineStr">
        <is>
          <t>Directory</t>
        </is>
      </c>
      <c r="F68" s="5" t="inlineStr">
        <is>
          <t>2026-09-16</t>
        </is>
      </c>
      <c r="G68" s="5" t="inlineStr">
        <is>
          <t>address, postcode, opening hours, possible closure note</t>
        </is>
      </c>
      <c r="H68" s="5" t="inlineStr">
        <is>
          <t>Partially Verified</t>
        </is>
      </c>
    </row>
    <row r="69">
      <c r="A69" s="10" t="inlineStr">
        <is>
          <t>WY-0022</t>
        </is>
      </c>
      <c r="B69" s="10" t="inlineStr">
        <is>
          <t>SMKD</t>
        </is>
      </c>
      <c r="C69" s="10" t="inlineStr">
        <is>
          <t>Halifax</t>
        </is>
      </c>
      <c r="D69" s="10" t="inlineStr">
        <is>
          <t>https://smkd.com/vape-shop-locator/smkd-halifax-vape-shop-market-street/</t>
        </is>
      </c>
      <c r="E69" s="10" t="inlineStr">
        <is>
          <t>Official Website</t>
        </is>
      </c>
      <c r="F69" s="10" t="inlineStr">
        <is>
          <t>2026-09-16</t>
        </is>
      </c>
      <c r="G69" s="10" t="inlineStr">
        <is>
          <t>store locator page URL seen in search results (fetch blocked)</t>
        </is>
      </c>
      <c r="H69" s="10" t="inlineStr">
        <is>
          <t>Partially Verified</t>
        </is>
      </c>
    </row>
    <row r="70">
      <c r="A70" s="5" t="inlineStr">
        <is>
          <t>WY-0023</t>
        </is>
      </c>
      <c r="B70" s="5" t="inlineStr">
        <is>
          <t>SMKD</t>
        </is>
      </c>
      <c r="C70" s="5" t="inlineStr">
        <is>
          <t>Hebden Bridge</t>
        </is>
      </c>
      <c r="D70" s="5" t="inlineStr">
        <is>
          <t>https://smkd.com/vape-shop-locator/smkd-hebden-bridge-vape-shop-west-end/</t>
        </is>
      </c>
      <c r="E70" s="5" t="inlineStr">
        <is>
          <t>Official Website</t>
        </is>
      </c>
      <c r="F70" s="5" t="inlineStr">
        <is>
          <t>2026-09-16</t>
        </is>
      </c>
      <c r="G70" s="5" t="inlineStr">
        <is>
          <t>store location, delivery area, central phone and email (via search snippet; fetch blocked)</t>
        </is>
      </c>
      <c r="H70" s="5" t="inlineStr">
        <is>
          <t>Partially Verified</t>
        </is>
      </c>
    </row>
    <row r="71">
      <c r="A71" s="10" t="inlineStr">
        <is>
          <t>WY-0023</t>
        </is>
      </c>
      <c r="B71" s="10" t="inlineStr">
        <is>
          <t>SMKD</t>
        </is>
      </c>
      <c r="C71" s="10" t="inlineStr">
        <is>
          <t>Hebden Bridge</t>
        </is>
      </c>
      <c r="D71" s="10" t="inlineStr">
        <is>
          <t>https://find-and-update.company-information.service.gov.uk/company/16161027</t>
        </is>
      </c>
      <c r="E71" s="10" t="inlineStr">
        <is>
          <t>Companies House</t>
        </is>
      </c>
      <c r="F71" s="10" t="inlineStr">
        <is>
          <t>2026-09-16</t>
        </is>
      </c>
      <c r="G71" s="10" t="inlineStr">
        <is>
          <t>company number, status, incorporation date, registered office (via search snippet)</t>
        </is>
      </c>
      <c r="H71" s="10" t="inlineStr">
        <is>
          <t>Partially Verified</t>
        </is>
      </c>
    </row>
    <row r="72">
      <c r="A72" s="5" t="inlineStr">
        <is>
          <t>WY-0023</t>
        </is>
      </c>
      <c r="B72" s="5" t="inlineStr">
        <is>
          <t>SMKD</t>
        </is>
      </c>
      <c r="C72" s="5" t="inlineStr">
        <is>
          <t>Hebden Bridge</t>
        </is>
      </c>
      <c r="D72" s="5" t="inlineStr">
        <is>
          <t>https://www.facebook.com/SmkdVapeShop/</t>
        </is>
      </c>
      <c r="E72" s="5" t="inlineStr">
        <is>
          <t>Facebook</t>
        </is>
      </c>
      <c r="F72" s="5" t="inlineStr">
        <is>
          <t>2026-09-16</t>
        </is>
      </c>
      <c r="G72" s="5" t="inlineStr">
        <is>
          <t>social (brand facebook)</t>
        </is>
      </c>
      <c r="H72" s="5" t="inlineStr">
        <is>
          <t>Partially Verified</t>
        </is>
      </c>
    </row>
    <row r="73">
      <c r="A73" s="10" t="inlineStr">
        <is>
          <t>WY-0024</t>
        </is>
      </c>
      <c r="B73" s="10" t="inlineStr">
        <is>
          <t>SMKD - E Cigarettes and Vape Shop (Wakefield)</t>
        </is>
      </c>
      <c r="C73" s="10" t="inlineStr">
        <is>
          <t>Wakefield</t>
        </is>
      </c>
      <c r="D73" s="10" t="inlineStr">
        <is>
          <t>https://smkd.com/vape-shop-locator/wakefield-vape-shop-ridings-shopping-centre/</t>
        </is>
      </c>
      <c r="E73" s="10" t="inlineStr">
        <is>
          <t>Official Website</t>
        </is>
      </c>
      <c r="F73" s="10" t="inlineStr">
        <is>
          <t>2026-09-16</t>
        </is>
      </c>
      <c r="G73" s="10" t="inlineStr">
        <is>
          <t>store existence, location (seen in search results; fetch blocked)</t>
        </is>
      </c>
      <c r="H73" s="10" t="inlineStr">
        <is>
          <t>Partially Verified</t>
        </is>
      </c>
    </row>
    <row r="74">
      <c r="A74" s="5" t="inlineStr">
        <is>
          <t>WY-0024</t>
        </is>
      </c>
      <c r="B74" s="5" t="inlineStr">
        <is>
          <t>SMKD - E Cigarettes and Vape Shop (Wakefield)</t>
        </is>
      </c>
      <c r="C74" s="5" t="inlineStr">
        <is>
          <t>Wakefield</t>
        </is>
      </c>
      <c r="D74" s="5" t="inlineStr">
        <is>
          <t>https://www.chamberofcommerce.uk/business-directory/england/wakefield/miscellaneous/271525-smkd-e-cigarettes-and-vape-shop-wakefield</t>
        </is>
      </c>
      <c r="E74" s="5" t="inlineStr">
        <is>
          <t>Directory</t>
        </is>
      </c>
      <c r="F74" s="5" t="inlineStr">
        <is>
          <t>2026-09-16</t>
        </is>
      </c>
      <c r="G74" s="5" t="inlineStr">
        <is>
          <t>address WF1 1DS, phone</t>
        </is>
      </c>
      <c r="H74" s="5" t="inlineStr">
        <is>
          <t>Partially Verified</t>
        </is>
      </c>
    </row>
    <row r="75">
      <c r="A75" s="10" t="inlineStr">
        <is>
          <t>WY-0024</t>
        </is>
      </c>
      <c r="B75" s="10" t="inlineStr">
        <is>
          <t>SMKD - E Cigarettes and Vape Shop (Wakefield)</t>
        </is>
      </c>
      <c r="C75" s="10" t="inlineStr">
        <is>
          <t>Wakefield</t>
        </is>
      </c>
      <c r="D75" s="10" t="inlineStr">
        <is>
          <t>https://wakefield-eng.business-dir.co.uk/smkd-e-cigarettes-and-vape-shop-wakefield/</t>
        </is>
      </c>
      <c r="E75" s="10" t="inlineStr">
        <is>
          <t>Directory</t>
        </is>
      </c>
      <c r="F75" s="10" t="inlineStr">
        <is>
          <t>2026-09-16</t>
        </is>
      </c>
      <c r="G75" s="10" t="inlineStr">
        <is>
          <t>address cross-check</t>
        </is>
      </c>
      <c r="H75" s="10" t="inlineStr">
        <is>
          <t>Partially Verified</t>
        </is>
      </c>
    </row>
    <row r="76">
      <c r="A76" s="5" t="inlineStr">
        <is>
          <t>WY-0024</t>
        </is>
      </c>
      <c r="B76" s="5" t="inlineStr">
        <is>
          <t>SMKD - E Cigarettes and Vape Shop (Wakefield)</t>
        </is>
      </c>
      <c r="C76" s="5" t="inlineStr">
        <is>
          <t>Wakefield</t>
        </is>
      </c>
      <c r="D76" s="5" t="inlineStr">
        <is>
          <t>https://find-and-update.company-information.service.gov.uk/company/16161027</t>
        </is>
      </c>
      <c r="E76" s="5" t="inlineStr">
        <is>
          <t>Companies House</t>
        </is>
      </c>
      <c r="F76" s="5" t="inlineStr">
        <is>
          <t>2026-09-16</t>
        </is>
      </c>
      <c r="G76" s="5" t="inlineStr">
        <is>
          <t>company number, status, incorporation date, registered office (via search snippet)</t>
        </is>
      </c>
      <c r="H76" s="5" t="inlineStr">
        <is>
          <t>Partially Verified</t>
        </is>
      </c>
    </row>
    <row r="77">
      <c r="A77" s="10" t="inlineStr">
        <is>
          <t>WY-0024</t>
        </is>
      </c>
      <c r="B77" s="10" t="inlineStr">
        <is>
          <t>SMKD - E Cigarettes and Vape Shop (Wakefield)</t>
        </is>
      </c>
      <c r="C77" s="10" t="inlineStr">
        <is>
          <t>Wakefield</t>
        </is>
      </c>
      <c r="D77" s="10" t="inlineStr">
        <is>
          <t>https://www.facebook.com/SmkdVapeShop/</t>
        </is>
      </c>
      <c r="E77" s="10" t="inlineStr">
        <is>
          <t>Facebook</t>
        </is>
      </c>
      <c r="F77" s="10" t="inlineStr">
        <is>
          <t>2026-09-16</t>
        </is>
      </c>
      <c r="G77" s="10" t="inlineStr">
        <is>
          <t>social (brand facebook)</t>
        </is>
      </c>
      <c r="H77" s="10" t="inlineStr">
        <is>
          <t>Partially Verified</t>
        </is>
      </c>
    </row>
    <row r="78">
      <c r="A78" s="5" t="inlineStr">
        <is>
          <t>WY-0025</t>
        </is>
      </c>
      <c r="B78" s="5" t="inlineStr">
        <is>
          <t>Dewsbury Service Station (Savile Petroleum)</t>
        </is>
      </c>
      <c r="C78" s="5" t="inlineStr">
        <is>
          <t>Dewsbury</t>
        </is>
      </c>
      <c r="D78" s="5" t="inlineStr">
        <is>
          <t>https://find-and-update.company-information.service.gov.uk/company/05197700</t>
        </is>
      </c>
      <c r="E78" s="5" t="inlineStr">
        <is>
          <t>Companies House</t>
        </is>
      </c>
      <c r="F78" s="5" t="inlineStr">
        <is>
          <t>2026-09-16</t>
        </is>
      </c>
      <c r="G78" s="5" t="inlineStr">
        <is>
          <t>company number, status, incorporation date, registered office</t>
        </is>
      </c>
      <c r="H78" s="5" t="inlineStr">
        <is>
          <t>Partially Verified</t>
        </is>
      </c>
    </row>
    <row r="79">
      <c r="A79" s="10" t="inlineStr">
        <is>
          <t>WY-0025</t>
        </is>
      </c>
      <c r="B79" s="10" t="inlineStr">
        <is>
          <t>Dewsbury Service Station (Savile Petroleum)</t>
        </is>
      </c>
      <c r="C79" s="10" t="inlineStr">
        <is>
          <t>Dewsbury</t>
        </is>
      </c>
      <c r="D79" s="10" t="inlineStr">
        <is>
          <t>https://www.petrolprices.com/locations/dewsbury/savile-road/8720</t>
        </is>
      </c>
      <c r="E79" s="10" t="inlineStr">
        <is>
          <t>Directory</t>
        </is>
      </c>
      <c r="F79" s="10" t="inlineStr">
        <is>
          <t>2026-09-16</t>
        </is>
      </c>
      <c r="G79" s="10" t="inlineStr">
        <is>
          <t>site address BP Savile Road WF12 9LR</t>
        </is>
      </c>
      <c r="H79" s="10" t="inlineStr">
        <is>
          <t>Partially Verified</t>
        </is>
      </c>
    </row>
    <row r="80">
      <c r="A80" s="5" t="inlineStr">
        <is>
          <t>WY-0025</t>
        </is>
      </c>
      <c r="B80" s="5" t="inlineStr">
        <is>
          <t>Dewsbury Service Station (Savile Petroleum)</t>
        </is>
      </c>
      <c r="C80" s="5" t="inlineStr">
        <is>
          <t>Dewsbury</t>
        </is>
      </c>
      <c r="D80" s="5" t="inlineStr">
        <is>
          <t>https://www.yorkshire.com/dewsbury/services/petrol-stations/savile-petroleum-limited</t>
        </is>
      </c>
      <c r="E80" s="5" t="inlineStr">
        <is>
          <t>Directory</t>
        </is>
      </c>
      <c r="F80" s="5" t="inlineStr">
        <is>
          <t>2026-09-16</t>
        </is>
      </c>
      <c r="G80" s="5" t="inlineStr">
        <is>
          <t>operator name at Dewsbury forecourt</t>
        </is>
      </c>
      <c r="H80" s="5" t="inlineStr">
        <is>
          <t>Partially Verified</t>
        </is>
      </c>
    </row>
    <row r="81">
      <c r="A81" s="10" t="inlineStr">
        <is>
          <t>WY-0025</t>
        </is>
      </c>
      <c r="B81" s="10" t="inlineStr">
        <is>
          <t>Dewsbury Service Station (Savile Petroleum)</t>
        </is>
      </c>
      <c r="C81" s="10" t="inlineStr">
        <is>
          <t>Dewsbury</t>
        </is>
      </c>
      <c r="D81" s="10" t="inlineStr">
        <is>
          <t>https://map.bp.com/en-GB/GB/petrol-station/dewsbury/dewsbury-s-stn/3824</t>
        </is>
      </c>
      <c r="E81" s="10" t="inlineStr">
        <is>
          <t>Directory</t>
        </is>
      </c>
      <c r="F81" s="10" t="inlineStr">
        <is>
          <t>2026-09-16</t>
        </is>
      </c>
      <c r="G81" s="10" t="inlineStr">
        <is>
          <t>facilities, 24/7 opening</t>
        </is>
      </c>
      <c r="H81" s="10" t="inlineStr">
        <is>
          <t>Partially Verified</t>
        </is>
      </c>
    </row>
    <row r="82">
      <c r="A82" s="5" t="inlineStr">
        <is>
          <t>WY-0026</t>
        </is>
      </c>
      <c r="B82" s="5" t="inlineStr">
        <is>
          <t>Sing Kee Foods (Sheepscar)</t>
        </is>
      </c>
      <c r="C82" s="5" t="inlineStr">
        <is>
          <t>Leeds</t>
        </is>
      </c>
      <c r="D82" s="5" t="inlineStr">
        <is>
          <t>https://ratings.food.gov.uk/business/1557203/sing-kee-foods-sheepscar</t>
        </is>
      </c>
      <c r="E82" s="5" t="inlineStr">
        <is>
          <t>Other</t>
        </is>
      </c>
      <c r="F82" s="5" t="inlineStr">
        <is>
          <t>2026-09-16</t>
        </is>
      </c>
      <c r="G82" s="5" t="inlineStr">
        <is>
          <t>Sheepscar site confirmation (via search results)</t>
        </is>
      </c>
      <c r="H82" s="5" t="inlineStr">
        <is>
          <t>Partially Verified</t>
        </is>
      </c>
    </row>
    <row r="83">
      <c r="A83" s="10" t="inlineStr">
        <is>
          <t>WY-0026</t>
        </is>
      </c>
      <c r="B83" s="10" t="inlineStr">
        <is>
          <t>Sing Kee Foods (Sheepscar)</t>
        </is>
      </c>
      <c r="C83" s="10" t="inlineStr">
        <is>
          <t>Leeds</t>
        </is>
      </c>
      <c r="D83" s="10" t="inlineStr">
        <is>
          <t>https://leeds.cylex-uk.co.uk/company/sing-kee-foods-ltd-leeds-23005733.html</t>
        </is>
      </c>
      <c r="E83" s="10" t="inlineStr">
        <is>
          <t>Directory</t>
        </is>
      </c>
      <c r="F83" s="10" t="inlineStr">
        <is>
          <t>2026-09-16</t>
        </is>
      </c>
      <c r="G83" s="10" t="inlineStr">
        <is>
          <t>address, phone (via search results)</t>
        </is>
      </c>
      <c r="H83" s="10" t="inlineStr">
        <is>
          <t>Partially Verified</t>
        </is>
      </c>
    </row>
    <row r="84">
      <c r="A84" s="5" t="inlineStr">
        <is>
          <t>WY-0026</t>
        </is>
      </c>
      <c r="B84" s="5" t="inlineStr">
        <is>
          <t>Sing Kee Foods (Sheepscar)</t>
        </is>
      </c>
      <c r="C84" s="5" t="inlineStr">
        <is>
          <t>Leeds</t>
        </is>
      </c>
      <c r="D84" s="5" t="inlineStr">
        <is>
          <t>https://find-and-update.company-information.service.gov.uk/company/04025779/persons-with-significant-control</t>
        </is>
      </c>
      <c r="E84" s="5" t="inlineStr">
        <is>
          <t>Companies House</t>
        </is>
      </c>
      <c r="F84" s="5" t="inlineStr">
        <is>
          <t>2026-09-16</t>
        </is>
      </c>
      <c r="G84" s="5" t="inlineStr">
        <is>
          <t>registered name and company number (via search results)</t>
        </is>
      </c>
      <c r="H84" s="5" t="inlineStr">
        <is>
          <t>Partially Verified</t>
        </is>
      </c>
    </row>
    <row r="85">
      <c r="A85" s="10" t="inlineStr">
        <is>
          <t>WY-0026</t>
        </is>
      </c>
      <c r="B85" s="10" t="inlineStr">
        <is>
          <t>Sing Kee Foods (Sheepscar)</t>
        </is>
      </c>
      <c r="C85" s="10" t="inlineStr">
        <is>
          <t>Leeds</t>
        </is>
      </c>
      <c r="D85" s="10" t="inlineStr">
        <is>
          <t>https://singkeefoods.com/gb/contact-us</t>
        </is>
      </c>
      <c r="E85" s="10" t="inlineStr">
        <is>
          <t>Official Website</t>
        </is>
      </c>
      <c r="F85" s="10" t="inlineStr">
        <is>
          <t>2026-09-16</t>
        </is>
      </c>
      <c r="G85" s="10" t="inlineStr">
        <is>
          <t>email (wholesale)</t>
        </is>
      </c>
      <c r="H85" s="10" t="inlineStr">
        <is>
          <t>Partially Verified</t>
        </is>
      </c>
    </row>
    <row r="86">
      <c r="A86" s="5" t="inlineStr">
        <is>
          <t>WY-0027</t>
        </is>
      </c>
      <c r="B86" s="5" t="inlineStr">
        <is>
          <t>Sing Kee Oriental Supermarket (Merrion Centre)</t>
        </is>
      </c>
      <c r="C86" s="5" t="inlineStr">
        <is>
          <t>Leeds</t>
        </is>
      </c>
      <c r="D86" s="5" t="inlineStr">
        <is>
          <t>https://www.merrioncentre.co.uk/units/sing-kee</t>
        </is>
      </c>
      <c r="E86" s="5" t="inlineStr">
        <is>
          <t>Directory</t>
        </is>
      </c>
      <c r="F86" s="5" t="inlineStr">
        <is>
          <t>2026-09-16</t>
        </is>
      </c>
      <c r="G86" s="5" t="inlineStr">
        <is>
          <t>unit location in Merrion Centre (via search results)</t>
        </is>
      </c>
      <c r="H86" s="5" t="inlineStr">
        <is>
          <t>Requires Verification</t>
        </is>
      </c>
    </row>
    <row r="87">
      <c r="A87" s="10" t="inlineStr">
        <is>
          <t>WY-0027</t>
        </is>
      </c>
      <c r="B87" s="10" t="inlineStr">
        <is>
          <t>Sing Kee Oriental Supermarket (Merrion Centre)</t>
        </is>
      </c>
      <c r="C87" s="10" t="inlineStr">
        <is>
          <t>Leeds</t>
        </is>
      </c>
      <c r="D87" s="10" t="inlineStr">
        <is>
          <t>https://foursquare.com/v/sing-kee-oriental-supermarket/55a8e8d0498e6e43c116af26</t>
        </is>
      </c>
      <c r="E87" s="10" t="inlineStr">
        <is>
          <t>Directory</t>
        </is>
      </c>
      <c r="F87" s="10" t="inlineStr">
        <is>
          <t>2026-09-16</t>
        </is>
      </c>
      <c r="G87" s="10" t="inlineStr">
        <is>
          <t>address, postcode (via search results)</t>
        </is>
      </c>
      <c r="H87" s="10" t="inlineStr">
        <is>
          <t>Requires Verification</t>
        </is>
      </c>
    </row>
    <row r="88">
      <c r="A88" s="5" t="inlineStr">
        <is>
          <t>WY-0027</t>
        </is>
      </c>
      <c r="B88" s="5" t="inlineStr">
        <is>
          <t>Sing Kee Oriental Supermarket (Merrion Centre)</t>
        </is>
      </c>
      <c r="C88" s="5" t="inlineStr">
        <is>
          <t>Leeds</t>
        </is>
      </c>
      <c r="D88" s="5" t="inlineStr">
        <is>
          <t>https://singkeefoods.co.uk/gb/stores</t>
        </is>
      </c>
      <c r="E88" s="5" t="inlineStr">
        <is>
          <t>Official Website</t>
        </is>
      </c>
      <c r="F88" s="5" t="inlineStr">
        <is>
          <t>2026-09-16</t>
        </is>
      </c>
      <c r="G88" s="5" t="inlineStr">
        <is>
          <t>store list page existence (via search results; direct fetch blocked by proxy)</t>
        </is>
      </c>
      <c r="H88" s="5" t="inlineStr">
        <is>
          <t>Requires Verification</t>
        </is>
      </c>
    </row>
    <row r="89">
      <c r="A89" s="10" t="inlineStr">
        <is>
          <t>WY-0028</t>
        </is>
      </c>
      <c r="B89" s="10" t="inlineStr">
        <is>
          <t>Glasshoughton Service Station</t>
        </is>
      </c>
      <c r="C89" s="10" t="inlineStr">
        <is>
          <t>Castleford</t>
        </is>
      </c>
      <c r="D89" s="10" t="inlineStr">
        <is>
          <t>https://www.nisalocally.co.uk/stores/west-yorkshire/castleford/bp-glasshoughton-ser-st</t>
        </is>
      </c>
      <c r="E89" s="10" t="inlineStr">
        <is>
          <t>Official Website</t>
        </is>
      </c>
      <c r="F89" s="10" t="inlineStr">
        <is>
          <t>2026-09-16</t>
        </is>
      </c>
      <c r="G89" s="10" t="inlineStr">
        <is>
          <t>store presence on Nisa Locally finder (seen in search results; fetch blocked)</t>
        </is>
      </c>
      <c r="H89" s="10" t="inlineStr">
        <is>
          <t>Requires Verification</t>
        </is>
      </c>
    </row>
    <row r="90">
      <c r="A90" s="5" t="inlineStr">
        <is>
          <t>WY-0028</t>
        </is>
      </c>
      <c r="B90" s="5" t="inlineStr">
        <is>
          <t>Glasshoughton Service Station</t>
        </is>
      </c>
      <c r="C90" s="5" t="inlineStr">
        <is>
          <t>Castleford</t>
        </is>
      </c>
      <c r="D90" s="5" t="inlineStr">
        <is>
          <t>https://map.bp.com/en-GB/GB/petrol-station/castleford/glasshoughton-service-station/17857</t>
        </is>
      </c>
      <c r="E90" s="5" t="inlineStr">
        <is>
          <t>Other</t>
        </is>
      </c>
      <c r="F90" s="5" t="inlineStr">
        <is>
          <t>2026-09-16</t>
        </is>
      </c>
      <c r="G90" s="5" t="inlineStr">
        <is>
          <t>BP site listing, Park Road location</t>
        </is>
      </c>
      <c r="H90" s="5" t="inlineStr">
        <is>
          <t>Requires Verification</t>
        </is>
      </c>
    </row>
    <row r="91">
      <c r="A91" s="10" t="inlineStr">
        <is>
          <t>WY-0028</t>
        </is>
      </c>
      <c r="B91" s="10" t="inlineStr">
        <is>
          <t>Glasshoughton Service Station</t>
        </is>
      </c>
      <c r="C91" s="10" t="inlineStr">
        <is>
          <t>Castleford</t>
        </is>
      </c>
      <c r="D91" s="10" t="inlineStr">
        <is>
          <t>https://ratings.food.gov.uk/business/1264691</t>
        </is>
      </c>
      <c r="E91" s="10" t="inlineStr">
        <is>
          <t>Other</t>
        </is>
      </c>
      <c r="F91" s="10" t="inlineStr">
        <is>
          <t>2026-09-16</t>
        </is>
      </c>
      <c r="G91" s="10" t="inlineStr">
        <is>
          <t>operator name 'Nisa Local @ Speed Petroleum'</t>
        </is>
      </c>
      <c r="H91" s="10" t="inlineStr">
        <is>
          <t>Requires Verification</t>
        </is>
      </c>
    </row>
    <row r="92">
      <c r="A92" s="5" t="inlineStr">
        <is>
          <t>WY-0028</t>
        </is>
      </c>
      <c r="B92" s="5" t="inlineStr">
        <is>
          <t>Glasshoughton Service Station</t>
        </is>
      </c>
      <c r="C92" s="5" t="inlineStr">
        <is>
          <t>Castleford</t>
        </is>
      </c>
      <c r="D92" s="5" t="inlineStr">
        <is>
          <t>https://www.justoffjunction.co.uk/fuel.php?ServiceID=4621</t>
        </is>
      </c>
      <c r="E92" s="5" t="inlineStr">
        <is>
          <t>Directory</t>
        </is>
      </c>
      <c r="F92" s="5" t="inlineStr">
        <is>
          <t>2026-09-16</t>
        </is>
      </c>
      <c r="G92" s="5" t="inlineStr">
        <is>
          <t>M62 J32 location, WF10 4RS</t>
        </is>
      </c>
      <c r="H92" s="5" t="inlineStr">
        <is>
          <t>Requires Verification</t>
        </is>
      </c>
    </row>
    <row r="93">
      <c r="A93" s="10" t="inlineStr">
        <is>
          <t>WY-0029</t>
        </is>
      </c>
      <c r="B93" s="10" t="inlineStr">
        <is>
          <t>TB Cash &amp; Carry (Bradford)</t>
        </is>
      </c>
      <c r="C93" s="10" t="inlineStr">
        <is>
          <t>Bradford</t>
        </is>
      </c>
      <c r="D93" s="10" t="inlineStr">
        <is>
          <t>https://www.yell.com/biz/t-b-cash-and-carry-bradford-949082/</t>
        </is>
      </c>
      <c r="E93" s="10" t="inlineStr">
        <is>
          <t>Yell</t>
        </is>
      </c>
      <c r="F93" s="10" t="inlineStr">
        <is>
          <t>2026-09-16</t>
        </is>
      </c>
      <c r="G93" s="10" t="inlineStr">
        <is>
          <t>address, phone</t>
        </is>
      </c>
      <c r="H93" s="10" t="inlineStr">
        <is>
          <t>Verified (website + Companies House)</t>
        </is>
      </c>
    </row>
    <row r="94">
      <c r="A94" s="5" t="inlineStr">
        <is>
          <t>WY-0029</t>
        </is>
      </c>
      <c r="B94" s="5" t="inlineStr">
        <is>
          <t>TB Cash &amp; Carry (Bradford)</t>
        </is>
      </c>
      <c r="C94" s="5" t="inlineStr">
        <is>
          <t>Bradford</t>
        </is>
      </c>
      <c r="D94" s="5" t="inlineStr">
        <is>
          <t>https://www.touchbradford.com/business/t-b-cash-and-carry/22060903</t>
        </is>
      </c>
      <c r="E94" s="5" t="inlineStr">
        <is>
          <t>Directory</t>
        </is>
      </c>
      <c r="F94" s="5" t="inlineStr">
        <is>
          <t>2026-09-16</t>
        </is>
      </c>
      <c r="G94" s="5" t="inlineStr">
        <is>
          <t>address, phone cross-check</t>
        </is>
      </c>
      <c r="H94" s="5" t="inlineStr">
        <is>
          <t>Verified (website + Companies House)</t>
        </is>
      </c>
    </row>
    <row r="95">
      <c r="A95" s="10" t="inlineStr">
        <is>
          <t>WY-0029</t>
        </is>
      </c>
      <c r="B95" s="10" t="inlineStr">
        <is>
          <t>TB Cash &amp; Carry (Bradford)</t>
        </is>
      </c>
      <c r="C95" s="10" t="inlineStr">
        <is>
          <t>Bradford</t>
        </is>
      </c>
      <c r="D95" s="10" t="inlineStr">
        <is>
          <t>https://tbcashandcarry.co.uk/</t>
        </is>
      </c>
      <c r="E95" s="10" t="inlineStr">
        <is>
          <t>Official Website</t>
        </is>
      </c>
      <c r="F95" s="10" t="inlineStr">
        <is>
          <t>2026-09-16</t>
        </is>
      </c>
      <c r="G95" s="10" t="inlineStr">
        <is>
          <t>confirmation of Bradford store (via search extraction)</t>
        </is>
      </c>
      <c r="H95" s="10" t="inlineStr">
        <is>
          <t>Verified (website + Companies House)</t>
        </is>
      </c>
    </row>
    <row r="96">
      <c r="A96" s="5" t="inlineStr">
        <is>
          <t>WY-0030</t>
        </is>
      </c>
      <c r="B96" s="5" t="inlineStr">
        <is>
          <t>TB Cash &amp; Carry (Leeds)</t>
        </is>
      </c>
      <c r="C96" s="5" t="inlineStr">
        <is>
          <t>Leeds</t>
        </is>
      </c>
      <c r="D96" s="5" t="inlineStr">
        <is>
          <t>https://tbcashandcarry.co.uk/</t>
        </is>
      </c>
      <c r="E96" s="5" t="inlineStr">
        <is>
          <t>Official Website</t>
        </is>
      </c>
      <c r="F96" s="5" t="inlineStr">
        <is>
          <t>2026-09-16</t>
        </is>
      </c>
      <c r="G96" s="5" t="inlineStr">
        <is>
          <t>business description, est. 1985, two stores Leeds &amp; Bradford (via search extraction)</t>
        </is>
      </c>
      <c r="H96" s="5" t="inlineStr">
        <is>
          <t>Verified (website + Companies House)</t>
        </is>
      </c>
    </row>
    <row r="97">
      <c r="A97" s="10" t="inlineStr">
        <is>
          <t>WY-0030</t>
        </is>
      </c>
      <c r="B97" s="10" t="inlineStr">
        <is>
          <t>TB Cash &amp; Carry (Leeds)</t>
        </is>
      </c>
      <c r="C97" s="10" t="inlineStr">
        <is>
          <t>Leeds</t>
        </is>
      </c>
      <c r="D97" s="10" t="inlineStr">
        <is>
          <t>https://www.thomsonlocal.com/search/cash-carry-wholesalers/leeds/t-b-cash-carry/1798109/01132451454</t>
        </is>
      </c>
      <c r="E97" s="10" t="inlineStr">
        <is>
          <t>Directory</t>
        </is>
      </c>
      <c r="F97" s="10" t="inlineStr">
        <is>
          <t>2026-09-16</t>
        </is>
      </c>
      <c r="G97" s="10" t="inlineStr">
        <is>
          <t>address, phone</t>
        </is>
      </c>
      <c r="H97" s="10" t="inlineStr">
        <is>
          <t>Verified (website + Companies House)</t>
        </is>
      </c>
    </row>
    <row r="98">
      <c r="A98" s="5" t="inlineStr">
        <is>
          <t>WY-0030</t>
        </is>
      </c>
      <c r="B98" s="5" t="inlineStr">
        <is>
          <t>TB Cash &amp; Carry (Leeds)</t>
        </is>
      </c>
      <c r="C98" s="5" t="inlineStr">
        <is>
          <t>Leeds</t>
        </is>
      </c>
      <c r="D98" s="5" t="inlineStr">
        <is>
          <t>https://www.dnb.com/business-directory/company-profiles.t_b_cash__carry.91d763aacce69e3c09820f370a739003.html</t>
        </is>
      </c>
      <c r="E98" s="5" t="inlineStr">
        <is>
          <t>Directory</t>
        </is>
      </c>
      <c r="F98" s="5" t="inlineStr">
        <is>
          <t>2026-09-16</t>
        </is>
      </c>
      <c r="G98" s="5" t="inlineStr">
        <is>
          <t>address, phone, email, business classification</t>
        </is>
      </c>
      <c r="H98" s="5" t="inlineStr">
        <is>
          <t>Verified (website + Companies House)</t>
        </is>
      </c>
    </row>
    <row r="99">
      <c r="A99" s="10" t="inlineStr">
        <is>
          <t>WY-0031</t>
        </is>
      </c>
      <c r="B99" s="10" t="inlineStr">
        <is>
          <t>The Vape Centre (Wetherby)</t>
        </is>
      </c>
      <c r="C99" s="10" t="inlineStr">
        <is>
          <t>Wetherby</t>
        </is>
      </c>
      <c r="D99" s="10" t="inlineStr">
        <is>
          <t>https://wetherbytowncouncil.gov.uk/our-businesses/vape-centre/</t>
        </is>
      </c>
      <c r="E99" s="10" t="inlineStr">
        <is>
          <t>Directory</t>
        </is>
      </c>
      <c r="F99" s="10" t="inlineStr">
        <is>
          <t>2026-09-16</t>
        </is>
      </c>
      <c r="G99" s="10" t="inlineStr">
        <is>
          <t>name, address (via search results)</t>
        </is>
      </c>
      <c r="H99" s="10" t="inlineStr">
        <is>
          <t>Requires Verification</t>
        </is>
      </c>
    </row>
    <row r="100">
      <c r="A100" s="5" t="inlineStr">
        <is>
          <t>WY-0031</t>
        </is>
      </c>
      <c r="B100" s="5" t="inlineStr">
        <is>
          <t>The Vape Centre (Wetherby)</t>
        </is>
      </c>
      <c r="C100" s="5" t="inlineStr">
        <is>
          <t>Wetherby</t>
        </is>
      </c>
      <c r="D100" s="5" t="inlineStr">
        <is>
          <t>https://www.wegetyoufound.co.uk/listings/the-vape-centre/wetherby/vaporizer-store</t>
        </is>
      </c>
      <c r="E100" s="5" t="inlineStr">
        <is>
          <t>Directory</t>
        </is>
      </c>
      <c r="F100" s="5" t="inlineStr">
        <is>
          <t>2026-09-16</t>
        </is>
      </c>
      <c r="G100" s="5" t="inlineStr">
        <is>
          <t>address, phone (via search results)</t>
        </is>
      </c>
      <c r="H100" s="5" t="inlineStr">
        <is>
          <t>Requires Verification</t>
        </is>
      </c>
    </row>
    <row r="101">
      <c r="A101" s="10" t="inlineStr">
        <is>
          <t>WY-0031</t>
        </is>
      </c>
      <c r="B101" s="10" t="inlineStr">
        <is>
          <t>The Vape Centre (Wetherby)</t>
        </is>
      </c>
      <c r="C101" s="10" t="inlineStr">
        <is>
          <t>Wetherby</t>
        </is>
      </c>
      <c r="D101" s="10" t="inlineStr">
        <is>
          <t>https://wetherby.cylex-uk.co.uk/company/vape-centre-wetherby-ltd-26120974.html</t>
        </is>
      </c>
      <c r="E101" s="10" t="inlineStr">
        <is>
          <t>Directory</t>
        </is>
      </c>
      <c r="F101" s="10" t="inlineStr">
        <is>
          <t>2026-09-16</t>
        </is>
      </c>
      <c r="G101" s="10" t="inlineStr">
        <is>
          <t>legal company name (via search results)</t>
        </is>
      </c>
      <c r="H101" s="10" t="inlineStr">
        <is>
          <t>Requires Verification</t>
        </is>
      </c>
    </row>
    <row r="102">
      <c r="A102" s="5" t="inlineStr">
        <is>
          <t>WY-0032</t>
        </is>
      </c>
      <c r="B102" s="5" t="inlineStr">
        <is>
          <t>Totally Wicked</t>
        </is>
      </c>
      <c r="C102" s="5" t="inlineStr">
        <is>
          <t>Brighouse</t>
        </is>
      </c>
      <c r="D102" s="5" t="inlineStr">
        <is>
          <t>https://brighouse.cylex-uk.co.uk/vape-shops/</t>
        </is>
      </c>
      <c r="E102" s="5" t="inlineStr">
        <is>
          <t>Directory</t>
        </is>
      </c>
      <c r="F102" s="5" t="inlineStr">
        <is>
          <t>2026-09-16</t>
        </is>
      </c>
      <c r="G102" s="5" t="inlineStr">
        <is>
          <t>address, postcode, phone</t>
        </is>
      </c>
      <c r="H102" s="5" t="inlineStr">
        <is>
          <t>Requires Verification</t>
        </is>
      </c>
    </row>
    <row r="103">
      <c r="A103" s="10" t="inlineStr">
        <is>
          <t>WY-0033</t>
        </is>
      </c>
      <c r="B103" s="10" t="inlineStr">
        <is>
          <t>Totally Wicked</t>
        </is>
      </c>
      <c r="C103" s="10" t="inlineStr">
        <is>
          <t>Halifax</t>
        </is>
      </c>
      <c r="D103" s="10" t="inlineStr">
        <is>
          <t>https://www.totallywicked-eliquid.co.uk/stores/halifax-e-cigs-e-liquid-shop</t>
        </is>
      </c>
      <c r="E103" s="10" t="inlineStr">
        <is>
          <t>Official Website</t>
        </is>
      </c>
      <c r="F103" s="10" t="inlineStr">
        <is>
          <t>2026-09-16</t>
        </is>
      </c>
      <c r="G103" s="10" t="inlineStr">
        <is>
          <t>store existence, stocked brands (via search snippet; fetch blocked)</t>
        </is>
      </c>
      <c r="H103" s="10" t="inlineStr">
        <is>
          <t>Requires Verification</t>
        </is>
      </c>
    </row>
    <row r="104">
      <c r="A104" s="5" t="inlineStr">
        <is>
          <t>WY-0033</t>
        </is>
      </c>
      <c r="B104" s="5" t="inlineStr">
        <is>
          <t>Totally Wicked</t>
        </is>
      </c>
      <c r="C104" s="5" t="inlineStr">
        <is>
          <t>Halifax</t>
        </is>
      </c>
      <c r="D104" s="5" t="inlineStr">
        <is>
          <t>https://www.yell.com/s/tobacconists-halifax.html</t>
        </is>
      </c>
      <c r="E104" s="5" t="inlineStr">
        <is>
          <t>Yell</t>
        </is>
      </c>
      <c r="F104" s="5" t="inlineStr">
        <is>
          <t>2026-09-16</t>
        </is>
      </c>
      <c r="G104" s="5" t="inlineStr">
        <is>
          <t>address, postcode</t>
        </is>
      </c>
      <c r="H104" s="5" t="inlineStr">
        <is>
          <t>Requires Verification</t>
        </is>
      </c>
    </row>
    <row r="105">
      <c r="A105" s="10" t="inlineStr">
        <is>
          <t>WY-0033</t>
        </is>
      </c>
      <c r="B105" s="10" t="inlineStr">
        <is>
          <t>Totally Wicked</t>
        </is>
      </c>
      <c r="C105" s="10" t="inlineStr">
        <is>
          <t>Halifax</t>
        </is>
      </c>
      <c r="D105" s="10" t="inlineStr">
        <is>
          <t>https://directory.birminghampost.co.uk/company/9f1f3f6a595c8b843e37df17c5426f35</t>
        </is>
      </c>
      <c r="E105" s="10" t="inlineStr">
        <is>
          <t>Directory</t>
        </is>
      </c>
      <c r="F105" s="10" t="inlineStr">
        <is>
          <t>2026-09-16</t>
        </is>
      </c>
      <c r="G105" s="10" t="inlineStr">
        <is>
          <t>phone</t>
        </is>
      </c>
      <c r="H105" s="10" t="inlineStr">
        <is>
          <t>Requires Verification</t>
        </is>
      </c>
    </row>
    <row r="106">
      <c r="A106" s="5" t="inlineStr">
        <is>
          <t>WY-0034</t>
        </is>
      </c>
      <c r="B106" s="5" t="inlineStr">
        <is>
          <t>BP Gledhow Service Station (Valli Forecourts)</t>
        </is>
      </c>
      <c r="C106" s="5" t="inlineStr">
        <is>
          <t>Leeds</t>
        </is>
      </c>
      <c r="D106" s="5" t="inlineStr">
        <is>
          <t>https://www.petrolprices.com/locations/huddersfield</t>
        </is>
      </c>
      <c r="E106" s="5" t="inlineStr">
        <is>
          <t>Directory</t>
        </is>
      </c>
      <c r="F106" s="5" t="inlineStr">
        <is>
          <t>2026-09-16</t>
        </is>
      </c>
      <c r="G106" s="5" t="inlineStr">
        <is>
          <t>Valli site references in Yorkshire petrol-station listings</t>
        </is>
      </c>
      <c r="H106" s="5" t="inlineStr">
        <is>
          <t>Requires Verification</t>
        </is>
      </c>
    </row>
    <row r="107">
      <c r="A107" s="10" t="inlineStr">
        <is>
          <t>WY-0034</t>
        </is>
      </c>
      <c r="B107" s="10" t="inlineStr">
        <is>
          <t>BP Gledhow Service Station (Valli Forecourts)</t>
        </is>
      </c>
      <c r="C107" s="10" t="inlineStr">
        <is>
          <t>Leeds</t>
        </is>
      </c>
      <c r="D107" s="10" t="inlineStr">
        <is>
          <t>https://uk.linkedin.com/company/valli-forecourts-ltd</t>
        </is>
      </c>
      <c r="E107" s="10" t="inlineStr">
        <is>
          <t>Other</t>
        </is>
      </c>
      <c r="F107" s="10" t="inlineStr">
        <is>
          <t>2026-09-16</t>
        </is>
      </c>
      <c r="G107" s="10" t="inlineStr">
        <is>
          <t>group profile referencing Leeds BP Gledhow Service Station</t>
        </is>
      </c>
      <c r="H107" s="10" t="inlineStr">
        <is>
          <t>Requires Verification</t>
        </is>
      </c>
    </row>
    <row r="108">
      <c r="A108" s="5" t="inlineStr">
        <is>
          <t>WY-0034</t>
        </is>
      </c>
      <c r="B108" s="5" t="inlineStr">
        <is>
          <t>BP Gledhow Service Station (Valli Forecourts)</t>
        </is>
      </c>
      <c r="C108" s="5" t="inlineStr">
        <is>
          <t>Leeds</t>
        </is>
      </c>
      <c r="D108" s="5" t="inlineStr">
        <is>
          <t>https://www.192.com/atoz/business/leeds-ls8/petrol-service-stations/b-p-gledhow-service-station/b2cc5ed266e9de6ac0fa2b011faef822e624c3ac/ml/</t>
        </is>
      </c>
      <c r="E108" s="5" t="inlineStr">
        <is>
          <t>Directory</t>
        </is>
      </c>
      <c r="F108" s="5" t="inlineStr">
        <is>
          <t>2026-09-16</t>
        </is>
      </c>
      <c r="G108" s="5" t="inlineStr">
        <is>
          <t>postcode</t>
        </is>
      </c>
      <c r="H108" s="5" t="inlineStr">
        <is>
          <t>Requires Verification</t>
        </is>
      </c>
    </row>
    <row r="109">
      <c r="A109" s="10" t="inlineStr">
        <is>
          <t>WY-0035</t>
        </is>
      </c>
      <c r="B109" s="10" t="inlineStr">
        <is>
          <t>Valli Forecourts Ltd (Head Office)</t>
        </is>
      </c>
      <c r="C109" s="10" t="inlineStr">
        <is>
          <t>Leeds</t>
        </is>
      </c>
      <c r="D109" s="10" t="inlineStr">
        <is>
          <t>https://uk.linkedin.com/company/valli-forecourts-ltd</t>
        </is>
      </c>
      <c r="E109" s="10" t="inlineStr">
        <is>
          <t>Other</t>
        </is>
      </c>
      <c r="F109" s="10" t="inlineStr">
        <is>
          <t>2026-09-16</t>
        </is>
      </c>
      <c r="G109" s="10" t="inlineStr">
        <is>
          <t>company existence, forecourt operator profile</t>
        </is>
      </c>
      <c r="H109" s="10" t="inlineStr">
        <is>
          <t>Requires Verification</t>
        </is>
      </c>
    </row>
    <row r="110">
      <c r="A110" s="5" t="inlineStr">
        <is>
          <t>WY-0035</t>
        </is>
      </c>
      <c r="B110" s="5" t="inlineStr">
        <is>
          <t>Valli Forecourts Ltd (Head Office)</t>
        </is>
      </c>
      <c r="C110" s="5" t="inlineStr">
        <is>
          <t>Leeds</t>
        </is>
      </c>
      <c r="D110" s="5" t="inlineStr">
        <is>
          <t>https://sweetzone.co.uk/sectors/forecourts-petrol-stations/</t>
        </is>
      </c>
      <c r="E110" s="5" t="inlineStr">
        <is>
          <t>Other</t>
        </is>
      </c>
      <c r="F110" s="5" t="inlineStr">
        <is>
          <t>2026-09-16</t>
        </is>
      </c>
      <c r="G110" s="5" t="inlineStr">
        <is>
          <t>16 sites, Yorkshire-centred footprint</t>
        </is>
      </c>
      <c r="H110" s="5" t="inlineStr">
        <is>
          <t>Requires Verification</t>
        </is>
      </c>
    </row>
    <row r="111">
      <c r="A111" s="10" t="inlineStr">
        <is>
          <t>WY-0035</t>
        </is>
      </c>
      <c r="B111" s="10" t="inlineStr">
        <is>
          <t>Valli Forecourts Ltd (Head Office)</t>
        </is>
      </c>
      <c r="C111" s="10" t="inlineStr">
        <is>
          <t>Leeds</t>
        </is>
      </c>
      <c r="D111" s="10" t="inlineStr">
        <is>
          <t>https://www.yorkshire.com/moortown/transport/petrol-stations/valli-forecourts-ltd-head-office</t>
        </is>
      </c>
      <c r="E111" s="10" t="inlineStr">
        <is>
          <t>Directory</t>
        </is>
      </c>
      <c r="F111" s="10" t="inlineStr">
        <is>
          <t>2026-09-16</t>
        </is>
      </c>
      <c r="G111" s="10" t="inlineStr">
        <is>
          <t>head office location Moortown, Leeds</t>
        </is>
      </c>
      <c r="H111" s="10" t="inlineStr">
        <is>
          <t>Requires Verification</t>
        </is>
      </c>
    </row>
    <row r="112">
      <c r="A112" s="5" t="inlineStr">
        <is>
          <t>WY-0036</t>
        </is>
      </c>
      <c r="B112" s="5" t="inlineStr">
        <is>
          <t>Vaparama (Featherstone)</t>
        </is>
      </c>
      <c r="C112" s="5" t="inlineStr">
        <is>
          <t>Featherstone</t>
        </is>
      </c>
      <c r="D112" s="5" t="inlineStr">
        <is>
          <t>https://pontefract.cylex-uk.co.uk/company/vaparama-26236284.html</t>
        </is>
      </c>
      <c r="E112" s="5" t="inlineStr">
        <is>
          <t>Directory</t>
        </is>
      </c>
      <c r="F112" s="5" t="inlineStr">
        <is>
          <t>2026-09-16</t>
        </is>
      </c>
      <c r="G112" s="5" t="inlineStr">
        <is>
          <t>Featherstone branch address 73-75 Station Lane WF7 5BJ (via search snippet)</t>
        </is>
      </c>
      <c r="H112" s="5" t="inlineStr">
        <is>
          <t>Partially Verified</t>
        </is>
      </c>
    </row>
    <row r="113">
      <c r="A113" s="10" t="inlineStr">
        <is>
          <t>WY-0036</t>
        </is>
      </c>
      <c r="B113" s="10" t="inlineStr">
        <is>
          <t>Vaparama (Featherstone)</t>
        </is>
      </c>
      <c r="C113" s="10" t="inlineStr">
        <is>
          <t>Featherstone</t>
        </is>
      </c>
      <c r="D113" s="10" t="inlineStr">
        <is>
          <t>https://find-and-update.company-information.service.gov.uk/company/09736212</t>
        </is>
      </c>
      <c r="E113" s="10" t="inlineStr">
        <is>
          <t>Companies House</t>
        </is>
      </c>
      <c r="F113" s="10" t="inlineStr">
        <is>
          <t>2026-09-16</t>
        </is>
      </c>
      <c r="G113" s="10" t="inlineStr">
        <is>
          <t>parent company details (via search snippet)</t>
        </is>
      </c>
      <c r="H113" s="10" t="inlineStr">
        <is>
          <t>Partially Verified</t>
        </is>
      </c>
    </row>
    <row r="114">
      <c r="A114" s="5" t="inlineStr">
        <is>
          <t>WY-0036</t>
        </is>
      </c>
      <c r="B114" s="5" t="inlineStr">
        <is>
          <t>Vaparama (Featherstone)</t>
        </is>
      </c>
      <c r="C114" s="5" t="inlineStr">
        <is>
          <t>Featherstone</t>
        </is>
      </c>
      <c r="D114" s="5" t="inlineStr">
        <is>
          <t>https://www.vaparama.co.uk/contact/</t>
        </is>
      </c>
      <c r="E114" s="5" t="inlineStr">
        <is>
          <t>Official Website</t>
        </is>
      </c>
      <c r="F114" s="5" t="inlineStr">
        <is>
          <t>2026-09-16</t>
        </is>
      </c>
      <c r="G114" s="5" t="inlineStr">
        <is>
          <t>email (brand), social (brand facebook)</t>
        </is>
      </c>
      <c r="H114" s="5" t="inlineStr">
        <is>
          <t>Partially Verified</t>
        </is>
      </c>
    </row>
    <row r="115">
      <c r="A115" s="10" t="inlineStr">
        <is>
          <t>WY-0037</t>
        </is>
      </c>
      <c r="B115" s="10" t="inlineStr">
        <is>
          <t>Vaparama (Pontefract)</t>
        </is>
      </c>
      <c r="C115" s="10" t="inlineStr">
        <is>
          <t>Pontefract</t>
        </is>
      </c>
      <c r="D115" s="10" t="inlineStr">
        <is>
          <t>https://pontefract.cylex-uk.co.uk/company/vaparama-26236284.html</t>
        </is>
      </c>
      <c r="E115" s="10" t="inlineStr">
        <is>
          <t>Directory</t>
        </is>
      </c>
      <c r="F115" s="10" t="inlineStr">
        <is>
          <t>2026-09-16</t>
        </is>
      </c>
      <c r="G115" s="10" t="inlineStr">
        <is>
          <t>address, phone, email (via search snippet)</t>
        </is>
      </c>
      <c r="H115" s="10" t="inlineStr">
        <is>
          <t>Partially Verified</t>
        </is>
      </c>
    </row>
    <row r="116">
      <c r="A116" s="5" t="inlineStr">
        <is>
          <t>WY-0037</t>
        </is>
      </c>
      <c r="B116" s="5" t="inlineStr">
        <is>
          <t>Vaparama (Pontefract)</t>
        </is>
      </c>
      <c r="C116" s="5" t="inlineStr">
        <is>
          <t>Pontefract</t>
        </is>
      </c>
      <c r="D116" s="5" t="inlineStr">
        <is>
          <t>https://find-open.co.uk/pontefract/vaparama-1317485</t>
        </is>
      </c>
      <c r="E116" s="5" t="inlineStr">
        <is>
          <t>Directory</t>
        </is>
      </c>
      <c r="F116" s="5" t="inlineStr">
        <is>
          <t>2026-09-16</t>
        </is>
      </c>
      <c r="G116" s="5" t="inlineStr">
        <is>
          <t>address 13 Market Place, postcode WF8 1AG</t>
        </is>
      </c>
      <c r="H116" s="5" t="inlineStr">
        <is>
          <t>Partially Verified</t>
        </is>
      </c>
    </row>
    <row r="117">
      <c r="A117" s="10" t="inlineStr">
        <is>
          <t>WY-0037</t>
        </is>
      </c>
      <c r="B117" s="10" t="inlineStr">
        <is>
          <t>Vaparama (Pontefract)</t>
        </is>
      </c>
      <c r="C117" s="10" t="inlineStr">
        <is>
          <t>Pontefract</t>
        </is>
      </c>
      <c r="D117" s="10" t="inlineStr">
        <is>
          <t>https://vapemaps.co/england/west-yorkshire/pontefract/vaparama-limited/10060</t>
        </is>
      </c>
      <c r="E117" s="10" t="inlineStr">
        <is>
          <t>Directory</t>
        </is>
      </c>
      <c r="F117" s="10" t="inlineStr">
        <is>
          <t>2026-09-16</t>
        </is>
      </c>
      <c r="G117" s="10" t="inlineStr">
        <is>
          <t>multi-store list (Wakefield, Leeds, Doncaster, Featherstone etc.)</t>
        </is>
      </c>
      <c r="H117" s="10" t="inlineStr">
        <is>
          <t>Partially Verified</t>
        </is>
      </c>
    </row>
    <row r="118">
      <c r="A118" s="5" t="inlineStr">
        <is>
          <t>WY-0037</t>
        </is>
      </c>
      <c r="B118" s="5" t="inlineStr">
        <is>
          <t>Vaparama (Pontefract)</t>
        </is>
      </c>
      <c r="C118" s="5" t="inlineStr">
        <is>
          <t>Pontefract</t>
        </is>
      </c>
      <c r="D118" s="5" t="inlineStr">
        <is>
          <t>https://find-and-update.company-information.service.gov.uk/company/09736212</t>
        </is>
      </c>
      <c r="E118" s="5" t="inlineStr">
        <is>
          <t>Companies House</t>
        </is>
      </c>
      <c r="F118" s="5" t="inlineStr">
        <is>
          <t>2026-09-16</t>
        </is>
      </c>
      <c r="G118" s="5" t="inlineStr">
        <is>
          <t>company number, status, incorporation date, registered office (via search snippet)</t>
        </is>
      </c>
      <c r="H118" s="5" t="inlineStr">
        <is>
          <t>Partially Verified</t>
        </is>
      </c>
    </row>
    <row r="119">
      <c r="A119" s="10" t="inlineStr">
        <is>
          <t>WY-0038</t>
        </is>
      </c>
      <c r="B119" s="10" t="inlineStr">
        <is>
          <t>Vaparama (Wakefield)</t>
        </is>
      </c>
      <c r="C119" s="10" t="inlineStr">
        <is>
          <t>Wakefield</t>
        </is>
      </c>
      <c r="D119" s="10" t="inlineStr">
        <is>
          <t>https://vapemaps.co/england/west-yorkshire/pontefract/vaparama-limited/10060</t>
        </is>
      </c>
      <c r="E119" s="10" t="inlineStr">
        <is>
          <t>Directory</t>
        </is>
      </c>
      <c r="F119" s="10" t="inlineStr">
        <is>
          <t>2026-09-16</t>
        </is>
      </c>
      <c r="G119" s="10" t="inlineStr">
        <is>
          <t>branch address Britannia House, 31 Warrengate, Wakefield</t>
        </is>
      </c>
      <c r="H119" s="10" t="inlineStr">
        <is>
          <t>Partially Verified</t>
        </is>
      </c>
    </row>
    <row r="120">
      <c r="A120" s="5" t="inlineStr">
        <is>
          <t>WY-0038</t>
        </is>
      </c>
      <c r="B120" s="5" t="inlineStr">
        <is>
          <t>Vaparama (Wakefield)</t>
        </is>
      </c>
      <c r="C120" s="5" t="inlineStr">
        <is>
          <t>Wakefield</t>
        </is>
      </c>
      <c r="D120" s="5" t="inlineStr">
        <is>
          <t>https://find-and-update.company-information.service.gov.uk/company/09736212</t>
        </is>
      </c>
      <c r="E120" s="5" t="inlineStr">
        <is>
          <t>Companies House</t>
        </is>
      </c>
      <c r="F120" s="5" t="inlineStr">
        <is>
          <t>2026-09-16</t>
        </is>
      </c>
      <c r="G120" s="5" t="inlineStr">
        <is>
          <t>parent company details (via search snippet)</t>
        </is>
      </c>
      <c r="H120" s="5" t="inlineStr">
        <is>
          <t>Partially Verified</t>
        </is>
      </c>
    </row>
    <row r="121">
      <c r="A121" s="10" t="inlineStr">
        <is>
          <t>WY-0038</t>
        </is>
      </c>
      <c r="B121" s="10" t="inlineStr">
        <is>
          <t>Vaparama (Wakefield)</t>
        </is>
      </c>
      <c r="C121" s="10" t="inlineStr">
        <is>
          <t>Wakefield</t>
        </is>
      </c>
      <c r="D121" s="10" t="inlineStr">
        <is>
          <t>https://www.vaparama.co.uk/contact/</t>
        </is>
      </c>
      <c r="E121" s="10" t="inlineStr">
        <is>
          <t>Official Website</t>
        </is>
      </c>
      <c r="F121" s="10" t="inlineStr">
        <is>
          <t>2026-09-16</t>
        </is>
      </c>
      <c r="G121" s="10" t="inlineStr">
        <is>
          <t>email (brand), social (brand facebook)</t>
        </is>
      </c>
      <c r="H121" s="10" t="inlineStr">
        <is>
          <t>Partially Verified</t>
        </is>
      </c>
    </row>
    <row r="122">
      <c r="A122" s="5" t="inlineStr">
        <is>
          <t>WY-0039</t>
        </is>
      </c>
      <c r="B122" s="5" t="inlineStr">
        <is>
          <t>WOW Vape (Castleford)</t>
        </is>
      </c>
      <c r="C122" s="5" t="inlineStr">
        <is>
          <t>Castleford</t>
        </is>
      </c>
      <c r="D122" s="5" t="inlineStr">
        <is>
          <t>https://www.yelp.com/biz/wow-vape-castleford</t>
        </is>
      </c>
      <c r="E122" s="5" t="inlineStr">
        <is>
          <t>Directory</t>
        </is>
      </c>
      <c r="F122" s="5" t="inlineStr">
        <is>
          <t>2026-09-16</t>
        </is>
      </c>
      <c r="G122" s="5" t="inlineStr">
        <is>
          <t>address 45 Carlton Street, phone, hours</t>
        </is>
      </c>
      <c r="H122" s="5" t="inlineStr">
        <is>
          <t>Requires Verification</t>
        </is>
      </c>
    </row>
    <row r="123">
      <c r="A123" s="10" t="inlineStr">
        <is>
          <t>WY-0039</t>
        </is>
      </c>
      <c r="B123" s="10" t="inlineStr">
        <is>
          <t>WOW Vape (Castleford)</t>
        </is>
      </c>
      <c r="C123" s="10" t="inlineStr">
        <is>
          <t>Castleford</t>
        </is>
      </c>
      <c r="D123" s="10" t="inlineStr">
        <is>
          <t>https://tobaccoshops.co.uk/04574728/WOW_Castleford_Vape_Shop</t>
        </is>
      </c>
      <c r="E123" s="10" t="inlineStr">
        <is>
          <t>Directory</t>
        </is>
      </c>
      <c r="F123" s="10" t="inlineStr">
        <is>
          <t>2026-09-16</t>
        </is>
      </c>
      <c r="G123" s="10" t="inlineStr">
        <is>
          <t>listing cross-check</t>
        </is>
      </c>
      <c r="H123" s="10" t="inlineStr">
        <is>
          <t>Requires Verification</t>
        </is>
      </c>
    </row>
    <row r="124">
      <c r="A124" s="5" t="inlineStr">
        <is>
          <t>WY-0039</t>
        </is>
      </c>
      <c r="B124" s="5" t="inlineStr">
        <is>
          <t>WOW Vape (Castleford)</t>
        </is>
      </c>
      <c r="C124" s="5" t="inlineStr">
        <is>
          <t>Castleford</t>
        </is>
      </c>
      <c r="D124" s="5" t="inlineStr">
        <is>
          <t>https://www.facebook.com/wowvapecas/</t>
        </is>
      </c>
      <c r="E124" s="5" t="inlineStr">
        <is>
          <t>Facebook</t>
        </is>
      </c>
      <c r="F124" s="5" t="inlineStr">
        <is>
          <t>2026-09-16</t>
        </is>
      </c>
      <c r="G124" s="5" t="inlineStr">
        <is>
          <t>trading status, opening hours</t>
        </is>
      </c>
      <c r="H124" s="5" t="inlineStr">
        <is>
          <t>Requires Verification</t>
        </is>
      </c>
    </row>
    <row r="125">
      <c r="A125" s="10" t="inlineStr">
        <is>
          <t>WY-0040</t>
        </is>
      </c>
      <c r="B125" s="10" t="inlineStr">
        <is>
          <t>WOW Vape (Wakefield)</t>
        </is>
      </c>
      <c r="C125" s="10" t="inlineStr">
        <is>
          <t>Wakefield</t>
        </is>
      </c>
      <c r="D125" s="10" t="inlineStr">
        <is>
          <t>https://www.instagram.com/wowvapewakefield/</t>
        </is>
      </c>
      <c r="E125" s="10" t="inlineStr">
        <is>
          <t>Instagram</t>
        </is>
      </c>
      <c r="F125" s="10" t="inlineStr">
        <is>
          <t>2026-09-16</t>
        </is>
      </c>
      <c r="G125" s="10" t="inlineStr">
        <is>
          <t>existence, branding</t>
        </is>
      </c>
      <c r="H125" s="10" t="inlineStr">
        <is>
          <t>Requires Verification</t>
        </is>
      </c>
    </row>
    <row r="126">
      <c r="A126" s="5" t="inlineStr">
        <is>
          <t>WY-0040</t>
        </is>
      </c>
      <c r="B126" s="5" t="inlineStr">
        <is>
          <t>WOW Vape (Wakefield)</t>
        </is>
      </c>
      <c r="C126" s="5" t="inlineStr">
        <is>
          <t>Wakefield</t>
        </is>
      </c>
      <c r="D126" s="5" t="inlineStr">
        <is>
          <t>https://vapeshops.puffingbird.com/yorkshire-and-the-humber/wakefield/wow-vape-wakefield</t>
        </is>
      </c>
      <c r="E126" s="5" t="inlineStr">
        <is>
          <t>Directory</t>
        </is>
      </c>
      <c r="F126" s="5" t="inlineStr">
        <is>
          <t>2026-09-16</t>
        </is>
      </c>
      <c r="G126" s="5" t="inlineStr">
        <is>
          <t>listing as Wakefield vape shop</t>
        </is>
      </c>
      <c r="H126" s="5" t="inlineStr">
        <is>
          <t>Requires Verification</t>
        </is>
      </c>
    </row>
    <row r="127">
      <c r="A127" s="10" t="inlineStr">
        <is>
          <t>WY-0041</t>
        </is>
      </c>
      <c r="B127" s="10" t="inlineStr">
        <is>
          <t>We Are Vapes</t>
        </is>
      </c>
      <c r="C127" s="10" t="inlineStr">
        <is>
          <t>Bradford</t>
        </is>
      </c>
      <c r="D127" s="10" t="inlineStr">
        <is>
          <t>https://www.yelp.co.uk/biz/we-are-vapes-bradford-3</t>
        </is>
      </c>
      <c r="E127" s="10" t="inlineStr">
        <is>
          <t>Directory</t>
        </is>
      </c>
      <c r="F127" s="10" t="inlineStr">
        <is>
          <t>2026-09-16</t>
        </is>
      </c>
      <c r="G127" s="10" t="inlineStr">
        <is>
          <t>branch address 287 Tong Street, Bradford (search snippet)</t>
        </is>
      </c>
      <c r="H127" s="10" t="inlineStr">
        <is>
          <t>Requires Verification</t>
        </is>
      </c>
    </row>
    <row r="128">
      <c r="A128" s="5" t="inlineStr">
        <is>
          <t>WY-0041</t>
        </is>
      </c>
      <c r="B128" s="5" t="inlineStr">
        <is>
          <t>We Are Vapes</t>
        </is>
      </c>
      <c r="C128" s="5" t="inlineStr">
        <is>
          <t>Bradford</t>
        </is>
      </c>
      <c r="D128" s="5" t="inlineStr">
        <is>
          <t>https://www.wearevapes.com/</t>
        </is>
      </c>
      <c r="E128" s="5" t="inlineStr">
        <is>
          <t>Official Website</t>
        </is>
      </c>
      <c r="F128" s="5" t="inlineStr">
        <is>
          <t>2026-09-16</t>
        </is>
      </c>
      <c r="G128" s="5" t="inlineStr">
        <is>
          <t>brand/website existence confirmed via search results (fetch blocked)</t>
        </is>
      </c>
      <c r="H128" s="5" t="inlineStr">
        <is>
          <t>Requires Verification</t>
        </is>
      </c>
    </row>
    <row r="129">
      <c r="A129" s="10" t="inlineStr">
        <is>
          <t>WY-0042</t>
        </is>
      </c>
      <c r="B129" s="10" t="inlineStr">
        <is>
          <t>We Are Vapes</t>
        </is>
      </c>
      <c r="C129" s="10" t="inlineStr">
        <is>
          <t>Bradford</t>
        </is>
      </c>
      <c r="D129" s="10" t="inlineStr">
        <is>
          <t>https://www.yelp.com/biz/we-are-vapes-bradford-2</t>
        </is>
      </c>
      <c r="E129" s="10" t="inlineStr">
        <is>
          <t>Directory</t>
        </is>
      </c>
      <c r="F129" s="10" t="inlineStr">
        <is>
          <t>2026-09-16</t>
        </is>
      </c>
      <c r="G129" s="10" t="inlineStr">
        <is>
          <t>branch address 220 High Street, Wibsey; phone (search snippet)</t>
        </is>
      </c>
      <c r="H129" s="10" t="inlineStr">
        <is>
          <t>Requires Verification</t>
        </is>
      </c>
    </row>
    <row r="130">
      <c r="A130" s="5" t="inlineStr">
        <is>
          <t>WY-0042</t>
        </is>
      </c>
      <c r="B130" s="5" t="inlineStr">
        <is>
          <t>We Are Vapes</t>
        </is>
      </c>
      <c r="C130" s="5" t="inlineStr">
        <is>
          <t>Bradford</t>
        </is>
      </c>
      <c r="D130" s="5" t="inlineStr">
        <is>
          <t>https://www.wearevapes.com/</t>
        </is>
      </c>
      <c r="E130" s="5" t="inlineStr">
        <is>
          <t>Official Website</t>
        </is>
      </c>
      <c r="F130" s="5" t="inlineStr">
        <is>
          <t>2026-09-16</t>
        </is>
      </c>
      <c r="G130" s="5" t="inlineStr">
        <is>
          <t>brand/website existence confirmed via search results (fetch blocked)</t>
        </is>
      </c>
      <c r="H130" s="5" t="inlineStr">
        <is>
          <t>Requires Verification</t>
        </is>
      </c>
    </row>
    <row r="131">
      <c r="A131" s="10" t="inlineStr">
        <is>
          <t>WY-0043</t>
        </is>
      </c>
      <c r="B131" s="10" t="inlineStr">
        <is>
          <t>We Are Vapes</t>
        </is>
      </c>
      <c r="C131" s="10" t="inlineStr">
        <is>
          <t>Bradford</t>
        </is>
      </c>
      <c r="D131" s="10" t="inlineStr">
        <is>
          <t>https://www.yelp.com/biz/we-are-vapes-bradford</t>
        </is>
      </c>
      <c r="E131" s="10" t="inlineStr">
        <is>
          <t>Directory</t>
        </is>
      </c>
      <c r="F131" s="10" t="inlineStr">
        <is>
          <t>2026-09-16</t>
        </is>
      </c>
      <c r="G131" s="10" t="inlineStr">
        <is>
          <t>branch address 446 Killinghall Road, Bradford (search snippet)</t>
        </is>
      </c>
      <c r="H131" s="10" t="inlineStr">
        <is>
          <t>Requires Verification</t>
        </is>
      </c>
    </row>
    <row r="132">
      <c r="A132" s="5" t="inlineStr">
        <is>
          <t>WY-0043</t>
        </is>
      </c>
      <c r="B132" s="5" t="inlineStr">
        <is>
          <t>We Are Vapes</t>
        </is>
      </c>
      <c r="C132" s="5" t="inlineStr">
        <is>
          <t>Bradford</t>
        </is>
      </c>
      <c r="D132" s="5" t="inlineStr">
        <is>
          <t>https://www.wearevapes.com/</t>
        </is>
      </c>
      <c r="E132" s="5" t="inlineStr">
        <is>
          <t>Official Website</t>
        </is>
      </c>
      <c r="F132" s="5" t="inlineStr">
        <is>
          <t>2026-09-16</t>
        </is>
      </c>
      <c r="G132" s="5" t="inlineStr">
        <is>
          <t>brand/website existence confirmed via search results (fetch blocked)</t>
        </is>
      </c>
      <c r="H132" s="5" t="inlineStr">
        <is>
          <t>Requires Verification</t>
        </is>
      </c>
    </row>
    <row r="133">
      <c r="A133" s="10" t="inlineStr">
        <is>
          <t>WY-0044</t>
        </is>
      </c>
      <c r="B133" s="10" t="inlineStr">
        <is>
          <t>Worldwide Foods Bradford (Great Horton Road)</t>
        </is>
      </c>
      <c r="C133" s="10" t="inlineStr">
        <is>
          <t>Bradford</t>
        </is>
      </c>
      <c r="D133" s="10" t="inlineStr">
        <is>
          <t>https://worldwidefoods.co.uk/worldwide-bradford-great-horton-road/</t>
        </is>
      </c>
      <c r="E133" s="10" t="inlineStr">
        <is>
          <t>Official Website</t>
        </is>
      </c>
      <c r="F133" s="10" t="inlineStr">
        <is>
          <t>2026-09-16</t>
        </is>
      </c>
      <c r="G133" s="10" t="inlineStr">
        <is>
          <t>store page exists for Great Horton Road (search result; fetch blocked)</t>
        </is>
      </c>
      <c r="H133" s="10" t="inlineStr">
        <is>
          <t>Partially Verified</t>
        </is>
      </c>
    </row>
    <row r="134">
      <c r="A134" s="5" t="inlineStr">
        <is>
          <t>WY-0044</t>
        </is>
      </c>
      <c r="B134" s="5" t="inlineStr">
        <is>
          <t>Worldwide Foods Bradford (Great Horton Road)</t>
        </is>
      </c>
      <c r="C134" s="5" t="inlineStr">
        <is>
          <t>Bradford</t>
        </is>
      </c>
      <c r="D134" s="5" t="inlineStr">
        <is>
          <t>https://www.misterwhat.co.uk/company/2255875-worldwide-foods-bradford-bradford</t>
        </is>
      </c>
      <c r="E134" s="5" t="inlineStr">
        <is>
          <t>Directory</t>
        </is>
      </c>
      <c r="F134" s="5" t="inlineStr">
        <is>
          <t>2026-09-16</t>
        </is>
      </c>
      <c r="G134" s="5" t="inlineStr">
        <is>
          <t>address 607 Great Horton Road BD7 4ED, phone (search snippet)</t>
        </is>
      </c>
      <c r="H134" s="5" t="inlineStr">
        <is>
          <t>Partially Verified</t>
        </is>
      </c>
    </row>
    <row r="135">
      <c r="A135" s="10" t="inlineStr">
        <is>
          <t>WY-0044</t>
        </is>
      </c>
      <c r="B135" s="10" t="inlineStr">
        <is>
          <t>Worldwide Foods Bradford (Great Horton Road)</t>
        </is>
      </c>
      <c r="C135" s="10" t="inlineStr">
        <is>
          <t>Bradford</t>
        </is>
      </c>
      <c r="D135" s="10" t="inlineStr">
        <is>
          <t>https://worldwidefoods.co.uk/contact-us/</t>
        </is>
      </c>
      <c r="E135" s="10" t="inlineStr">
        <is>
          <t>Official Website</t>
        </is>
      </c>
      <c r="F135" s="10" t="inlineStr">
        <is>
          <t>2026-09-16</t>
        </is>
      </c>
      <c r="G135" s="10" t="inlineStr">
        <is>
          <t>email</t>
        </is>
      </c>
      <c r="H135" s="10" t="inlineStr">
        <is>
          <t>Partially Verified</t>
        </is>
      </c>
    </row>
    <row r="136">
      <c r="A136" s="5" t="inlineStr">
        <is>
          <t>WY-0045</t>
        </is>
      </c>
      <c r="B136" s="5" t="inlineStr">
        <is>
          <t>Worldwide Foods Bradford (Leeds Road)</t>
        </is>
      </c>
      <c r="C136" s="5" t="inlineStr">
        <is>
          <t>Bradford</t>
        </is>
      </c>
      <c r="D136" s="5" t="inlineStr">
        <is>
          <t>https://worldwidefoods.co.uk/worldwide-bradford-leeds-road/</t>
        </is>
      </c>
      <c r="E136" s="5" t="inlineStr">
        <is>
          <t>Official Website</t>
        </is>
      </c>
      <c r="F136" s="5" t="inlineStr">
        <is>
          <t>2026-09-16</t>
        </is>
      </c>
      <c r="G136" s="5" t="inlineStr">
        <is>
          <t>store page exists for Leeds Road Bradford (search result; fetch blocked)</t>
        </is>
      </c>
      <c r="H136" s="5" t="inlineStr">
        <is>
          <t>Partially Verified</t>
        </is>
      </c>
    </row>
    <row r="137">
      <c r="A137" s="10" t="inlineStr">
        <is>
          <t>WY-0045</t>
        </is>
      </c>
      <c r="B137" s="10" t="inlineStr">
        <is>
          <t>Worldwide Foods Bradford (Leeds Road)</t>
        </is>
      </c>
      <c r="C137" s="10" t="inlineStr">
        <is>
          <t>Bradford</t>
        </is>
      </c>
      <c r="D137" s="10" t="inlineStr">
        <is>
          <t>https://b99.co.uk/convenience-store/bradford/worldwide-foods/</t>
        </is>
      </c>
      <c r="E137" s="10" t="inlineStr">
        <is>
          <t>Directory</t>
        </is>
      </c>
      <c r="F137" s="10" t="inlineStr">
        <is>
          <t>2026-09-16</t>
        </is>
      </c>
      <c r="G137" s="10" t="inlineStr">
        <is>
          <t>address 1001 Leeds Road BD3 7NH, phone, 24h opening (search snippet)</t>
        </is>
      </c>
      <c r="H137" s="10" t="inlineStr">
        <is>
          <t>Partially Verified</t>
        </is>
      </c>
    </row>
    <row r="138">
      <c r="A138" s="5" t="inlineStr">
        <is>
          <t>WY-0045</t>
        </is>
      </c>
      <c r="B138" s="5" t="inlineStr">
        <is>
          <t>Worldwide Foods Bradford (Leeds Road)</t>
        </is>
      </c>
      <c r="C138" s="5" t="inlineStr">
        <is>
          <t>Bradford</t>
        </is>
      </c>
      <c r="D138" s="5" t="inlineStr">
        <is>
          <t>https://find-and-update.company-information.service.gov.uk/company/04179487</t>
        </is>
      </c>
      <c r="E138" s="5" t="inlineStr">
        <is>
          <t>Companies House</t>
        </is>
      </c>
      <c r="F138" s="5" t="inlineStr">
        <is>
          <t>2026-09-16</t>
        </is>
      </c>
      <c r="G138" s="5" t="inlineStr">
        <is>
          <t>company Worldwide Foods (Bradford) Limited 04179487 (search result; direct fetch blocked)</t>
        </is>
      </c>
      <c r="H138" s="5" t="inlineStr">
        <is>
          <t>Partially Verified</t>
        </is>
      </c>
    </row>
    <row r="139">
      <c r="A139" s="10" t="inlineStr">
        <is>
          <t>WY-0046</t>
        </is>
      </c>
      <c r="B139" s="10" t="inlineStr">
        <is>
          <t>Worldwide Foods Bradford (Woodhead Road)</t>
        </is>
      </c>
      <c r="C139" s="10" t="inlineStr">
        <is>
          <t>Bradford</t>
        </is>
      </c>
      <c r="D139" s="10" t="inlineStr">
        <is>
          <t>https://worldwidefoods.co.uk/locations/</t>
        </is>
      </c>
      <c r="E139" s="10" t="inlineStr">
        <is>
          <t>Official Website</t>
        </is>
      </c>
      <c r="F139" s="10" t="inlineStr">
        <is>
          <t>2026-09-16</t>
        </is>
      </c>
      <c r="G139" s="10" t="inlineStr">
        <is>
          <t>Woodhead Road listed among Bradford stores (search snippet; fetch blocked)</t>
        </is>
      </c>
      <c r="H139" s="10" t="inlineStr">
        <is>
          <t>Partially Verified</t>
        </is>
      </c>
    </row>
    <row r="140">
      <c r="A140" s="5" t="inlineStr">
        <is>
          <t>WY-0046</t>
        </is>
      </c>
      <c r="B140" s="5" t="inlineStr">
        <is>
          <t>Worldwide Foods Bradford (Woodhead Road)</t>
        </is>
      </c>
      <c r="C140" s="5" t="inlineStr">
        <is>
          <t>Bradford</t>
        </is>
      </c>
      <c r="D140" s="5" t="inlineStr">
        <is>
          <t>https://www.yelp.co.uk/biz/al-halal-supermarket-bradford</t>
        </is>
      </c>
      <c r="E140" s="5" t="inlineStr">
        <is>
          <t>Directory</t>
        </is>
      </c>
      <c r="F140" s="5" t="inlineStr">
        <is>
          <t>2026-09-16</t>
        </is>
      </c>
      <c r="G140" s="5" t="inlineStr">
        <is>
          <t>Al Halal Supermarket, Woodhead Road, Bradford (search result)</t>
        </is>
      </c>
      <c r="H140" s="5" t="inlineStr">
        <is>
          <t>Partially Verified</t>
        </is>
      </c>
    </row>
    <row r="141">
      <c r="A141" s="10" t="inlineStr">
        <is>
          <t>WY-0047</t>
        </is>
      </c>
      <c r="B141" s="10" t="inlineStr">
        <is>
          <t>A &amp; B Stores</t>
        </is>
      </c>
      <c r="C141" s="10" t="inlineStr">
        <is>
          <t>Bingley</t>
        </is>
      </c>
      <c r="D141" s="10" t="inlineStr">
        <is>
          <t>https://www.yorkshire.com/bingley/shopping/off-license/a-b-stores</t>
        </is>
      </c>
      <c r="E141" s="10" t="inlineStr">
        <is>
          <t>Directory</t>
        </is>
      </c>
      <c r="F141" s="10" t="inlineStr">
        <is>
          <t>2026-09-16</t>
        </is>
      </c>
      <c r="G141" s="10" t="inlineStr">
        <is>
          <t>name and Bingley location (search result)</t>
        </is>
      </c>
      <c r="H141" s="10" t="inlineStr">
        <is>
          <t>Requires Verification</t>
        </is>
      </c>
    </row>
    <row r="142">
      <c r="A142" s="5" t="inlineStr">
        <is>
          <t>WY-0048</t>
        </is>
      </c>
      <c r="B142" s="5" t="inlineStr">
        <is>
          <t>AV &amp; JI Stores</t>
        </is>
      </c>
      <c r="C142" s="5" t="inlineStr">
        <is>
          <t>Sowerby Bridge</t>
        </is>
      </c>
      <c r="D142" s="5" t="inlineStr">
        <is>
          <t>https://www.facebook.com/people/Premier-AV-JI-Stores/61567311514140/</t>
        </is>
      </c>
      <c r="E142" s="5" t="inlineStr">
        <is>
          <t>Facebook</t>
        </is>
      </c>
      <c r="F142" s="5" t="inlineStr">
        <is>
          <t>2026-09-16</t>
        </is>
      </c>
      <c r="G142" s="5" t="inlineStr">
        <is>
          <t>name, address, Premier fascia</t>
        </is>
      </c>
      <c r="H142" s="5" t="inlineStr">
        <is>
          <t>Requires Verification</t>
        </is>
      </c>
    </row>
    <row r="143">
      <c r="A143" s="10" t="inlineStr">
        <is>
          <t>WY-0048</t>
        </is>
      </c>
      <c r="B143" s="10" t="inlineStr">
        <is>
          <t>AV &amp; JI Stores</t>
        </is>
      </c>
      <c r="C143" s="10" t="inlineStr">
        <is>
          <t>Sowerby Bridge</t>
        </is>
      </c>
      <c r="D143" s="10" t="inlineStr">
        <is>
          <t>https://www.yorkshire.com/sowerby-bridge/shopping/corner-shops/av-ji-stores-premier-sowerby-off-licence-</t>
        </is>
      </c>
      <c r="E143" s="10" t="inlineStr">
        <is>
          <t>Directory</t>
        </is>
      </c>
      <c r="F143" s="10" t="inlineStr">
        <is>
          <t>2026-09-16</t>
        </is>
      </c>
      <c r="G143" s="10" t="inlineStr">
        <is>
          <t>listing confirmation</t>
        </is>
      </c>
      <c r="H143" s="10" t="inlineStr">
        <is>
          <t>Requires Verification</t>
        </is>
      </c>
    </row>
    <row r="144">
      <c r="A144" s="5" t="inlineStr">
        <is>
          <t>WY-0048</t>
        </is>
      </c>
      <c r="B144" s="5" t="inlineStr">
        <is>
          <t>AV &amp; JI Stores</t>
        </is>
      </c>
      <c r="C144" s="5" t="inlineStr">
        <is>
          <t>Sowerby Bridge</t>
        </is>
      </c>
      <c r="D144" s="5" t="inlineStr">
        <is>
          <t>https://sowerby-bridge.cylex-uk.co.uk/company/av---ji-stores-premier---sowerby-off-licence---28777382.html</t>
        </is>
      </c>
      <c r="E144" s="5" t="inlineStr">
        <is>
          <t>Directory</t>
        </is>
      </c>
      <c r="F144" s="5" t="inlineStr">
        <is>
          <t>2026-09-16</t>
        </is>
      </c>
      <c r="G144" s="5" t="inlineStr">
        <is>
          <t>address, postcode</t>
        </is>
      </c>
      <c r="H144" s="5" t="inlineStr">
        <is>
          <t>Requires Verification</t>
        </is>
      </c>
    </row>
    <row r="145">
      <c r="A145" s="10" t="inlineStr">
        <is>
          <t>WY-0049</t>
        </is>
      </c>
      <c r="B145" s="10" t="inlineStr">
        <is>
          <t>Al-Falah Supermarket</t>
        </is>
      </c>
      <c r="C145" s="10" t="inlineStr">
        <is>
          <t>Bradford</t>
        </is>
      </c>
      <c r="D145" s="10" t="inlineStr">
        <is>
          <t>https://www.facebook.com/alfalahbradford/</t>
        </is>
      </c>
      <c r="E145" s="10" t="inlineStr">
        <is>
          <t>Facebook</t>
        </is>
      </c>
      <c r="F145" s="10" t="inlineStr">
        <is>
          <t>2026-09-16</t>
        </is>
      </c>
      <c r="G145" s="10" t="inlineStr">
        <is>
          <t>business description, 20+ years trading (search snippet)</t>
        </is>
      </c>
      <c r="H145" s="10" t="inlineStr">
        <is>
          <t>Requires Verification</t>
        </is>
      </c>
    </row>
    <row r="146">
      <c r="A146" s="5" t="inlineStr">
        <is>
          <t>WY-0049</t>
        </is>
      </c>
      <c r="B146" s="5" t="inlineStr">
        <is>
          <t>Al-Falah Supermarket</t>
        </is>
      </c>
      <c r="C146" s="5" t="inlineStr">
        <is>
          <t>Bradford</t>
        </is>
      </c>
      <c r="D146" s="5" t="inlineStr">
        <is>
          <t>https://en.halalguide.me/bradford/produktoviy-magazin/al-falah-supermarket</t>
        </is>
      </c>
      <c r="E146" s="5" t="inlineStr">
        <is>
          <t>Directory</t>
        </is>
      </c>
      <c r="F146" s="5" t="inlineStr">
        <is>
          <t>2026-09-16</t>
        </is>
      </c>
      <c r="G146" s="5" t="inlineStr">
        <is>
          <t>address 150 Manningham Lane (search snippet)</t>
        </is>
      </c>
      <c r="H146" s="5" t="inlineStr">
        <is>
          <t>Requires Verification</t>
        </is>
      </c>
    </row>
    <row r="147">
      <c r="A147" s="10" t="inlineStr">
        <is>
          <t>WY-0050</t>
        </is>
      </c>
      <c r="B147" s="10" t="inlineStr">
        <is>
          <t>Anwarsons Newsagency</t>
        </is>
      </c>
      <c r="C147" s="10" t="inlineStr">
        <is>
          <t>Brighouse</t>
        </is>
      </c>
      <c r="D147" s="10" t="inlineStr">
        <is>
          <t>https://thomsonlocal.com/search/Newsagents/Wyke-West-Yorkshire/Anwarsons-Newsagency/2652959/01484717622</t>
        </is>
      </c>
      <c r="E147" s="10" t="inlineStr">
        <is>
          <t>Directory</t>
        </is>
      </c>
      <c r="F147" s="10" t="inlineStr">
        <is>
          <t>2026-09-16</t>
        </is>
      </c>
      <c r="G147" s="10" t="inlineStr">
        <is>
          <t>phone</t>
        </is>
      </c>
      <c r="H147" s="10" t="inlineStr">
        <is>
          <t>Requires Verification</t>
        </is>
      </c>
    </row>
    <row r="148">
      <c r="A148" s="5" t="inlineStr">
        <is>
          <t>WY-0050</t>
        </is>
      </c>
      <c r="B148" s="5" t="inlineStr">
        <is>
          <t>Anwarsons Newsagency</t>
        </is>
      </c>
      <c r="C148" s="5" t="inlineStr">
        <is>
          <t>Brighouse</t>
        </is>
      </c>
      <c r="D148" s="5" t="inlineStr">
        <is>
          <t>https://www.misterwhat.co.uk/company/540928-anwarsons-quality-tobacconists-brighouse</t>
        </is>
      </c>
      <c r="E148" s="5" t="inlineStr">
        <is>
          <t>Directory</t>
        </is>
      </c>
      <c r="F148" s="5" t="inlineStr">
        <is>
          <t>2026-09-16</t>
        </is>
      </c>
      <c r="G148" s="5" t="inlineStr">
        <is>
          <t>address, postcode, tobacconist offer</t>
        </is>
      </c>
      <c r="H148" s="5" t="inlineStr">
        <is>
          <t>Requires Verification</t>
        </is>
      </c>
    </row>
    <row r="149">
      <c r="A149" s="10" t="inlineStr">
        <is>
          <t>WY-0050</t>
        </is>
      </c>
      <c r="B149" s="10" t="inlineStr">
        <is>
          <t>Anwarsons Newsagency</t>
        </is>
      </c>
      <c r="C149" s="10" t="inlineStr">
        <is>
          <t>Brighouse</t>
        </is>
      </c>
      <c r="D149" s="10" t="inlineStr">
        <is>
          <t>https://b99.co.uk/tobacconist/brighouse/anwarsons/</t>
        </is>
      </c>
      <c r="E149" s="10" t="inlineStr">
        <is>
          <t>Directory</t>
        </is>
      </c>
      <c r="F149" s="10" t="inlineStr">
        <is>
          <t>2026-09-16</t>
        </is>
      </c>
      <c r="G149" s="10" t="inlineStr">
        <is>
          <t>listing confirmation</t>
        </is>
      </c>
      <c r="H149" s="10" t="inlineStr">
        <is>
          <t>Requires Verification</t>
        </is>
      </c>
    </row>
    <row r="150">
      <c r="A150" s="5" t="inlineStr">
        <is>
          <t>WY-0051</t>
        </is>
      </c>
      <c r="B150" s="5" t="inlineStr">
        <is>
          <t>Armley Ridge Road Convenience Store &amp; Off-Licence</t>
        </is>
      </c>
      <c r="C150" s="5" t="inlineStr">
        <is>
          <t>Leeds</t>
        </is>
      </c>
      <c r="D150" s="5" t="inlineStr">
        <is>
          <t>https://www.facebook.com/NoProblemArmley/</t>
        </is>
      </c>
      <c r="E150" s="5" t="inlineStr">
        <is>
          <t>Facebook</t>
        </is>
      </c>
      <c r="F150" s="5" t="inlineStr">
        <is>
          <t>2026-09-16</t>
        </is>
      </c>
      <c r="G150" s="5" t="inlineStr">
        <is>
          <t>name, area (via search results)</t>
        </is>
      </c>
      <c r="H150" s="5" t="inlineStr">
        <is>
          <t>Requires Verification</t>
        </is>
      </c>
    </row>
    <row r="151">
      <c r="A151" s="10" t="inlineStr">
        <is>
          <t>WY-0052</t>
        </is>
      </c>
      <c r="B151" s="10" t="inlineStr">
        <is>
          <t>Asia Foods</t>
        </is>
      </c>
      <c r="C151" s="10" t="inlineStr">
        <is>
          <t>Huddersfield</t>
        </is>
      </c>
      <c r="D151" s="10" t="inlineStr">
        <is>
          <t>https://asia-foods-huddersfield.edan.io/</t>
        </is>
      </c>
      <c r="E151" s="10" t="inlineStr">
        <is>
          <t>Directory</t>
        </is>
      </c>
      <c r="F151" s="10" t="inlineStr">
        <is>
          <t>2026-09-16</t>
        </is>
      </c>
      <c r="G151" s="10" t="inlineStr">
        <is>
          <t>address, phone</t>
        </is>
      </c>
      <c r="H151" s="10" t="inlineStr">
        <is>
          <t>Requires Verification</t>
        </is>
      </c>
    </row>
    <row r="152">
      <c r="A152" s="5" t="inlineStr">
        <is>
          <t>WY-0052</t>
        </is>
      </c>
      <c r="B152" s="5" t="inlineStr">
        <is>
          <t>Asia Foods</t>
        </is>
      </c>
      <c r="C152" s="5" t="inlineStr">
        <is>
          <t>Huddersfield</t>
        </is>
      </c>
      <c r="D152" s="5" t="inlineStr">
        <is>
          <t>https://www.yorkshire.com/huddersfield/shopping/grocers/asia-foods</t>
        </is>
      </c>
      <c r="E152" s="5" t="inlineStr">
        <is>
          <t>Directory</t>
        </is>
      </c>
      <c r="F152" s="5" t="inlineStr">
        <is>
          <t>2026-09-16</t>
        </is>
      </c>
      <c r="G152" s="5" t="inlineStr">
        <is>
          <t>cross-check of name and town</t>
        </is>
      </c>
      <c r="H152" s="5" t="inlineStr">
        <is>
          <t>Requires Verification</t>
        </is>
      </c>
    </row>
    <row r="153">
      <c r="A153" s="10" t="inlineStr">
        <is>
          <t>WY-0053</t>
        </is>
      </c>
      <c r="B153" s="10" t="inlineStr">
        <is>
          <t>Azeem's Vape Shop</t>
        </is>
      </c>
      <c r="C153" s="10" t="inlineStr">
        <is>
          <t>Keighley</t>
        </is>
      </c>
      <c r="D153" s="10" t="inlineStr">
        <is>
          <t>https://m.yelp.com/biz/azeems-vape-shop-keighley</t>
        </is>
      </c>
      <c r="E153" s="10" t="inlineStr">
        <is>
          <t>Directory</t>
        </is>
      </c>
      <c r="F153" s="10" t="inlineStr">
        <is>
          <t>2026-09-16</t>
        </is>
      </c>
      <c r="G153" s="10" t="inlineStr">
        <is>
          <t>address 130 Lawkholme Lane BD21 3LU, phone, hours (search snippet)</t>
        </is>
      </c>
      <c r="H153" s="10" t="inlineStr">
        <is>
          <t>Partially Verified</t>
        </is>
      </c>
    </row>
    <row r="154">
      <c r="A154" s="5" t="inlineStr">
        <is>
          <t>WY-0053</t>
        </is>
      </c>
      <c r="B154" s="5" t="inlineStr">
        <is>
          <t>Azeem's Vape Shop</t>
        </is>
      </c>
      <c r="C154" s="5" t="inlineStr">
        <is>
          <t>Keighley</t>
        </is>
      </c>
      <c r="D154" s="5" t="inlineStr">
        <is>
          <t>https://find-and-update.company-information.service.gov.uk/company/13574720</t>
        </is>
      </c>
      <c r="E154" s="5" t="inlineStr">
        <is>
          <t>Companies House</t>
        </is>
      </c>
      <c r="F154" s="5" t="inlineStr">
        <is>
          <t>2026-09-16</t>
        </is>
      </c>
      <c r="G154" s="5" t="inlineStr">
        <is>
          <t>company number, dissolved status (search snippet; direct fetch blocked)</t>
        </is>
      </c>
      <c r="H154" s="5" t="inlineStr">
        <is>
          <t>Partially Verified</t>
        </is>
      </c>
    </row>
    <row r="155">
      <c r="A155" s="10" t="inlineStr">
        <is>
          <t>WY-0053</t>
        </is>
      </c>
      <c r="B155" s="10" t="inlineStr">
        <is>
          <t>Azeem's Vape Shop</t>
        </is>
      </c>
      <c r="C155" s="10" t="inlineStr">
        <is>
          <t>Keighley</t>
        </is>
      </c>
      <c r="D155" s="10" t="inlineStr">
        <is>
          <t>https://azeemsvapeshop.co.uk/contact/</t>
        </is>
      </c>
      <c r="E155" s="10" t="inlineStr">
        <is>
          <t>Official Website</t>
        </is>
      </c>
      <c r="F155" s="10" t="inlineStr">
        <is>
          <t>2026-09-16</t>
        </is>
      </c>
      <c r="G155" s="10" t="inlineStr">
        <is>
          <t>official website existence (fetch blocked)</t>
        </is>
      </c>
      <c r="H155" s="10" t="inlineStr">
        <is>
          <t>Partially Verified</t>
        </is>
      </c>
    </row>
    <row r="156">
      <c r="A156" s="5" t="inlineStr">
        <is>
          <t>WY-0054</t>
        </is>
      </c>
      <c r="B156" s="5" t="inlineStr">
        <is>
          <t>Azeem's Vape Shop</t>
        </is>
      </c>
      <c r="C156" s="5" t="inlineStr">
        <is>
          <t>Todmorden</t>
        </is>
      </c>
      <c r="D156" s="5" t="inlineStr">
        <is>
          <t>https://tobaccoshops.co.uk/05958051/Azeem%E2%80%99s_vape_shop</t>
        </is>
      </c>
      <c r="E156" s="5" t="inlineStr">
        <is>
          <t>Directory</t>
        </is>
      </c>
      <c r="F156" s="5" t="inlineStr">
        <is>
          <t>2026-09-16</t>
        </is>
      </c>
      <c r="G156" s="5" t="inlineStr">
        <is>
          <t>name, town listing</t>
        </is>
      </c>
      <c r="H156" s="5" t="inlineStr">
        <is>
          <t>Requires Verification</t>
        </is>
      </c>
    </row>
    <row r="157">
      <c r="A157" s="10" t="inlineStr">
        <is>
          <t>WY-0054</t>
        </is>
      </c>
      <c r="B157" s="10" t="inlineStr">
        <is>
          <t>Azeem's Vape Shop</t>
        </is>
      </c>
      <c r="C157" s="10" t="inlineStr">
        <is>
          <t>Todmorden</t>
        </is>
      </c>
      <c r="D157" s="10" t="inlineStr">
        <is>
          <t>https://www.yelp.com/search?cflt=vapeshops&amp;find_loc=Todmorden%2C+West+Yorkshire</t>
        </is>
      </c>
      <c r="E157" s="10" t="inlineStr">
        <is>
          <t>Directory</t>
        </is>
      </c>
      <c r="F157" s="10" t="inlineStr">
        <is>
          <t>2026-09-16</t>
        </is>
      </c>
      <c r="G157" s="10" t="inlineStr">
        <is>
          <t>listed among Todmorden vape shops</t>
        </is>
      </c>
      <c r="H157" s="10" t="inlineStr">
        <is>
          <t>Requires Verification</t>
        </is>
      </c>
    </row>
    <row r="158">
      <c r="A158" s="5" t="inlineStr">
        <is>
          <t>WY-0055</t>
        </is>
      </c>
      <c r="B158" s="5" t="inlineStr">
        <is>
          <t>BGC Wholesale</t>
        </is>
      </c>
      <c r="C158" s="5" t="inlineStr">
        <is>
          <t>Bradford</t>
        </is>
      </c>
      <c r="D158" s="5" t="inlineStr">
        <is>
          <t>https://bradford.cylex-uk.co.uk/company/bgc-wholesale-ltd-27159538.html</t>
        </is>
      </c>
      <c r="E158" s="5" t="inlineStr">
        <is>
          <t>Directory</t>
        </is>
      </c>
      <c r="F158" s="5" t="inlineStr">
        <is>
          <t>2026-09-16</t>
        </is>
      </c>
      <c r="G158" s="5" t="inlineStr">
        <is>
          <t>address 12 Roydsdale Way, Euroway Estate BD4 6SE, phone (search snippet)</t>
        </is>
      </c>
      <c r="H158" s="5" t="inlineStr">
        <is>
          <t>Partially Verified</t>
        </is>
      </c>
    </row>
    <row r="159">
      <c r="A159" s="10" t="inlineStr">
        <is>
          <t>WY-0055</t>
        </is>
      </c>
      <c r="B159" s="10" t="inlineStr">
        <is>
          <t>BGC Wholesale</t>
        </is>
      </c>
      <c r="C159" s="10" t="inlineStr">
        <is>
          <t>Bradford</t>
        </is>
      </c>
      <c r="D159" s="10" t="inlineStr">
        <is>
          <t>https://find-and-update.company-information.service.gov.uk/company/12428420/officers</t>
        </is>
      </c>
      <c r="E159" s="10" t="inlineStr">
        <is>
          <t>Companies House</t>
        </is>
      </c>
      <c r="F159" s="10" t="inlineStr">
        <is>
          <t>2026-09-16</t>
        </is>
      </c>
      <c r="G159" s="10" t="inlineStr">
        <is>
          <t>company number 12428420 (search snippet; direct fetch blocked)</t>
        </is>
      </c>
      <c r="H159" s="10" t="inlineStr">
        <is>
          <t>Partially Verified</t>
        </is>
      </c>
    </row>
    <row r="160">
      <c r="A160" s="5" t="inlineStr">
        <is>
          <t>WY-0055</t>
        </is>
      </c>
      <c r="B160" s="5" t="inlineStr">
        <is>
          <t>BGC Wholesale</t>
        </is>
      </c>
      <c r="C160" s="5" t="inlineStr">
        <is>
          <t>Bradford</t>
        </is>
      </c>
      <c r="D160" s="5" t="inlineStr">
        <is>
          <t>https://tiger-feet-limited-previously-bgc-wholesale.wheree.com/</t>
        </is>
      </c>
      <c r="E160" s="5" t="inlineStr">
        <is>
          <t>Directory</t>
        </is>
      </c>
      <c r="F160" s="5" t="inlineStr">
        <is>
          <t>2026-09-16</t>
        </is>
      </c>
      <c r="G160" s="5" t="inlineStr">
        <is>
          <t>rebrand to Tiger Feet Limited, Wyke Bradford (search result)</t>
        </is>
      </c>
      <c r="H160" s="5" t="inlineStr">
        <is>
          <t>Partially Verified</t>
        </is>
      </c>
    </row>
    <row r="161">
      <c r="A161" s="10" t="inlineStr">
        <is>
          <t>WY-0056</t>
        </is>
      </c>
      <c r="B161" s="10" t="inlineStr">
        <is>
          <t>Baildon Green Convenience Store</t>
        </is>
      </c>
      <c r="C161" s="10" t="inlineStr">
        <is>
          <t>Shipley</t>
        </is>
      </c>
      <c r="D161" s="10" t="inlineStr">
        <is>
          <t>https://www.yorkshire.com/shipley/shopping/corner-shops/baildon-green-convenience-store</t>
        </is>
      </c>
      <c r="E161" s="10" t="inlineStr">
        <is>
          <t>Directory</t>
        </is>
      </c>
      <c r="F161" s="10" t="inlineStr">
        <is>
          <t>2026-09-16</t>
        </is>
      </c>
      <c r="G161" s="10" t="inlineStr">
        <is>
          <t>name, Cliffe Lane West Baildon location, hours (search snippet)</t>
        </is>
      </c>
      <c r="H161" s="10" t="inlineStr">
        <is>
          <t>Requires Verification</t>
        </is>
      </c>
    </row>
    <row r="162">
      <c r="A162" s="5" t="inlineStr">
        <is>
          <t>WY-0057</t>
        </is>
      </c>
      <c r="B162" s="5" t="inlineStr">
        <is>
          <t>Baildon Off Licence</t>
        </is>
      </c>
      <c r="C162" s="5" t="inlineStr">
        <is>
          <t>Shipley</t>
        </is>
      </c>
      <c r="D162" s="5" t="inlineStr">
        <is>
          <t>https://www.yorkshire.com/saltaire/shopping/off-license/baildon-off-licence</t>
        </is>
      </c>
      <c r="E162" s="5" t="inlineStr">
        <is>
          <t>Directory</t>
        </is>
      </c>
      <c r="F162" s="5" t="inlineStr">
        <is>
          <t>2026-09-16</t>
        </is>
      </c>
      <c r="G162" s="5" t="inlineStr">
        <is>
          <t>name, Coach Road Baildon location, hours (search snippet)</t>
        </is>
      </c>
      <c r="H162" s="5" t="inlineStr">
        <is>
          <t>Requires Verification</t>
        </is>
      </c>
    </row>
    <row r="163">
      <c r="A163" s="10" t="inlineStr">
        <is>
          <t>WY-0058</t>
        </is>
      </c>
      <c r="B163" s="10" t="inlineStr">
        <is>
          <t>Bar Market</t>
        </is>
      </c>
      <c r="C163" s="10" t="inlineStr">
        <is>
          <t>Halifax</t>
        </is>
      </c>
      <c r="D163" s="10" t="inlineStr">
        <is>
          <t>https://www.yorkshire.com/halifax/shopping/off-license/bar-market-ltd</t>
        </is>
      </c>
      <c r="E163" s="10" t="inlineStr">
        <is>
          <t>Directory</t>
        </is>
      </c>
      <c r="F163" s="10" t="inlineStr">
        <is>
          <t>2026-09-16</t>
        </is>
      </c>
      <c r="G163" s="10" t="inlineStr">
        <is>
          <t>name, street, description</t>
        </is>
      </c>
      <c r="H163" s="10" t="inlineStr">
        <is>
          <t>Requires Verification</t>
        </is>
      </c>
    </row>
    <row r="164">
      <c r="A164" s="5" t="inlineStr">
        <is>
          <t>WY-0059</t>
        </is>
      </c>
      <c r="B164" s="5" t="inlineStr">
        <is>
          <t>Barry's Cash &amp; Carry</t>
        </is>
      </c>
      <c r="C164" s="5" t="inlineStr">
        <is>
          <t>Halifax</t>
        </is>
      </c>
      <c r="D164" s="5" t="inlineStr">
        <is>
          <t>https://cutpricebarrys.co.uk/barrys-cash-and-carry/</t>
        </is>
      </c>
      <c r="E164" s="5" t="inlineStr">
        <is>
          <t>Official Website</t>
        </is>
      </c>
      <c r="F164" s="5" t="inlineStr">
        <is>
          <t>2026-09-16</t>
        </is>
      </c>
      <c r="G164" s="5" t="inlineStr">
        <is>
          <t>business description (via search snippet; fetch blocked)</t>
        </is>
      </c>
      <c r="H164" s="5" t="inlineStr">
        <is>
          <t>Partially Verified</t>
        </is>
      </c>
    </row>
    <row r="165">
      <c r="A165" s="10" t="inlineStr">
        <is>
          <t>WY-0059</t>
        </is>
      </c>
      <c r="B165" s="10" t="inlineStr">
        <is>
          <t>Barry's Cash &amp; Carry</t>
        </is>
      </c>
      <c r="C165" s="10" t="inlineStr">
        <is>
          <t>Halifax</t>
        </is>
      </c>
      <c r="D165" s="10" t="inlineStr">
        <is>
          <t>https://find-and-update.company-information.service.gov.uk/company/11123434</t>
        </is>
      </c>
      <c r="E165" s="10" t="inlineStr">
        <is>
          <t>Companies House</t>
        </is>
      </c>
      <c r="F165" s="10" t="inlineStr">
        <is>
          <t>2026-09-16</t>
        </is>
      </c>
      <c r="G165" s="10" t="inlineStr">
        <is>
          <t>company number, status, incorporation date, registered office (via search snippet)</t>
        </is>
      </c>
      <c r="H165" s="10" t="inlineStr">
        <is>
          <t>Partially Verified</t>
        </is>
      </c>
    </row>
    <row r="166">
      <c r="A166" s="5" t="inlineStr">
        <is>
          <t>WY-0059</t>
        </is>
      </c>
      <c r="B166" s="5" t="inlineStr">
        <is>
          <t>Barry's Cash &amp; Carry</t>
        </is>
      </c>
      <c r="C166" s="5" t="inlineStr">
        <is>
          <t>Halifax</t>
        </is>
      </c>
      <c r="D166" s="5" t="inlineStr">
        <is>
          <t>https://www.bizseek.co.uk/barrys-cash-carry-01422-646060</t>
        </is>
      </c>
      <c r="E166" s="5" t="inlineStr">
        <is>
          <t>Directory</t>
        </is>
      </c>
      <c r="F166" s="5" t="inlineStr">
        <is>
          <t>2026-09-16</t>
        </is>
      </c>
      <c r="G166" s="5" t="inlineStr">
        <is>
          <t>phone</t>
        </is>
      </c>
      <c r="H166" s="5" t="inlineStr">
        <is>
          <t>Partially Verified</t>
        </is>
      </c>
    </row>
    <row r="167">
      <c r="A167" s="10" t="inlineStr">
        <is>
          <t>WY-0059</t>
        </is>
      </c>
      <c r="B167" s="10" t="inlineStr">
        <is>
          <t>Barry's Cash &amp; Carry</t>
        </is>
      </c>
      <c r="C167" s="10" t="inlineStr">
        <is>
          <t>Halifax</t>
        </is>
      </c>
      <c r="D167" s="10" t="inlineStr">
        <is>
          <t>https://www.chamberofcommerce.uk/business-directory/england/halifax/cash-and-carry-wholesaler/923587-barrys-cash-carry</t>
        </is>
      </c>
      <c r="E167" s="10" t="inlineStr">
        <is>
          <t>Directory</t>
        </is>
      </c>
      <c r="F167" s="10" t="inlineStr">
        <is>
          <t>2026-09-16</t>
        </is>
      </c>
      <c r="G167" s="10" t="inlineStr">
        <is>
          <t>address, email</t>
        </is>
      </c>
      <c r="H167" s="10" t="inlineStr">
        <is>
          <t>Partially Verified</t>
        </is>
      </c>
    </row>
    <row r="168">
      <c r="A168" s="5" t="inlineStr">
        <is>
          <t>WY-0059</t>
        </is>
      </c>
      <c r="B168" s="5" t="inlineStr">
        <is>
          <t>Barry's Cash &amp; Carry</t>
        </is>
      </c>
      <c r="C168" s="5" t="inlineStr">
        <is>
          <t>Halifax</t>
        </is>
      </c>
      <c r="D168" s="5" t="inlineStr">
        <is>
          <t>https://www.instagram.com/barryscashandcarry/</t>
        </is>
      </c>
      <c r="E168" s="5" t="inlineStr">
        <is>
          <t>Instagram</t>
        </is>
      </c>
      <c r="F168" s="5" t="inlineStr">
        <is>
          <t>2026-09-16</t>
        </is>
      </c>
      <c r="G168" s="5" t="inlineStr">
        <is>
          <t>social (facebook, instagram)</t>
        </is>
      </c>
      <c r="H168" s="5" t="inlineStr">
        <is>
          <t>Partially Verified</t>
        </is>
      </c>
    </row>
    <row r="169">
      <c r="A169" s="10" t="inlineStr">
        <is>
          <t>WY-0060</t>
        </is>
      </c>
      <c r="B169" s="10" t="inlineStr">
        <is>
          <t>Batley Bargain Centre</t>
        </is>
      </c>
      <c r="C169" s="10" t="inlineStr">
        <is>
          <t>Batley</t>
        </is>
      </c>
      <c r="D169" s="10" t="inlineStr">
        <is>
          <t>https://www.batleybargaincentre.com/</t>
        </is>
      </c>
      <c r="E169" s="10" t="inlineStr">
        <is>
          <t>Official Website</t>
        </is>
      </c>
      <c r="F169" s="10" t="inlineStr">
        <is>
          <t>2026-09-16</t>
        </is>
      </c>
      <c r="G169" s="10" t="inlineStr">
        <is>
          <t>business name, town, product mix (from search result snippet)</t>
        </is>
      </c>
      <c r="H169" s="10" t="inlineStr">
        <is>
          <t>Partially Verified</t>
        </is>
      </c>
    </row>
    <row r="170">
      <c r="A170" s="5" t="inlineStr">
        <is>
          <t>WY-0060</t>
        </is>
      </c>
      <c r="B170" s="5" t="inlineStr">
        <is>
          <t>Batley Bargain Centre</t>
        </is>
      </c>
      <c r="C170" s="5" t="inlineStr">
        <is>
          <t>Batley</t>
        </is>
      </c>
      <c r="D170" s="5" t="inlineStr">
        <is>
          <t>https://www.misterwhat.co.uk/company/550608-batley-bargain-centre-batley</t>
        </is>
      </c>
      <c r="E170" s="5" t="inlineStr">
        <is>
          <t>Directory</t>
        </is>
      </c>
      <c r="F170" s="5" t="inlineStr">
        <is>
          <t>2026-09-16</t>
        </is>
      </c>
      <c r="G170" s="5" t="inlineStr">
        <is>
          <t>postcode, phone, email, social (facebook, instagram)</t>
        </is>
      </c>
      <c r="H170" s="5" t="inlineStr">
        <is>
          <t>Partially Verified</t>
        </is>
      </c>
    </row>
    <row r="171">
      <c r="A171" s="10" t="inlineStr">
        <is>
          <t>WY-0061</t>
        </is>
      </c>
      <c r="B171" s="10" t="inlineStr">
        <is>
          <t>Beer Ritz</t>
        </is>
      </c>
      <c r="C171" s="10" t="inlineStr">
        <is>
          <t>Leeds</t>
        </is>
      </c>
      <c r="D171" s="10" t="inlineStr">
        <is>
          <t>https://www.yelp.co.uk/biz/beer-ritz-leeds</t>
        </is>
      </c>
      <c r="E171" s="10" t="inlineStr">
        <is>
          <t>Directory</t>
        </is>
      </c>
      <c r="F171" s="10" t="inlineStr">
        <is>
          <t>2026-09-16</t>
        </is>
      </c>
      <c r="G171" s="10" t="inlineStr">
        <is>
          <t>address, phone, hours (via search results)</t>
        </is>
      </c>
      <c r="H171" s="10" t="inlineStr">
        <is>
          <t>Partially Verified</t>
        </is>
      </c>
    </row>
    <row r="172">
      <c r="A172" s="5" t="inlineStr">
        <is>
          <t>WY-0061</t>
        </is>
      </c>
      <c r="B172" s="5" t="inlineStr">
        <is>
          <t>Beer Ritz</t>
        </is>
      </c>
      <c r="C172" s="5" t="inlineStr">
        <is>
          <t>Leeds</t>
        </is>
      </c>
      <c r="D172" s="5" t="inlineStr">
        <is>
          <t>https://www.beerritz.co.uk/contact-us</t>
        </is>
      </c>
      <c r="E172" s="5" t="inlineStr">
        <is>
          <t>Official Website</t>
        </is>
      </c>
      <c r="F172" s="5" t="inlineStr">
        <is>
          <t>2026-09-16</t>
        </is>
      </c>
      <c r="G172" s="5" t="inlineStr">
        <is>
          <t>website/contact page existence (via search results; direct fetch blocked by proxy)</t>
        </is>
      </c>
      <c r="H172" s="5" t="inlineStr">
        <is>
          <t>Partially Verified</t>
        </is>
      </c>
    </row>
    <row r="173">
      <c r="A173" s="10" t="inlineStr">
        <is>
          <t>WY-0061</t>
        </is>
      </c>
      <c r="B173" s="10" t="inlineStr">
        <is>
          <t>Beer Ritz</t>
        </is>
      </c>
      <c r="C173" s="10" t="inlineStr">
        <is>
          <t>Leeds</t>
        </is>
      </c>
      <c r="D173" s="10" t="inlineStr">
        <is>
          <t>https://www.headingleyleeds.com/offlicences</t>
        </is>
      </c>
      <c r="E173" s="10" t="inlineStr">
        <is>
          <t>Directory</t>
        </is>
      </c>
      <c r="F173" s="10" t="inlineStr">
        <is>
          <t>2026-09-16</t>
        </is>
      </c>
      <c r="G173" s="10" t="inlineStr">
        <is>
          <t>Headingley off-licence listing (via search results)</t>
        </is>
      </c>
      <c r="H173" s="10" t="inlineStr">
        <is>
          <t>Partially Verified</t>
        </is>
      </c>
    </row>
    <row r="174">
      <c r="A174" s="5" t="inlineStr">
        <is>
          <t>WY-0062</t>
        </is>
      </c>
      <c r="B174" s="5" t="inlineStr">
        <is>
          <t>Bespoke Shisha</t>
        </is>
      </c>
      <c r="C174" s="5" t="inlineStr">
        <is>
          <t>Dewsbury</t>
        </is>
      </c>
      <c r="D174" s="5" t="inlineStr">
        <is>
          <t>https://suitableforvegetarian.com/business/detail/bespoke-shisha</t>
        </is>
      </c>
      <c r="E174" s="5" t="inlineStr">
        <is>
          <t>Directory</t>
        </is>
      </c>
      <c r="F174" s="5" t="inlineStr">
        <is>
          <t>2026-09-16</t>
        </is>
      </c>
      <c r="G174" s="5" t="inlineStr">
        <is>
          <t>name, address, postcode</t>
        </is>
      </c>
      <c r="H174" s="5" t="inlineStr">
        <is>
          <t>Requires Verification</t>
        </is>
      </c>
    </row>
    <row r="175">
      <c r="A175" s="10" t="inlineStr">
        <is>
          <t>WY-0063</t>
        </is>
      </c>
      <c r="B175" s="10" t="inlineStr">
        <is>
          <t>Best Choice Wholesale</t>
        </is>
      </c>
      <c r="C175" s="10" t="inlineStr">
        <is>
          <t>Leeds</t>
        </is>
      </c>
      <c r="D175" s="10" t="inlineStr">
        <is>
          <t>https://www.bestchoicewholesale.co.uk/contact-us/</t>
        </is>
      </c>
      <c r="E175" s="10" t="inlineStr">
        <is>
          <t>Official Website</t>
        </is>
      </c>
      <c r="F175" s="10" t="inlineStr">
        <is>
          <t>2026-09-16</t>
        </is>
      </c>
      <c r="G175" s="10" t="inlineStr">
        <is>
          <t>address, phone, email (via search results)</t>
        </is>
      </c>
      <c r="H175" s="10" t="inlineStr">
        <is>
          <t>Requires Verification</t>
        </is>
      </c>
    </row>
    <row r="176">
      <c r="A176" s="5" t="inlineStr">
        <is>
          <t>WY-0063</t>
        </is>
      </c>
      <c r="B176" s="5" t="inlineStr">
        <is>
          <t>Best Choice Wholesale</t>
        </is>
      </c>
      <c r="C176" s="5" t="inlineStr">
        <is>
          <t>Leeds</t>
        </is>
      </c>
      <c r="D176" s="5" t="inlineStr">
        <is>
          <t>https://www.scoot.co.uk/England/West-Yorkshire/Leeds/Best-Choice-Wholesale-16993082.html</t>
        </is>
      </c>
      <c r="E176" s="5" t="inlineStr">
        <is>
          <t>Directory</t>
        </is>
      </c>
      <c r="F176" s="5" t="inlineStr">
        <is>
          <t>2026-09-16</t>
        </is>
      </c>
      <c r="G176" s="5" t="inlineStr">
        <is>
          <t>listing cross-check (via search results)</t>
        </is>
      </c>
      <c r="H176" s="5" t="inlineStr">
        <is>
          <t>Requires Verification</t>
        </is>
      </c>
    </row>
    <row r="177">
      <c r="A177" s="10" t="inlineStr">
        <is>
          <t>WY-0063</t>
        </is>
      </c>
      <c r="B177" s="10" t="inlineStr">
        <is>
          <t>Best Choice Wholesale</t>
        </is>
      </c>
      <c r="C177" s="10" t="inlineStr">
        <is>
          <t>Leeds</t>
        </is>
      </c>
      <c r="D177" s="10" t="inlineStr">
        <is>
          <t>https://www.yell.com/biz/best-choice-wholesale-leeds-9089835/</t>
        </is>
      </c>
      <c r="E177" s="10" t="inlineStr">
        <is>
          <t>Yell</t>
        </is>
      </c>
      <c r="F177" s="10" t="inlineStr">
        <is>
          <t>2026-09-16</t>
        </is>
      </c>
      <c r="G177" s="10" t="inlineStr">
        <is>
          <t>category, description (via search results)</t>
        </is>
      </c>
      <c r="H177" s="10" t="inlineStr">
        <is>
          <t>Requires Verification</t>
        </is>
      </c>
    </row>
    <row r="178">
      <c r="A178" s="5" t="inlineStr">
        <is>
          <t>WY-0064</t>
        </is>
      </c>
      <c r="B178" s="5" t="inlineStr">
        <is>
          <t>Big D Vapes</t>
        </is>
      </c>
      <c r="C178" s="5" t="inlineStr">
        <is>
          <t>Slaithwaite</t>
        </is>
      </c>
      <c r="D178" s="5" t="inlineStr">
        <is>
          <t>https://slaithwaite.cylex-uk.co.uk/company/big-d-vapes-slaithwaite-27713821.html</t>
        </is>
      </c>
      <c r="E178" s="5" t="inlineStr">
        <is>
          <t>Directory</t>
        </is>
      </c>
      <c r="F178" s="5" t="inlineStr">
        <is>
          <t>2026-09-16</t>
        </is>
      </c>
      <c r="G178" s="5" t="inlineStr">
        <is>
          <t>address, phone</t>
        </is>
      </c>
      <c r="H178" s="5" t="inlineStr">
        <is>
          <t>Requires Verification</t>
        </is>
      </c>
    </row>
    <row r="179">
      <c r="A179" s="10" t="inlineStr">
        <is>
          <t>WY-0064</t>
        </is>
      </c>
      <c r="B179" s="10" t="inlineStr">
        <is>
          <t>Big D Vapes</t>
        </is>
      </c>
      <c r="C179" s="10" t="inlineStr">
        <is>
          <t>Slaithwaite</t>
        </is>
      </c>
      <c r="D179" s="10" t="inlineStr">
        <is>
          <t>https://www.facebook.com/BigDVapesSlaithwaite</t>
        </is>
      </c>
      <c r="E179" s="10" t="inlineStr">
        <is>
          <t>Facebook</t>
        </is>
      </c>
      <c r="F179" s="10" t="inlineStr">
        <is>
          <t>2026-09-16</t>
        </is>
      </c>
      <c r="G179" s="10" t="inlineStr">
        <is>
          <t>business Facebook page, service area</t>
        </is>
      </c>
      <c r="H179" s="10" t="inlineStr">
        <is>
          <t>Requires Verification</t>
        </is>
      </c>
    </row>
    <row r="180">
      <c r="A180" s="5" t="inlineStr">
        <is>
          <t>WY-0064</t>
        </is>
      </c>
      <c r="B180" s="5" t="inlineStr">
        <is>
          <t>Big D Vapes</t>
        </is>
      </c>
      <c r="C180" s="5" t="inlineStr">
        <is>
          <t>Slaithwaite</t>
        </is>
      </c>
      <c r="D180" s="5" t="inlineStr">
        <is>
          <t>https://find-and-update.company-information.service.gov.uk/company/12029439</t>
        </is>
      </c>
      <c r="E180" s="5" t="inlineStr">
        <is>
          <t>Companies House</t>
        </is>
      </c>
      <c r="F180" s="5" t="inlineStr">
        <is>
          <t>2026-09-16</t>
        </is>
      </c>
      <c r="G180" s="5" t="inlineStr">
        <is>
          <t>registered company name, company number</t>
        </is>
      </c>
      <c r="H180" s="5" t="inlineStr">
        <is>
          <t>Requires Verification</t>
        </is>
      </c>
    </row>
    <row r="181">
      <c r="A181" s="10" t="inlineStr">
        <is>
          <t>WY-0064</t>
        </is>
      </c>
      <c r="B181" s="10" t="inlineStr">
        <is>
          <t>Big D Vapes</t>
        </is>
      </c>
      <c r="C181" s="10" t="inlineStr">
        <is>
          <t>Slaithwaite</t>
        </is>
      </c>
      <c r="D181" s="10" t="inlineStr">
        <is>
          <t>https://ratings.food.gov.uk/business/1669648</t>
        </is>
      </c>
      <c r="E181" s="10" t="inlineStr">
        <is>
          <t>Other</t>
        </is>
      </c>
      <c r="F181" s="10" t="inlineStr">
        <is>
          <t>2026-09-16</t>
        </is>
      </c>
      <c r="G181" s="10" t="inlineStr">
        <is>
          <t>FSA-registered business in Huddersfield area (existence check)</t>
        </is>
      </c>
      <c r="H181" s="10" t="inlineStr">
        <is>
          <t>Requires Verification</t>
        </is>
      </c>
    </row>
    <row r="182">
      <c r="A182" s="5" t="inlineStr">
        <is>
          <t>WY-0065</t>
        </is>
      </c>
      <c r="B182" s="5" t="inlineStr">
        <is>
          <t>Bingley Vape Shop</t>
        </is>
      </c>
      <c r="C182" s="5" t="inlineStr">
        <is>
          <t>Bingley</t>
        </is>
      </c>
      <c r="D182" s="5" t="inlineStr">
        <is>
          <t>https://find-and-update.company-information.service.gov.uk/company/11788618</t>
        </is>
      </c>
      <c r="E182" s="5" t="inlineStr">
        <is>
          <t>Companies House</t>
        </is>
      </c>
      <c r="F182" s="5" t="inlineStr">
        <is>
          <t>2026-09-16</t>
        </is>
      </c>
      <c r="G182" s="5" t="inlineStr">
        <is>
          <t>company number, registered name and office 67-69 Main Street BD16 2JA (search snippet; direct fetch blocked)</t>
        </is>
      </c>
      <c r="H182" s="5" t="inlineStr">
        <is>
          <t>Partially Verified</t>
        </is>
      </c>
    </row>
    <row r="183">
      <c r="A183" s="10" t="inlineStr">
        <is>
          <t>WY-0065</t>
        </is>
      </c>
      <c r="B183" s="10" t="inlineStr">
        <is>
          <t>Bingley Vape Shop</t>
        </is>
      </c>
      <c r="C183" s="10" t="inlineStr">
        <is>
          <t>Bingley</t>
        </is>
      </c>
      <c r="D183" s="10" t="inlineStr">
        <is>
          <t>https://www.facebook.com/BingleyVapeShop/</t>
        </is>
      </c>
      <c r="E183" s="10" t="inlineStr">
        <is>
          <t>Facebook</t>
        </is>
      </c>
      <c r="F183" s="10" t="inlineStr">
        <is>
          <t>2026-09-16</t>
        </is>
      </c>
      <c r="G183" s="10" t="inlineStr">
        <is>
          <t>active page, product range, phone (search snippet)</t>
        </is>
      </c>
      <c r="H183" s="10" t="inlineStr">
        <is>
          <t>Partially Verified</t>
        </is>
      </c>
    </row>
    <row r="184">
      <c r="A184" s="5" t="inlineStr">
        <is>
          <t>WY-0066</t>
        </is>
      </c>
      <c r="B184" s="5" t="inlineStr">
        <is>
          <t>Boothtown Post Office &amp; Off-Licence</t>
        </is>
      </c>
      <c r="C184" s="5" t="inlineStr">
        <is>
          <t>Halifax</t>
        </is>
      </c>
      <c r="D184" s="5" t="inlineStr">
        <is>
          <t>https://findit.halifaxcourier.co.uk/search/halifax/off-licence</t>
        </is>
      </c>
      <c r="E184" s="5" t="inlineStr">
        <is>
          <t>Directory</t>
        </is>
      </c>
      <c r="F184" s="5" t="inlineStr">
        <is>
          <t>2026-09-16</t>
        </is>
      </c>
      <c r="G184" s="5" t="inlineStr">
        <is>
          <t>name, town, category</t>
        </is>
      </c>
      <c r="H184" s="5" t="inlineStr">
        <is>
          <t>Requires Verification</t>
        </is>
      </c>
    </row>
    <row r="185">
      <c r="A185" s="10" t="inlineStr">
        <is>
          <t>WY-0067</t>
        </is>
      </c>
      <c r="B185" s="10" t="inlineStr">
        <is>
          <t>Booze Express</t>
        </is>
      </c>
      <c r="C185" s="10" t="inlineStr">
        <is>
          <t>Halifax</t>
        </is>
      </c>
      <c r="D185" s="10" t="inlineStr">
        <is>
          <t>https://findit.halifaxcourier.co.uk/company/1155715525128193</t>
        </is>
      </c>
      <c r="E185" s="10" t="inlineStr">
        <is>
          <t>Directory</t>
        </is>
      </c>
      <c r="F185" s="10" t="inlineStr">
        <is>
          <t>2026-09-16</t>
        </is>
      </c>
      <c r="G185" s="10" t="inlineStr">
        <is>
          <t>address, postcode</t>
        </is>
      </c>
      <c r="H185" s="10" t="inlineStr">
        <is>
          <t>Partially Verified</t>
        </is>
      </c>
    </row>
    <row r="186">
      <c r="A186" s="5" t="inlineStr">
        <is>
          <t>WY-0067</t>
        </is>
      </c>
      <c r="B186" s="5" t="inlineStr">
        <is>
          <t>Booze Express</t>
        </is>
      </c>
      <c r="C186" s="5" t="inlineStr">
        <is>
          <t>Halifax</t>
        </is>
      </c>
      <c r="D186" s="5" t="inlineStr">
        <is>
          <t>https://www.yorkshire.com/halifax/shopping/off-license/booze-express</t>
        </is>
      </c>
      <c r="E186" s="5" t="inlineStr">
        <is>
          <t>Directory</t>
        </is>
      </c>
      <c r="F186" s="5" t="inlineStr">
        <is>
          <t>2026-09-16</t>
        </is>
      </c>
      <c r="G186" s="5" t="inlineStr">
        <is>
          <t>current listing</t>
        </is>
      </c>
      <c r="H186" s="5" t="inlineStr">
        <is>
          <t>Partially Verified</t>
        </is>
      </c>
    </row>
    <row r="187">
      <c r="A187" s="10" t="inlineStr">
        <is>
          <t>WY-0067</t>
        </is>
      </c>
      <c r="B187" s="10" t="inlineStr">
        <is>
          <t>Booze Express</t>
        </is>
      </c>
      <c r="C187" s="10" t="inlineStr">
        <is>
          <t>Halifax</t>
        </is>
      </c>
      <c r="D187" s="10" t="inlineStr">
        <is>
          <t>https://find-and-update.company-information.service.gov.uk/company/10264056</t>
        </is>
      </c>
      <c r="E187" s="10" t="inlineStr">
        <is>
          <t>Companies House</t>
        </is>
      </c>
      <c r="F187" s="10" t="inlineStr">
        <is>
          <t>2026-09-16</t>
        </is>
      </c>
      <c r="G187" s="10" t="inlineStr">
        <is>
          <t>former company dissolved 2019 (via search snippet)</t>
        </is>
      </c>
      <c r="H187" s="10" t="inlineStr">
        <is>
          <t>Partially Verified</t>
        </is>
      </c>
    </row>
    <row r="188">
      <c r="A188" s="5" t="inlineStr">
        <is>
          <t>WY-0068</t>
        </is>
      </c>
      <c r="B188" s="5" t="inlineStr">
        <is>
          <t>Bottle and Bean</t>
        </is>
      </c>
      <c r="C188" s="5" t="inlineStr">
        <is>
          <t>Wetherby</t>
        </is>
      </c>
      <c r="D188" s="5" t="inlineStr">
        <is>
          <t>https://www.yorkshire.com/wetherby/shopping/off-license/bottle-and-bean</t>
        </is>
      </c>
      <c r="E188" s="5" t="inlineStr">
        <is>
          <t>Directory</t>
        </is>
      </c>
      <c r="F188" s="5" t="inlineStr">
        <is>
          <t>2026-09-16</t>
        </is>
      </c>
      <c r="G188" s="5" t="inlineStr">
        <is>
          <t>name, town, description (via search results)</t>
        </is>
      </c>
      <c r="H188" s="5" t="inlineStr">
        <is>
          <t>Requires Verification</t>
        </is>
      </c>
    </row>
    <row r="189">
      <c r="A189" s="10" t="inlineStr">
        <is>
          <t>WY-0069</t>
        </is>
      </c>
      <c r="B189" s="10" t="inlineStr">
        <is>
          <t>Bridge Off Licence Convenience Store</t>
        </is>
      </c>
      <c r="C189" s="10" t="inlineStr">
        <is>
          <t>Sowerby Bridge</t>
        </is>
      </c>
      <c r="D189" s="10" t="inlineStr">
        <is>
          <t>https://www.yorkshire.com/sowerby-bridge/shopping/off-license/bridge-off-licence-convenience-store</t>
        </is>
      </c>
      <c r="E189" s="10" t="inlineStr">
        <is>
          <t>Directory</t>
        </is>
      </c>
      <c r="F189" s="10" t="inlineStr">
        <is>
          <t>2026-09-16</t>
        </is>
      </c>
      <c r="G189" s="10" t="inlineStr">
        <is>
          <t>name, town, category</t>
        </is>
      </c>
      <c r="H189" s="10" t="inlineStr">
        <is>
          <t>Requires Verification</t>
        </is>
      </c>
    </row>
    <row r="190">
      <c r="A190" s="5" t="inlineStr">
        <is>
          <t>WY-0070</t>
        </is>
      </c>
      <c r="B190" s="5" t="inlineStr">
        <is>
          <t>Brooks News</t>
        </is>
      </c>
      <c r="C190" s="5" t="inlineStr">
        <is>
          <t>Pudsey</t>
        </is>
      </c>
      <c r="D190" s="5" t="inlineStr">
        <is>
          <t>https://www.thomsonlocal.com/search/newsagents/morley-west-yorkshire</t>
        </is>
      </c>
      <c r="E190" s="5" t="inlineStr">
        <is>
          <t>Directory</t>
        </is>
      </c>
      <c r="F190" s="5" t="inlineStr">
        <is>
          <t>2026-09-16</t>
        </is>
      </c>
      <c r="G190" s="5" t="inlineStr">
        <is>
          <t>directory search context (via search results)</t>
        </is>
      </c>
      <c r="H190" s="5" t="inlineStr">
        <is>
          <t>Requires Verification</t>
        </is>
      </c>
    </row>
    <row r="191">
      <c r="A191" s="10" t="inlineStr">
        <is>
          <t>WY-0070</t>
        </is>
      </c>
      <c r="B191" s="10" t="inlineStr">
        <is>
          <t>Brooks News</t>
        </is>
      </c>
      <c r="C191" s="10" t="inlineStr">
        <is>
          <t>Pudsey</t>
        </is>
      </c>
      <c r="D191" s="10" t="inlineStr">
        <is>
          <t>https://findit.yorkshireeveningpost.co.uk/search/leeds/newsagent</t>
        </is>
      </c>
      <c r="E191" s="10" t="inlineStr">
        <is>
          <t>Directory</t>
        </is>
      </c>
      <c r="F191" s="10" t="inlineStr">
        <is>
          <t>2026-09-16</t>
        </is>
      </c>
      <c r="G191" s="10" t="inlineStr">
        <is>
          <t>name, address, phone (via search results)</t>
        </is>
      </c>
      <c r="H191" s="10" t="inlineStr">
        <is>
          <t>Requires Verification</t>
        </is>
      </c>
    </row>
    <row r="192">
      <c r="A192" s="5" t="inlineStr">
        <is>
          <t>WY-0071</t>
        </is>
      </c>
      <c r="B192" s="5" t="inlineStr">
        <is>
          <t>C Booth and Son</t>
        </is>
      </c>
      <c r="C192" s="5" t="inlineStr">
        <is>
          <t>Huddersfield</t>
        </is>
      </c>
      <c r="D192" s="5" t="inlineStr">
        <is>
          <t>https://www.examinerlive.co.uk/news/west-yorkshire-news/the-shop-sells-everything-c-9967957</t>
        </is>
      </c>
      <c r="E192" s="5" t="inlineStr">
        <is>
          <t>News / Trade Press</t>
        </is>
      </c>
      <c r="F192" s="5" t="inlineStr">
        <is>
          <t>2026-09-16</t>
        </is>
      </c>
      <c r="G192" s="5" t="inlineStr">
        <is>
          <t>business history, tobacco offer, Cross Church Street location</t>
        </is>
      </c>
      <c r="H192" s="5" t="inlineStr">
        <is>
          <t>Requires Verification</t>
        </is>
      </c>
    </row>
    <row r="193">
      <c r="A193" s="10" t="inlineStr">
        <is>
          <t>WY-0072</t>
        </is>
      </c>
      <c r="B193" s="10" t="inlineStr">
        <is>
          <t>Carlton Self Service</t>
        </is>
      </c>
      <c r="C193" s="10" t="inlineStr">
        <is>
          <t>Pontefract</t>
        </is>
      </c>
      <c r="D193" s="10" t="inlineStr">
        <is>
          <t>https://www.thomsonlocal.com/search/newsagents/wakefield-pontefract-castleford/carlton-self-service/1650013/01977780317</t>
        </is>
      </c>
      <c r="E193" s="10" t="inlineStr">
        <is>
          <t>Directory</t>
        </is>
      </c>
      <c r="F193" s="10" t="inlineStr">
        <is>
          <t>2026-09-16</t>
        </is>
      </c>
      <c r="G193" s="10" t="inlineStr">
        <is>
          <t>name, address 6-8 Swanhill Lane WF8 2SE, phone</t>
        </is>
      </c>
      <c r="H193" s="10" t="inlineStr">
        <is>
          <t>Requires Verification</t>
        </is>
      </c>
    </row>
    <row r="194">
      <c r="A194" s="5" t="inlineStr">
        <is>
          <t>WY-0073</t>
        </is>
      </c>
      <c r="B194" s="5" t="inlineStr">
        <is>
          <t>Caspar's Bottle Shop</t>
        </is>
      </c>
      <c r="C194" s="5" t="inlineStr">
        <is>
          <t>Leeds</t>
        </is>
      </c>
      <c r="D194" s="5" t="inlineStr">
        <is>
          <t>https://www.casparsbottleshop.com/</t>
        </is>
      </c>
      <c r="E194" s="5" t="inlineStr">
        <is>
          <t>Official Website</t>
        </is>
      </c>
      <c r="F194" s="5" t="inlineStr">
        <is>
          <t>2026-09-16</t>
        </is>
      </c>
      <c r="G194" s="5" t="inlineStr">
        <is>
          <t>name, address, hours (via search results; direct fetch blocked by proxy)</t>
        </is>
      </c>
      <c r="H194" s="5" t="inlineStr">
        <is>
          <t>Requires Verification</t>
        </is>
      </c>
    </row>
    <row r="195">
      <c r="A195" s="10" t="inlineStr">
        <is>
          <t>WY-0073</t>
        </is>
      </c>
      <c r="B195" s="10" t="inlineStr">
        <is>
          <t>Caspar's Bottle Shop</t>
        </is>
      </c>
      <c r="C195" s="10" t="inlineStr">
        <is>
          <t>Leeds</t>
        </is>
      </c>
      <c r="D195" s="10" t="inlineStr">
        <is>
          <t>https://leeds-list.com/lifestyle/the-best-bottle-shops-in-leeds/</t>
        </is>
      </c>
      <c r="E195" s="10" t="inlineStr">
        <is>
          <t>News / Trade Press</t>
        </is>
      </c>
      <c r="F195" s="10" t="inlineStr">
        <is>
          <t>2026-09-16</t>
        </is>
      </c>
      <c r="G195" s="10" t="inlineStr">
        <is>
          <t>listing among Leeds bottle shops (via search results)</t>
        </is>
      </c>
      <c r="H195" s="10" t="inlineStr">
        <is>
          <t>Requires Verification</t>
        </is>
      </c>
    </row>
    <row r="196">
      <c r="A196" s="5" t="inlineStr">
        <is>
          <t>WY-0073</t>
        </is>
      </c>
      <c r="B196" s="5" t="inlineStr">
        <is>
          <t>Caspar's Bottle Shop</t>
        </is>
      </c>
      <c r="C196" s="5" t="inlineStr">
        <is>
          <t>Leeds</t>
        </is>
      </c>
      <c r="D196" s="5" t="inlineStr">
        <is>
          <t>https://leeds.cylex-uk.co.uk/company/caspar's-bottle-shop-26660090.html</t>
        </is>
      </c>
      <c r="E196" s="5" t="inlineStr">
        <is>
          <t>Directory</t>
        </is>
      </c>
      <c r="F196" s="5" t="inlineStr">
        <is>
          <t>2026-09-16</t>
        </is>
      </c>
      <c r="G196" s="5" t="inlineStr">
        <is>
          <t>postcode, phone, social (facebook)</t>
        </is>
      </c>
      <c r="H196" s="5" t="inlineStr">
        <is>
          <t>Requires Verification</t>
        </is>
      </c>
    </row>
    <row r="197">
      <c r="A197" s="10" t="inlineStr">
        <is>
          <t>WY-0074</t>
        </is>
      </c>
      <c r="B197" s="10" t="inlineStr">
        <is>
          <t>Castleford Road Off Licence</t>
        </is>
      </c>
      <c r="C197" s="10" t="inlineStr">
        <is>
          <t>Normanton</t>
        </is>
      </c>
      <c r="D197" s="10" t="inlineStr">
        <is>
          <t>https://www.192.com/atoz/business/normanton-wf6/convenience-stores/castleford-road-off-licence-limited/bb1e65f2f01c9a4208fc92bb1c8fdf5da42be2ec/comp/</t>
        </is>
      </c>
      <c r="E197" s="10" t="inlineStr">
        <is>
          <t>Directory</t>
        </is>
      </c>
      <c r="F197" s="10" t="inlineStr">
        <is>
          <t>2026-09-16</t>
        </is>
      </c>
      <c r="G197" s="10" t="inlineStr">
        <is>
          <t>name, legal name, address, phone</t>
        </is>
      </c>
      <c r="H197" s="10" t="inlineStr">
        <is>
          <t>Requires Verification</t>
        </is>
      </c>
    </row>
    <row r="198">
      <c r="A198" s="5" t="inlineStr">
        <is>
          <t>WY-0074</t>
        </is>
      </c>
      <c r="B198" s="5" t="inlineStr">
        <is>
          <t>Castleford Road Off Licence</t>
        </is>
      </c>
      <c r="C198" s="5" t="inlineStr">
        <is>
          <t>Normanton</t>
        </is>
      </c>
      <c r="D198" s="5" t="inlineStr">
        <is>
          <t>https://ratings.food.gov.uk/business/283424</t>
        </is>
      </c>
      <c r="E198" s="5" t="inlineStr">
        <is>
          <t>Other</t>
        </is>
      </c>
      <c r="F198" s="5" t="inlineStr">
        <is>
          <t>2026-09-16</t>
        </is>
      </c>
      <c r="G198" s="5" t="inlineStr">
        <is>
          <t>FSA food hygiene listing 'Castleford Road Off Licence' (existence cross-check)</t>
        </is>
      </c>
      <c r="H198" s="5" t="inlineStr">
        <is>
          <t>Requires Verification</t>
        </is>
      </c>
    </row>
    <row r="199">
      <c r="A199" s="10" t="inlineStr">
        <is>
          <t>WY-0075</t>
        </is>
      </c>
      <c r="B199" s="10" t="inlineStr">
        <is>
          <t>Charlesworths</t>
        </is>
      </c>
      <c r="C199" s="10" t="inlineStr">
        <is>
          <t>Holmfirth</t>
        </is>
      </c>
      <c r="D199" s="10" t="inlineStr">
        <is>
          <t>https://myindex.co.uk/charlesworths.htm</t>
        </is>
      </c>
      <c r="E199" s="10" t="inlineStr">
        <is>
          <t>Directory</t>
        </is>
      </c>
      <c r="F199" s="10" t="inlineStr">
        <is>
          <t>2026-09-16</t>
        </is>
      </c>
      <c r="G199" s="10" t="inlineStr">
        <is>
          <t>address, phone</t>
        </is>
      </c>
      <c r="H199" s="10" t="inlineStr">
        <is>
          <t>Requires Verification</t>
        </is>
      </c>
    </row>
    <row r="200">
      <c r="A200" s="5" t="inlineStr">
        <is>
          <t>WY-0075</t>
        </is>
      </c>
      <c r="B200" s="5" t="inlineStr">
        <is>
          <t>Charlesworths</t>
        </is>
      </c>
      <c r="C200" s="5" t="inlineStr">
        <is>
          <t>Holmfirth</t>
        </is>
      </c>
      <c r="D200" s="5" t="inlineStr">
        <is>
          <t>https://citikey.uk/display/charlesworths-B1CQZ</t>
        </is>
      </c>
      <c r="E200" s="5" t="inlineStr">
        <is>
          <t>Directory</t>
        </is>
      </c>
      <c r="F200" s="5" t="inlineStr">
        <is>
          <t>2026-09-16</t>
        </is>
      </c>
      <c r="G200" s="5" t="inlineStr">
        <is>
          <t>cross-check address 27 Victoria Street HD9 7DF</t>
        </is>
      </c>
      <c r="H200" s="5" t="inlineStr">
        <is>
          <t>Requires Verification</t>
        </is>
      </c>
    </row>
    <row r="201">
      <c r="A201" s="10" t="inlineStr">
        <is>
          <t>WY-0075</t>
        </is>
      </c>
      <c r="B201" s="10" t="inlineStr">
        <is>
          <t>Charlesworths</t>
        </is>
      </c>
      <c r="C201" s="10" t="inlineStr">
        <is>
          <t>Holmfirth</t>
        </is>
      </c>
      <c r="D201" s="10" t="inlineStr">
        <is>
          <t>https://holmfirthhistory.org.uk/holmfirth-past-and-present/victoria-street/</t>
        </is>
      </c>
      <c r="E201" s="10" t="inlineStr">
        <is>
          <t>Other</t>
        </is>
      </c>
      <c r="F201" s="10" t="inlineStr">
        <is>
          <t>2026-09-16</t>
        </is>
      </c>
      <c r="G201" s="10" t="inlineStr">
        <is>
          <t>business history since 1891</t>
        </is>
      </c>
      <c r="H201" s="10" t="inlineStr">
        <is>
          <t>Requires Verification</t>
        </is>
      </c>
    </row>
    <row r="202">
      <c r="A202" s="5" t="inlineStr">
        <is>
          <t>WY-0076</t>
        </is>
      </c>
      <c r="B202" s="5" t="inlineStr">
        <is>
          <t>Costcutter Wibsey</t>
        </is>
      </c>
      <c r="C202" s="5" t="inlineStr">
        <is>
          <t>Bradford</t>
        </is>
      </c>
      <c r="D202" s="5" t="inlineStr">
        <is>
          <t>https://store-locator.costcutter.co.uk/costcutter-b8ba71542351</t>
        </is>
      </c>
      <c r="E202" s="5" t="inlineStr">
        <is>
          <t>Other</t>
        </is>
      </c>
      <c r="F202" s="5" t="inlineStr">
        <is>
          <t>2026-09-16</t>
        </is>
      </c>
      <c r="G202" s="5" t="inlineStr">
        <is>
          <t>Costcutter store locator entry (search result)</t>
        </is>
      </c>
      <c r="H202" s="5" t="inlineStr">
        <is>
          <t>Requires Verification</t>
        </is>
      </c>
    </row>
    <row r="203">
      <c r="A203" s="10" t="inlineStr">
        <is>
          <t>WY-0076</t>
        </is>
      </c>
      <c r="B203" s="10" t="inlineStr">
        <is>
          <t>Costcutter Wibsey</t>
        </is>
      </c>
      <c r="C203" s="10" t="inlineStr">
        <is>
          <t>Bradford</t>
        </is>
      </c>
      <c r="D203" s="10" t="inlineStr">
        <is>
          <t>https://www.yorkshire.com/wibsey/shopping/corner-shops/costcutter-15</t>
        </is>
      </c>
      <c r="E203" s="10" t="inlineStr">
        <is>
          <t>Directory</t>
        </is>
      </c>
      <c r="F203" s="10" t="inlineStr">
        <is>
          <t>2026-09-16</t>
        </is>
      </c>
      <c r="G203" s="10" t="inlineStr">
        <is>
          <t>address 48 Holroyd Hill BD6 1PQ (search snippet)</t>
        </is>
      </c>
      <c r="H203" s="10" t="inlineStr">
        <is>
          <t>Requires Verification</t>
        </is>
      </c>
    </row>
    <row r="204">
      <c r="A204" s="5" t="inlineStr">
        <is>
          <t>WY-0076</t>
        </is>
      </c>
      <c r="B204" s="5" t="inlineStr">
        <is>
          <t>Costcutter Wibsey</t>
        </is>
      </c>
      <c r="C204" s="5" t="inlineStr">
        <is>
          <t>Bradford</t>
        </is>
      </c>
      <c r="D204" s="5" t="inlineStr">
        <is>
          <t>https://www.locaji.co.uk/west-yorkshire/bradford/costcutter/1616/</t>
        </is>
      </c>
      <c r="E204" s="5" t="inlineStr">
        <is>
          <t>Directory</t>
        </is>
      </c>
      <c r="F204" s="5" t="inlineStr">
        <is>
          <t>2026-09-16</t>
        </is>
      </c>
      <c r="G204" s="5" t="inlineStr">
        <is>
          <t>phone</t>
        </is>
      </c>
      <c r="H204" s="5" t="inlineStr">
        <is>
          <t>Requires Verification</t>
        </is>
      </c>
    </row>
    <row r="205">
      <c r="A205" s="10" t="inlineStr">
        <is>
          <t>WY-0077</t>
        </is>
      </c>
      <c r="B205" s="10" t="inlineStr">
        <is>
          <t>Cote Hill Filling Station</t>
        </is>
      </c>
      <c r="C205" s="10" t="inlineStr">
        <is>
          <t>Halifax</t>
        </is>
      </c>
      <c r="D205" s="10" t="inlineStr">
        <is>
          <t>https://fuelmap.co.uk/forecourt/4068/</t>
        </is>
      </c>
      <c r="E205" s="10" t="inlineStr">
        <is>
          <t>Directory</t>
        </is>
      </c>
      <c r="F205" s="10" t="inlineStr">
        <is>
          <t>2026-09-16</t>
        </is>
      </c>
      <c r="G205" s="10" t="inlineStr">
        <is>
          <t>address, postcode, fuel brands, hours</t>
        </is>
      </c>
      <c r="H205" s="10" t="inlineStr">
        <is>
          <t>Partially Verified</t>
        </is>
      </c>
    </row>
    <row r="206">
      <c r="A206" s="5" t="inlineStr">
        <is>
          <t>WY-0077</t>
        </is>
      </c>
      <c r="B206" s="5" t="inlineStr">
        <is>
          <t>Cote Hill Filling Station</t>
        </is>
      </c>
      <c r="C206" s="5" t="inlineStr">
        <is>
          <t>Halifax</t>
        </is>
      </c>
      <c r="D206" s="5" t="inlineStr">
        <is>
          <t>https://www.cotehillhalifax.co.uk/</t>
        </is>
      </c>
      <c r="E206" s="5" t="inlineStr">
        <is>
          <t>Official Website</t>
        </is>
      </c>
      <c r="F206" s="5" t="inlineStr">
        <is>
          <t>2026-09-16</t>
        </is>
      </c>
      <c r="G206" s="5" t="inlineStr">
        <is>
          <t>website URL seen in search results (fetch blocked)</t>
        </is>
      </c>
      <c r="H206" s="5" t="inlineStr">
        <is>
          <t>Partially Verified</t>
        </is>
      </c>
    </row>
    <row r="207">
      <c r="A207" s="10" t="inlineStr">
        <is>
          <t>WY-0077</t>
        </is>
      </c>
      <c r="B207" s="10" t="inlineStr">
        <is>
          <t>Cote Hill Filling Station</t>
        </is>
      </c>
      <c r="C207" s="10" t="inlineStr">
        <is>
          <t>Halifax</t>
        </is>
      </c>
      <c r="D207" s="10" t="inlineStr">
        <is>
          <t>https://www.yell.com/biz/cote-hill-filling-station-halifax-994009/</t>
        </is>
      </c>
      <c r="E207" s="10" t="inlineStr">
        <is>
          <t>Yell</t>
        </is>
      </c>
      <c r="F207" s="10" t="inlineStr">
        <is>
          <t>2026-09-16</t>
        </is>
      </c>
      <c r="G207" s="10" t="inlineStr">
        <is>
          <t>listing confirmation</t>
        </is>
      </c>
      <c r="H207" s="10" t="inlineStr">
        <is>
          <t>Partially Verified</t>
        </is>
      </c>
    </row>
    <row r="208">
      <c r="A208" s="5" t="inlineStr">
        <is>
          <t>WY-0078</t>
        </is>
      </c>
      <c r="B208" s="5" t="inlineStr">
        <is>
          <t>Crazycloudzzz</t>
        </is>
      </c>
      <c r="C208" s="5" t="inlineStr">
        <is>
          <t>Halifax</t>
        </is>
      </c>
      <c r="D208" s="5" t="inlineStr">
        <is>
          <t>https://www.yell.com/s/tobacconists-halifax.html</t>
        </is>
      </c>
      <c r="E208" s="5" t="inlineStr">
        <is>
          <t>Yell</t>
        </is>
      </c>
      <c r="F208" s="5" t="inlineStr">
        <is>
          <t>2026-09-16</t>
        </is>
      </c>
      <c r="G208" s="5" t="inlineStr">
        <is>
          <t>name, address, postcode</t>
        </is>
      </c>
      <c r="H208" s="5" t="inlineStr">
        <is>
          <t>Requires Verification</t>
        </is>
      </c>
    </row>
    <row r="209">
      <c r="A209" s="10" t="inlineStr">
        <is>
          <t>WY-0079</t>
        </is>
      </c>
      <c r="B209" s="10" t="inlineStr">
        <is>
          <t>Crossroads Off Licence &amp; Newsagent</t>
        </is>
      </c>
      <c r="C209" s="10" t="inlineStr">
        <is>
          <t>Wakefield</t>
        </is>
      </c>
      <c r="D209" s="10" t="inlineStr">
        <is>
          <t>https://m.yelp.com/biz/crossroads-off-licence-and-newsagent-wakefield</t>
        </is>
      </c>
      <c r="E209" s="10" t="inlineStr">
        <is>
          <t>Directory</t>
        </is>
      </c>
      <c r="F209" s="10" t="inlineStr">
        <is>
          <t>2026-09-16</t>
        </is>
      </c>
      <c r="G209" s="10" t="inlineStr">
        <is>
          <t>name, address 19 Cross Road, Wakefield</t>
        </is>
      </c>
      <c r="H209" s="10" t="inlineStr">
        <is>
          <t>Requires Verification</t>
        </is>
      </c>
    </row>
    <row r="210">
      <c r="A210" s="5" t="inlineStr">
        <is>
          <t>WY-0080</t>
        </is>
      </c>
      <c r="B210" s="5" t="inlineStr">
        <is>
          <t>Dhillon's Newsagents</t>
        </is>
      </c>
      <c r="C210" s="5" t="inlineStr">
        <is>
          <t>Leeds</t>
        </is>
      </c>
      <c r="D210" s="5" t="inlineStr">
        <is>
          <t>https://findit.yorkshireeveningpost.co.uk/search/leeds/newsagent</t>
        </is>
      </c>
      <c r="E210" s="5" t="inlineStr">
        <is>
          <t>Directory</t>
        </is>
      </c>
      <c r="F210" s="5" t="inlineStr">
        <is>
          <t>2026-09-16</t>
        </is>
      </c>
      <c r="G210" s="5" t="inlineStr">
        <is>
          <t>name, address, phone (via search results)</t>
        </is>
      </c>
      <c r="H210" s="5" t="inlineStr">
        <is>
          <t>Requires Verification</t>
        </is>
      </c>
    </row>
    <row r="211">
      <c r="A211" s="10" t="inlineStr">
        <is>
          <t>WY-0080</t>
        </is>
      </c>
      <c r="B211" s="10" t="inlineStr">
        <is>
          <t>Dhillon's Newsagents</t>
        </is>
      </c>
      <c r="C211" s="10" t="inlineStr">
        <is>
          <t>Leeds</t>
        </is>
      </c>
      <c r="D211" s="10" t="inlineStr">
        <is>
          <t>https://www.192.com/atoz/business/leeds/newsagents/</t>
        </is>
      </c>
      <c r="E211" s="10" t="inlineStr">
        <is>
          <t>Directory</t>
        </is>
      </c>
      <c r="F211" s="10" t="inlineStr">
        <is>
          <t>2026-09-16</t>
        </is>
      </c>
      <c r="G211" s="10" t="inlineStr">
        <is>
          <t>listing cross-check (via search results)</t>
        </is>
      </c>
      <c r="H211" s="10" t="inlineStr">
        <is>
          <t>Requires Verification</t>
        </is>
      </c>
    </row>
    <row r="212">
      <c r="A212" s="5" t="inlineStr">
        <is>
          <t>WY-0081</t>
        </is>
      </c>
      <c r="B212" s="5" t="inlineStr">
        <is>
          <t>ECigarette Outlet</t>
        </is>
      </c>
      <c r="C212" s="5" t="inlineStr">
        <is>
          <t>Shipley</t>
        </is>
      </c>
      <c r="D212" s="5" t="inlineStr">
        <is>
          <t>https://ecigdirectory.co.uk/vape-shop/listing/ecigarette-outlet-shipley</t>
        </is>
      </c>
      <c r="E212" s="5" t="inlineStr">
        <is>
          <t>Directory</t>
        </is>
      </c>
      <c r="F212" s="5" t="inlineStr">
        <is>
          <t>2026-09-16</t>
        </is>
      </c>
      <c r="G212" s="5" t="inlineStr">
        <is>
          <t>name, address 27 Kirkgate, Shipley BD18 3QW (search snippet)</t>
        </is>
      </c>
      <c r="H212" s="5" t="inlineStr">
        <is>
          <t>Requires Verification</t>
        </is>
      </c>
    </row>
    <row r="213">
      <c r="A213" s="10" t="inlineStr">
        <is>
          <t>WY-0082</t>
        </is>
      </c>
      <c r="B213" s="10" t="inlineStr">
        <is>
          <t>Ecig N Vape</t>
        </is>
      </c>
      <c r="C213" s="10" t="inlineStr">
        <is>
          <t>Heckmondwike</t>
        </is>
      </c>
      <c r="D213" s="10" t="inlineStr">
        <is>
          <t>https://heckmondwike.cylex-uk.co.uk/company/ecig-n-vape-26993170.html</t>
        </is>
      </c>
      <c r="E213" s="10" t="inlineStr">
        <is>
          <t>Directory</t>
        </is>
      </c>
      <c r="F213" s="10" t="inlineStr">
        <is>
          <t>2026-09-16</t>
        </is>
      </c>
      <c r="G213" s="10" t="inlineStr">
        <is>
          <t>address, phone</t>
        </is>
      </c>
      <c r="H213" s="10" t="inlineStr">
        <is>
          <t>Requires Verification</t>
        </is>
      </c>
    </row>
    <row r="214">
      <c r="A214" s="5" t="inlineStr">
        <is>
          <t>WY-0082</t>
        </is>
      </c>
      <c r="B214" s="5" t="inlineStr">
        <is>
          <t>Ecig N Vape</t>
        </is>
      </c>
      <c r="C214" s="5" t="inlineStr">
        <is>
          <t>Heckmondwike</t>
        </is>
      </c>
      <c r="D214" s="5" t="inlineStr">
        <is>
          <t>https://www.tripadvisor.co.uk/Attraction_Review-g3207739-d28330163-Reviews-Ecig_N_Vape-Heckmondwike_Dewsbury_West_Yorkshire_England.html</t>
        </is>
      </c>
      <c r="E214" s="5" t="inlineStr">
        <is>
          <t>Directory</t>
        </is>
      </c>
      <c r="F214" s="5" t="inlineStr">
        <is>
          <t>2026-09-16</t>
        </is>
      </c>
      <c r="G214" s="5" t="inlineStr">
        <is>
          <t>cross-check of name and town</t>
        </is>
      </c>
      <c r="H214" s="5" t="inlineStr">
        <is>
          <t>Requires Verification</t>
        </is>
      </c>
    </row>
    <row r="215">
      <c r="A215" s="10" t="inlineStr">
        <is>
          <t>WY-0083</t>
        </is>
      </c>
      <c r="B215" s="10" t="inlineStr">
        <is>
          <t>Emporium Vapez</t>
        </is>
      </c>
      <c r="C215" s="10" t="inlineStr">
        <is>
          <t>Dewsbury</t>
        </is>
      </c>
      <c r="D215" s="10" t="inlineStr">
        <is>
          <t>https://www.yelp.com/biz/emporium-vapez-dewsbury</t>
        </is>
      </c>
      <c r="E215" s="10" t="inlineStr">
        <is>
          <t>Directory</t>
        </is>
      </c>
      <c r="F215" s="10" t="inlineStr">
        <is>
          <t>2026-09-16</t>
        </is>
      </c>
      <c r="G215" s="10" t="inlineStr">
        <is>
          <t>address, postcode, phone, opening hours</t>
        </is>
      </c>
      <c r="H215" s="10" t="inlineStr">
        <is>
          <t>Requires Verification</t>
        </is>
      </c>
    </row>
    <row r="216">
      <c r="A216" s="5" t="inlineStr">
        <is>
          <t>WY-0084</t>
        </is>
      </c>
      <c r="B216" s="5" t="inlineStr">
        <is>
          <t>FilFoods Filipino Store</t>
        </is>
      </c>
      <c r="C216" s="5" t="inlineStr">
        <is>
          <t>Leeds</t>
        </is>
      </c>
      <c r="D216" s="5" t="inlineStr">
        <is>
          <t>https://directory.grimsbytelegraph.co.uk/company/437837462491136</t>
        </is>
      </c>
      <c r="E216" s="5" t="inlineStr">
        <is>
          <t>Directory</t>
        </is>
      </c>
      <c r="F216" s="5" t="inlineStr">
        <is>
          <t>2026-09-16</t>
        </is>
      </c>
      <c r="G216" s="5" t="inlineStr">
        <is>
          <t>name, address, postcode (via search results)</t>
        </is>
      </c>
      <c r="H216" s="5" t="inlineStr">
        <is>
          <t>Requires Verification</t>
        </is>
      </c>
    </row>
    <row r="217">
      <c r="A217" s="10" t="inlineStr">
        <is>
          <t>WY-0084</t>
        </is>
      </c>
      <c r="B217" s="10" t="inlineStr">
        <is>
          <t>FilFoods Filipino Store</t>
        </is>
      </c>
      <c r="C217" s="10" t="inlineStr">
        <is>
          <t>Leeds</t>
        </is>
      </c>
      <c r="D217" s="10" t="inlineStr">
        <is>
          <t>https://www.yell.com/biz/filfoods-filipino-store-leeds-8549203/</t>
        </is>
      </c>
      <c r="E217" s="10" t="inlineStr">
        <is>
          <t>Yell</t>
        </is>
      </c>
      <c r="F217" s="10" t="inlineStr">
        <is>
          <t>2026-09-16</t>
        </is>
      </c>
      <c r="G217" s="10" t="inlineStr">
        <is>
          <t>phone, listing cross-check (via search results)</t>
        </is>
      </c>
      <c r="H217" s="10" t="inlineStr">
        <is>
          <t>Requires Verification</t>
        </is>
      </c>
    </row>
    <row r="218">
      <c r="A218" s="5" t="inlineStr">
        <is>
          <t>WY-0084</t>
        </is>
      </c>
      <c r="B218" s="5" t="inlineStr">
        <is>
          <t>FilFoods Filipino Store</t>
        </is>
      </c>
      <c r="C218" s="5" t="inlineStr">
        <is>
          <t>Leeds</t>
        </is>
      </c>
      <c r="D218" s="5" t="inlineStr">
        <is>
          <t>https://palengke.co.uk/shop/filfoods-filipino-store/</t>
        </is>
      </c>
      <c r="E218" s="5" t="inlineStr">
        <is>
          <t>Directory</t>
        </is>
      </c>
      <c r="F218" s="5" t="inlineStr">
        <is>
          <t>2026-09-16</t>
        </is>
      </c>
      <c r="G218" s="5" t="inlineStr">
        <is>
          <t>description, product range (via search results)</t>
        </is>
      </c>
      <c r="H218" s="5" t="inlineStr">
        <is>
          <t>Requires Verification</t>
        </is>
      </c>
    </row>
    <row r="219">
      <c r="A219" s="10" t="inlineStr">
        <is>
          <t>WY-0085</t>
        </is>
      </c>
      <c r="B219" s="10" t="inlineStr">
        <is>
          <t>Forever Vapes</t>
        </is>
      </c>
      <c r="C219" s="10" t="inlineStr">
        <is>
          <t>Heckmondwike</t>
        </is>
      </c>
      <c r="D219" s="10" t="inlineStr">
        <is>
          <t>https://vapeshops.puffingbird.com/yorkshire-and-the-humber/heckmondwike/forever-vapes-ltd</t>
        </is>
      </c>
      <c r="E219" s="10" t="inlineStr">
        <is>
          <t>Directory</t>
        </is>
      </c>
      <c r="F219" s="10" t="inlineStr">
        <is>
          <t>2026-09-16</t>
        </is>
      </c>
      <c r="G219" s="10" t="inlineStr">
        <is>
          <t>name, street, postcode</t>
        </is>
      </c>
      <c r="H219" s="10" t="inlineStr">
        <is>
          <t>Requires Verification</t>
        </is>
      </c>
    </row>
    <row r="220">
      <c r="A220" s="5" t="inlineStr">
        <is>
          <t>WY-0086</t>
        </is>
      </c>
      <c r="B220" s="5" t="inlineStr">
        <is>
          <t>FreshCo Wakefield</t>
        </is>
      </c>
      <c r="C220" s="5" t="inlineStr">
        <is>
          <t>Wakefield</t>
        </is>
      </c>
      <c r="D220" s="5" t="inlineStr">
        <is>
          <t>https://www.wakefieldexpress.co.uk/lifestyle/food-and-drink/world-foods-new-supermarket-in-wakefield-caters-for-european-asian-african-and-middle-eastern-tastes-3999877</t>
        </is>
      </c>
      <c r="E220" s="5" t="inlineStr">
        <is>
          <t>News / Trade Press</t>
        </is>
      </c>
      <c r="F220" s="5" t="inlineStr">
        <is>
          <t>2026-09-16</t>
        </is>
      </c>
      <c r="G220" s="5" t="inlineStr">
        <is>
          <t>opening story, owner name, product range</t>
        </is>
      </c>
      <c r="H220" s="5" t="inlineStr">
        <is>
          <t>Partially Verified</t>
        </is>
      </c>
    </row>
    <row r="221">
      <c r="A221" s="10" t="inlineStr">
        <is>
          <t>WY-0086</t>
        </is>
      </c>
      <c r="B221" s="10" t="inlineStr">
        <is>
          <t>FreshCo Wakefield</t>
        </is>
      </c>
      <c r="C221" s="10" t="inlineStr">
        <is>
          <t>Wakefield</t>
        </is>
      </c>
      <c r="D221" s="10" t="inlineStr">
        <is>
          <t>https://find-and-update.company-information.service.gov.uk/company/13746881</t>
        </is>
      </c>
      <c r="E221" s="10" t="inlineStr">
        <is>
          <t>Companies House</t>
        </is>
      </c>
      <c r="F221" s="10" t="inlineStr">
        <is>
          <t>2026-09-16</t>
        </is>
      </c>
      <c r="G221" s="10" t="inlineStr">
        <is>
          <t>company number, incorporation 16 Nov 2021 (via search snippet)</t>
        </is>
      </c>
      <c r="H221" s="10" t="inlineStr">
        <is>
          <t>Partially Verified</t>
        </is>
      </c>
    </row>
    <row r="222">
      <c r="A222" s="5" t="inlineStr">
        <is>
          <t>WY-0086</t>
        </is>
      </c>
      <c r="B222" s="5" t="inlineStr">
        <is>
          <t>FreshCo Wakefield</t>
        </is>
      </c>
      <c r="C222" s="5" t="inlineStr">
        <is>
          <t>Wakefield</t>
        </is>
      </c>
      <c r="D222" s="5" t="inlineStr">
        <is>
          <t>https://wakefield.cylex-uk.co.uk/company/freshco-supermarket-28819652.html</t>
        </is>
      </c>
      <c r="E222" s="5" t="inlineStr">
        <is>
          <t>Directory</t>
        </is>
      </c>
      <c r="F222" s="5" t="inlineStr">
        <is>
          <t>2026-09-16</t>
        </is>
      </c>
      <c r="G222" s="5" t="inlineStr">
        <is>
          <t>address St Andrews Hall, Upper Warrengate WF1 4JZ (via search snippet)</t>
        </is>
      </c>
      <c r="H222" s="5" t="inlineStr">
        <is>
          <t>Partially Verified</t>
        </is>
      </c>
    </row>
    <row r="223">
      <c r="A223" s="10" t="inlineStr">
        <is>
          <t>WY-0086</t>
        </is>
      </c>
      <c r="B223" s="10" t="inlineStr">
        <is>
          <t>FreshCo Wakefield</t>
        </is>
      </c>
      <c r="C223" s="10" t="inlineStr">
        <is>
          <t>Wakefield</t>
        </is>
      </c>
      <c r="D223" s="10" t="inlineStr">
        <is>
          <t>https://freshcowakefield.com/restaurant</t>
        </is>
      </c>
      <c r="E223" s="10" t="inlineStr">
        <is>
          <t>Official Website</t>
        </is>
      </c>
      <c r="F223" s="10" t="inlineStr">
        <is>
          <t>2026-09-16</t>
        </is>
      </c>
      <c r="G223" s="10" t="inlineStr">
        <is>
          <t>website existence, restaurant/cafe arm (seen in search results; fetch blocked)</t>
        </is>
      </c>
      <c r="H223" s="10" t="inlineStr">
        <is>
          <t>Partially Verified</t>
        </is>
      </c>
    </row>
    <row r="224">
      <c r="A224" s="5" t="inlineStr">
        <is>
          <t>WY-0087</t>
        </is>
      </c>
      <c r="B224" s="5" t="inlineStr">
        <is>
          <t>Freshco UK</t>
        </is>
      </c>
      <c r="C224" s="5" t="inlineStr">
        <is>
          <t>Bradford</t>
        </is>
      </c>
      <c r="D224" s="5" t="inlineStr">
        <is>
          <t>https://freshco-uk-ltd.wheree.com/</t>
        </is>
      </c>
      <c r="E224" s="5" t="inlineStr">
        <is>
          <t>Directory</t>
        </is>
      </c>
      <c r="F224" s="5" t="inlineStr">
        <is>
          <t>2026-09-16</t>
        </is>
      </c>
      <c r="G224" s="5" t="inlineStr">
        <is>
          <t>name, Manningham Bradford location, halal offer (search result)</t>
        </is>
      </c>
      <c r="H224" s="5" t="inlineStr">
        <is>
          <t>Requires Verification</t>
        </is>
      </c>
    </row>
    <row r="225">
      <c r="A225" s="10" t="inlineStr">
        <is>
          <t>WY-0088</t>
        </is>
      </c>
      <c r="B225" s="10" t="inlineStr">
        <is>
          <t>Get Plugged</t>
        </is>
      </c>
      <c r="C225" s="10" t="inlineStr">
        <is>
          <t>Huddersfield</t>
        </is>
      </c>
      <c r="D225" s="10" t="inlineStr">
        <is>
          <t>https://www.yorkshire.com/huddersfield/shopping/vape-shops/get-plugged</t>
        </is>
      </c>
      <c r="E225" s="10" t="inlineStr">
        <is>
          <t>Directory</t>
        </is>
      </c>
      <c r="F225" s="10" t="inlineStr">
        <is>
          <t>2026-09-16</t>
        </is>
      </c>
      <c r="G225" s="10" t="inlineStr">
        <is>
          <t>Bradford Road location, opening hours</t>
        </is>
      </c>
      <c r="H225" s="10" t="inlineStr">
        <is>
          <t>Requires Verification</t>
        </is>
      </c>
    </row>
    <row r="226">
      <c r="A226" s="5" t="inlineStr">
        <is>
          <t>WY-0088</t>
        </is>
      </c>
      <c r="B226" s="5" t="inlineStr">
        <is>
          <t>Get Plugged</t>
        </is>
      </c>
      <c r="C226" s="5" t="inlineStr">
        <is>
          <t>Huddersfield</t>
        </is>
      </c>
      <c r="D226" s="5" t="inlineStr">
        <is>
          <t>https://getplugged.co.uk/</t>
        </is>
      </c>
      <c r="E226" s="5" t="inlineStr">
        <is>
          <t>Official Website</t>
        </is>
      </c>
      <c r="F226" s="5" t="inlineStr">
        <is>
          <t>2026-09-16</t>
        </is>
      </c>
      <c r="G226" s="5" t="inlineStr">
        <is>
          <t>website URL seen in search results (fetch blocked)</t>
        </is>
      </c>
      <c r="H226" s="5" t="inlineStr">
        <is>
          <t>Requires Verification</t>
        </is>
      </c>
    </row>
    <row r="227">
      <c r="A227" s="10" t="inlineStr">
        <is>
          <t>WY-0088</t>
        </is>
      </c>
      <c r="B227" s="10" t="inlineStr">
        <is>
          <t>Get Plugged</t>
        </is>
      </c>
      <c r="C227" s="10" t="inlineStr">
        <is>
          <t>Huddersfield</t>
        </is>
      </c>
      <c r="D227" s="10" t="inlineStr">
        <is>
          <t>https://www.facebook.com/p/Get-Plugged-61559687350403/</t>
        </is>
      </c>
      <c r="E227" s="10" t="inlineStr">
        <is>
          <t>Facebook</t>
        </is>
      </c>
      <c r="F227" s="10" t="inlineStr">
        <is>
          <t>2026-09-16</t>
        </is>
      </c>
      <c r="G227" s="10" t="inlineStr">
        <is>
          <t>social (facebook)</t>
        </is>
      </c>
      <c r="H227" s="10" t="inlineStr">
        <is>
          <t>Requires Verification</t>
        </is>
      </c>
    </row>
    <row r="228">
      <c r="A228" s="5" t="inlineStr">
        <is>
          <t>WY-0089</t>
        </is>
      </c>
      <c r="B228" s="5" t="inlineStr">
        <is>
          <t>Gibraltar Mini Mart</t>
        </is>
      </c>
      <c r="C228" s="5" t="inlineStr">
        <is>
          <t>Halifax</t>
        </is>
      </c>
      <c r="D228" s="5" t="inlineStr">
        <is>
          <t>https://www.yorkshire.com/halifax/shopping/corner-shops/gibraltar-mini-mart-vapemobile-shop</t>
        </is>
      </c>
      <c r="E228" s="5" t="inlineStr">
        <is>
          <t>Directory</t>
        </is>
      </c>
      <c r="F228" s="5" t="inlineStr">
        <is>
          <t>2026-09-16</t>
        </is>
      </c>
      <c r="G228" s="5" t="inlineStr">
        <is>
          <t>name, address, product mix</t>
        </is>
      </c>
      <c r="H228" s="5" t="inlineStr">
        <is>
          <t>Requires Verification</t>
        </is>
      </c>
    </row>
    <row r="229">
      <c r="A229" s="10" t="inlineStr">
        <is>
          <t>WY-0090</t>
        </is>
      </c>
      <c r="B229" s="10" t="inlineStr">
        <is>
          <t>Global Mini Market 2</t>
        </is>
      </c>
      <c r="C229" s="10" t="inlineStr">
        <is>
          <t>Bingley</t>
        </is>
      </c>
      <c r="D229" s="10" t="inlineStr">
        <is>
          <t>https://www.24houralcohol.co.uk/bradford-off-licences</t>
        </is>
      </c>
      <c r="E229" s="10" t="inlineStr">
        <is>
          <t>Directory</t>
        </is>
      </c>
      <c r="F229" s="10" t="inlineStr">
        <is>
          <t>2026-09-16</t>
        </is>
      </c>
      <c r="G229" s="10" t="inlineStr">
        <is>
          <t>name, address 83-85 Main Street BD16 2JA, 24/7 opening (search snippet)</t>
        </is>
      </c>
      <c r="H229" s="10" t="inlineStr">
        <is>
          <t>Requires Verification</t>
        </is>
      </c>
    </row>
    <row r="230">
      <c r="A230" s="5" t="inlineStr">
        <is>
          <t>WY-0091</t>
        </is>
      </c>
      <c r="B230" s="5" t="inlineStr">
        <is>
          <t>Greengates Service Station</t>
        </is>
      </c>
      <c r="C230" s="5" t="inlineStr">
        <is>
          <t>Bradford</t>
        </is>
      </c>
      <c r="D230" s="5" t="inlineStr">
        <is>
          <t>https://fuelmap.co.uk/forecourt/612/</t>
        </is>
      </c>
      <c r="E230" s="5" t="inlineStr">
        <is>
          <t>Directory</t>
        </is>
      </c>
      <c r="F230" s="5" t="inlineStr">
        <is>
          <t>2026-09-16</t>
        </is>
      </c>
      <c r="G230" s="5" t="inlineStr">
        <is>
          <t>name and Bradford (Greengates) location (search result)</t>
        </is>
      </c>
      <c r="H230" s="5" t="inlineStr">
        <is>
          <t>Requires Verification</t>
        </is>
      </c>
    </row>
    <row r="231">
      <c r="A231" s="10" t="inlineStr">
        <is>
          <t>WY-0092</t>
        </is>
      </c>
      <c r="B231" s="10" t="inlineStr">
        <is>
          <t>Gulf Service Station Featherstone</t>
        </is>
      </c>
      <c r="C231" s="10" t="inlineStr">
        <is>
          <t>Featherstone</t>
        </is>
      </c>
      <c r="D231" s="10" t="inlineStr">
        <is>
          <t>https://www.yorkshire.com/featherstone/services/petrol-stations</t>
        </is>
      </c>
      <c r="E231" s="10" t="inlineStr">
        <is>
          <t>Directory</t>
        </is>
      </c>
      <c r="F231" s="10" t="inlineStr">
        <is>
          <t>2026-09-16</t>
        </is>
      </c>
      <c r="G231" s="10" t="inlineStr">
        <is>
          <t>Gulf Service station, Wakefield Rd, Featherstone WF7 5BP</t>
        </is>
      </c>
      <c r="H231" s="10" t="inlineStr">
        <is>
          <t>Requires Verification</t>
        </is>
      </c>
    </row>
    <row r="232">
      <c r="A232" s="5" t="inlineStr">
        <is>
          <t>WY-0093</t>
        </is>
      </c>
      <c r="B232" s="5" t="inlineStr">
        <is>
          <t>Halal Sweets Company</t>
        </is>
      </c>
      <c r="C232" s="5" t="inlineStr">
        <is>
          <t>Bradford</t>
        </is>
      </c>
      <c r="D232" s="5" t="inlineStr">
        <is>
          <t>https://halalsweets.company.site/</t>
        </is>
      </c>
      <c r="E232" s="5" t="inlineStr">
        <is>
          <t>Official Website</t>
        </is>
      </c>
      <c r="F232" s="5" t="inlineStr">
        <is>
          <t>2026-09-16</t>
        </is>
      </c>
      <c r="G232" s="5" t="inlineStr">
        <is>
          <t>business description, Bradford base (search snippet; fetch blocked)</t>
        </is>
      </c>
      <c r="H232" s="5" t="inlineStr">
        <is>
          <t>Partially Verified</t>
        </is>
      </c>
    </row>
    <row r="233">
      <c r="A233" s="10" t="inlineStr">
        <is>
          <t>WY-0093</t>
        </is>
      </c>
      <c r="B233" s="10" t="inlineStr">
        <is>
          <t>Halal Sweets Company</t>
        </is>
      </c>
      <c r="C233" s="10" t="inlineStr">
        <is>
          <t>Bradford</t>
        </is>
      </c>
      <c r="D233" s="10" t="inlineStr">
        <is>
          <t>https://halalsweetscompany.co.uk/</t>
        </is>
      </c>
      <c r="E233" s="10" t="inlineStr">
        <is>
          <t>Official Website</t>
        </is>
      </c>
      <c r="F233" s="10" t="inlineStr">
        <is>
          <t>2026-09-16</t>
        </is>
      </c>
      <c r="G233" s="10" t="inlineStr">
        <is>
          <t>email, social (facebook)</t>
        </is>
      </c>
      <c r="H233" s="10" t="inlineStr">
        <is>
          <t>Partially Verified</t>
        </is>
      </c>
    </row>
    <row r="234">
      <c r="A234" s="5" t="inlineStr">
        <is>
          <t>WY-0094</t>
        </is>
      </c>
      <c r="B234" s="5" t="inlineStr">
        <is>
          <t>Hang Sing Hong</t>
        </is>
      </c>
      <c r="C234" s="5" t="inlineStr">
        <is>
          <t>Leeds</t>
        </is>
      </c>
      <c r="D234" s="5" t="inlineStr">
        <is>
          <t>https://www.yelp.co.uk/biz/hang-sing-hong-leeds-2</t>
        </is>
      </c>
      <c r="E234" s="5" t="inlineStr">
        <is>
          <t>Directory</t>
        </is>
      </c>
      <c r="F234" s="5" t="inlineStr">
        <is>
          <t>2026-09-16</t>
        </is>
      </c>
      <c r="G234" s="5" t="inlineStr">
        <is>
          <t>name, address, postcode (via search results)</t>
        </is>
      </c>
      <c r="H234" s="5" t="inlineStr">
        <is>
          <t>Requires Verification</t>
        </is>
      </c>
    </row>
    <row r="235">
      <c r="A235" s="10" t="inlineStr">
        <is>
          <t>WY-0095</t>
        </is>
      </c>
      <c r="B235" s="10" t="inlineStr">
        <is>
          <t>Heckmondwike Service Station</t>
        </is>
      </c>
      <c r="C235" s="10" t="inlineStr">
        <is>
          <t>Heckmondwike</t>
        </is>
      </c>
      <c r="D235" s="10" t="inlineStr">
        <is>
          <t>https://map.bp.com/en-US/GB/gas-station/dewsbury/heckmondwike-service-station/137101962</t>
        </is>
      </c>
      <c r="E235" s="10" t="inlineStr">
        <is>
          <t>Directory</t>
        </is>
      </c>
      <c r="F235" s="10" t="inlineStr">
        <is>
          <t>2026-09-16</t>
        </is>
      </c>
      <c r="G235" s="10" t="inlineStr">
        <is>
          <t>site name, road</t>
        </is>
      </c>
      <c r="H235" s="10" t="inlineStr">
        <is>
          <t>Requires Verification</t>
        </is>
      </c>
    </row>
    <row r="236">
      <c r="A236" s="5" t="inlineStr">
        <is>
          <t>WY-0095</t>
        </is>
      </c>
      <c r="B236" s="5" t="inlineStr">
        <is>
          <t>Heckmondwike Service Station</t>
        </is>
      </c>
      <c r="C236" s="5" t="inlineStr">
        <is>
          <t>Heckmondwike</t>
        </is>
      </c>
      <c r="D236" s="5" t="inlineStr">
        <is>
          <t>https://fuelfox.uk/station/heckmondwike-service-station-dewsbury-3798</t>
        </is>
      </c>
      <c r="E236" s="5" t="inlineStr">
        <is>
          <t>Directory</t>
        </is>
      </c>
      <c r="F236" s="5" t="inlineStr">
        <is>
          <t>2026-09-16</t>
        </is>
      </c>
      <c r="G236" s="5" t="inlineStr">
        <is>
          <t>active fuel pricing (trading confirmation)</t>
        </is>
      </c>
      <c r="H236" s="5" t="inlineStr">
        <is>
          <t>Requires Verification</t>
        </is>
      </c>
    </row>
    <row r="237">
      <c r="A237" s="10" t="inlineStr">
        <is>
          <t>WY-0096</t>
        </is>
      </c>
      <c r="B237" s="10" t="inlineStr">
        <is>
          <t>Hopes News</t>
        </is>
      </c>
      <c r="C237" s="10" t="inlineStr">
        <is>
          <t>Shipley</t>
        </is>
      </c>
      <c r="D237" s="10" t="inlineStr">
        <is>
          <t>https://www.yorkshire.com/shipley/shopping/off-license/hopes-news</t>
        </is>
      </c>
      <c r="E237" s="10" t="inlineStr">
        <is>
          <t>Directory</t>
        </is>
      </c>
      <c r="F237" s="10" t="inlineStr">
        <is>
          <t>2026-09-16</t>
        </is>
      </c>
      <c r="G237" s="10" t="inlineStr">
        <is>
          <t>name, Otley Road Baildon location, hours (search snippet)</t>
        </is>
      </c>
      <c r="H237" s="10" t="inlineStr">
        <is>
          <t>Requires Verification</t>
        </is>
      </c>
    </row>
    <row r="238">
      <c r="A238" s="5" t="inlineStr">
        <is>
          <t>WY-0097</t>
        </is>
      </c>
      <c r="B238" s="5" t="inlineStr">
        <is>
          <t>House of Vapour</t>
        </is>
      </c>
      <c r="C238" s="5" t="inlineStr">
        <is>
          <t>South Elmsall</t>
        </is>
      </c>
      <c r="D238" s="5" t="inlineStr">
        <is>
          <t>https://www.houseofvapour.net/</t>
        </is>
      </c>
      <c r="E238" s="5" t="inlineStr">
        <is>
          <t>Official Website</t>
        </is>
      </c>
      <c r="F238" s="5" t="inlineStr">
        <is>
          <t>2026-09-16</t>
        </is>
      </c>
      <c r="G238" s="5" t="inlineStr">
        <is>
          <t>location Barnsley Road South Elmsall, positioning (seen in search results; fetch blocked)</t>
        </is>
      </c>
      <c r="H238" s="5" t="inlineStr">
        <is>
          <t>Requires Verification</t>
        </is>
      </c>
    </row>
    <row r="239">
      <c r="A239" s="10" t="inlineStr">
        <is>
          <t>WY-0097</t>
        </is>
      </c>
      <c r="B239" s="10" t="inlineStr">
        <is>
          <t>House of Vapour</t>
        </is>
      </c>
      <c r="C239" s="10" t="inlineStr">
        <is>
          <t>South Elmsall</t>
        </is>
      </c>
      <c r="D239" s="10" t="inlineStr">
        <is>
          <t>https://ecigdirectory.co.uk/vape-shop/listing/house-of-vapour</t>
        </is>
      </c>
      <c r="E239" s="10" t="inlineStr">
        <is>
          <t>Directory</t>
        </is>
      </c>
      <c r="F239" s="10" t="inlineStr">
        <is>
          <t>2026-09-16</t>
        </is>
      </c>
      <c r="G239" s="10" t="inlineStr">
        <is>
          <t>directory listing cross-check</t>
        </is>
      </c>
      <c r="H239" s="10" t="inlineStr">
        <is>
          <t>Requires Verification</t>
        </is>
      </c>
    </row>
    <row r="240">
      <c r="A240" s="5" t="inlineStr">
        <is>
          <t>WY-0097</t>
        </is>
      </c>
      <c r="B240" s="5" t="inlineStr">
        <is>
          <t>House of Vapour</t>
        </is>
      </c>
      <c r="C240" s="5" t="inlineStr">
        <is>
          <t>South Elmsall</t>
        </is>
      </c>
      <c r="D240" s="5" t="inlineStr">
        <is>
          <t>https://find-open.co.uk/south-elmsall/house-of-vapour-1803096</t>
        </is>
      </c>
      <c r="E240" s="5" t="inlineStr">
        <is>
          <t>Directory</t>
        </is>
      </c>
      <c r="F240" s="5" t="inlineStr">
        <is>
          <t>2026-09-16</t>
        </is>
      </c>
      <c r="G240" s="5" t="inlineStr">
        <is>
          <t>postcode, phone</t>
        </is>
      </c>
      <c r="H240" s="5" t="inlineStr">
        <is>
          <t>Requires Verification</t>
        </is>
      </c>
    </row>
    <row r="241">
      <c r="A241" s="10" t="inlineStr">
        <is>
          <t>WY-0098</t>
        </is>
      </c>
      <c r="B241" s="10" t="inlineStr">
        <is>
          <t>Ilkley Convenience Store</t>
        </is>
      </c>
      <c r="C241" s="10" t="inlineStr">
        <is>
          <t>Ilkley</t>
        </is>
      </c>
      <c r="D241" s="10" t="inlineStr">
        <is>
          <t>https://www.yorkshire.com/ilkley/shopping/corner-shops/ilkley-convenience-store</t>
        </is>
      </c>
      <c r="E241" s="10" t="inlineStr">
        <is>
          <t>Directory</t>
        </is>
      </c>
      <c r="F241" s="10" t="inlineStr">
        <is>
          <t>2026-09-16</t>
        </is>
      </c>
      <c r="G241" s="10" t="inlineStr">
        <is>
          <t>name, Valley Drive Ilkley location, hours (search snippet)</t>
        </is>
      </c>
      <c r="H241" s="10" t="inlineStr">
        <is>
          <t>Requires Verification</t>
        </is>
      </c>
    </row>
    <row r="242">
      <c r="A242" s="5" t="inlineStr">
        <is>
          <t>WY-0099</t>
        </is>
      </c>
      <c r="B242" s="5" t="inlineStr">
        <is>
          <t>International Foods</t>
        </is>
      </c>
      <c r="C242" s="5" t="inlineStr">
        <is>
          <t>Leeds</t>
        </is>
      </c>
      <c r="D242" s="5" t="inlineStr">
        <is>
          <t>https://find-and-update.company-information.service.gov.uk/company/09552908</t>
        </is>
      </c>
      <c r="E242" s="5" t="inlineStr">
        <is>
          <t>Companies House</t>
        </is>
      </c>
      <c r="F242" s="5" t="inlineStr">
        <is>
          <t>2026-09-16</t>
        </is>
      </c>
      <c r="G242" s="5" t="inlineStr">
        <is>
          <t>registered name, number, registered office, incorporation date (via search results)</t>
        </is>
      </c>
      <c r="H242" s="5" t="inlineStr">
        <is>
          <t>Partially Verified</t>
        </is>
      </c>
    </row>
    <row r="243">
      <c r="A243" s="10" t="inlineStr">
        <is>
          <t>WY-0099</t>
        </is>
      </c>
      <c r="B243" s="10" t="inlineStr">
        <is>
          <t>International Foods</t>
        </is>
      </c>
      <c r="C243" s="10" t="inlineStr">
        <is>
          <t>Leeds</t>
        </is>
      </c>
      <c r="D243" s="10" t="inlineStr">
        <is>
          <t>https://www.yell.com/biz/international-foods-ltd-leeds-8342998/</t>
        </is>
      </c>
      <c r="E243" s="10" t="inlineStr">
        <is>
          <t>Yell</t>
        </is>
      </c>
      <c r="F243" s="10" t="inlineStr">
        <is>
          <t>2026-09-16</t>
        </is>
      </c>
      <c r="G243" s="10" t="inlineStr">
        <is>
          <t>listing confirmation (via search results)</t>
        </is>
      </c>
      <c r="H243" s="10" t="inlineStr">
        <is>
          <t>Partially Verified</t>
        </is>
      </c>
    </row>
    <row r="244">
      <c r="A244" s="5" t="inlineStr">
        <is>
          <t>WY-0099</t>
        </is>
      </c>
      <c r="B244" s="5" t="inlineStr">
        <is>
          <t>International Foods</t>
        </is>
      </c>
      <c r="C244" s="5" t="inlineStr">
        <is>
          <t>Leeds</t>
        </is>
      </c>
      <c r="D244" s="5" t="inlineStr">
        <is>
          <t>https://www.hereme.uk/west-yorkshire/leeds/shop-international-foods</t>
        </is>
      </c>
      <c r="E244" s="5" t="inlineStr">
        <is>
          <t>Directory</t>
        </is>
      </c>
      <c r="F244" s="5" t="inlineStr">
        <is>
          <t>2026-09-16</t>
        </is>
      </c>
      <c r="G244" s="5" t="inlineStr">
        <is>
          <t>Harehills Lane location, hours (via search results)</t>
        </is>
      </c>
      <c r="H244" s="5" t="inlineStr">
        <is>
          <t>Partially Verified</t>
        </is>
      </c>
    </row>
    <row r="245">
      <c r="A245" s="10" t="inlineStr">
        <is>
          <t>WY-0100</t>
        </is>
      </c>
      <c r="B245" s="10" t="inlineStr">
        <is>
          <t>Javid Supermarket</t>
        </is>
      </c>
      <c r="C245" s="10" t="inlineStr">
        <is>
          <t>Huddersfield</t>
        </is>
      </c>
      <c r="D245" s="10" t="inlineStr">
        <is>
          <t>https://www.javidsupermarket.co.uk/contact/</t>
        </is>
      </c>
      <c r="E245" s="10" t="inlineStr">
        <is>
          <t>Official Website</t>
        </is>
      </c>
      <c r="F245" s="10" t="inlineStr">
        <is>
          <t>2026-09-16</t>
        </is>
      </c>
      <c r="G245" s="10" t="inlineStr">
        <is>
          <t>website, email (from search result snippet of own site)</t>
        </is>
      </c>
      <c r="H245" s="10" t="inlineStr">
        <is>
          <t>Requires Verification</t>
        </is>
      </c>
    </row>
    <row r="246">
      <c r="A246" s="5" t="inlineStr">
        <is>
          <t>WY-0100</t>
        </is>
      </c>
      <c r="B246" s="5" t="inlineStr">
        <is>
          <t>Javid Supermarket</t>
        </is>
      </c>
      <c r="C246" s="5" t="inlineStr">
        <is>
          <t>Huddersfield</t>
        </is>
      </c>
      <c r="D246" s="5" t="inlineStr">
        <is>
          <t>https://www.yelp.com/biz/javid-supermarket-huddersfield</t>
        </is>
      </c>
      <c r="E246" s="5" t="inlineStr">
        <is>
          <t>Directory</t>
        </is>
      </c>
      <c r="F246" s="5" t="inlineStr">
        <is>
          <t>2026-09-16</t>
        </is>
      </c>
      <c r="G246" s="5" t="inlineStr">
        <is>
          <t>address 177-179 Bradford Road</t>
        </is>
      </c>
      <c r="H246" s="5" t="inlineStr">
        <is>
          <t>Requires Verification</t>
        </is>
      </c>
    </row>
    <row r="247">
      <c r="A247" s="10" t="inlineStr">
        <is>
          <t>WY-0100</t>
        </is>
      </c>
      <c r="B247" s="10" t="inlineStr">
        <is>
          <t>Javid Supermarket</t>
        </is>
      </c>
      <c r="C247" s="10" t="inlineStr">
        <is>
          <t>Huddersfield</t>
        </is>
      </c>
      <c r="D247" s="10" t="inlineStr">
        <is>
          <t>https://britainfirm.com/england/javid-supermarket-257331</t>
        </is>
      </c>
      <c r="E247" s="10" t="inlineStr">
        <is>
          <t>Directory</t>
        </is>
      </c>
      <c r="F247" s="10" t="inlineStr">
        <is>
          <t>2026-09-16</t>
        </is>
      </c>
      <c r="G247" s="10" t="inlineStr">
        <is>
          <t>phone 01484 517411</t>
        </is>
      </c>
      <c r="H247" s="10" t="inlineStr">
        <is>
          <t>Requires Verification</t>
        </is>
      </c>
    </row>
    <row r="248">
      <c r="A248" s="5" t="inlineStr">
        <is>
          <t>WY-0100</t>
        </is>
      </c>
      <c r="B248" s="5" t="inlineStr">
        <is>
          <t>Javid Supermarket</t>
        </is>
      </c>
      <c r="C248" s="5" t="inlineStr">
        <is>
          <t>Huddersfield</t>
        </is>
      </c>
      <c r="D248" s="5" t="inlineStr">
        <is>
          <t>https://www.instagram.com/javidsupermarket/</t>
        </is>
      </c>
      <c r="E248" s="5" t="inlineStr">
        <is>
          <t>Instagram</t>
        </is>
      </c>
      <c r="F248" s="5" t="inlineStr">
        <is>
          <t>2026-09-16</t>
        </is>
      </c>
      <c r="G248" s="5" t="inlineStr">
        <is>
          <t>social (instagram)</t>
        </is>
      </c>
      <c r="H248" s="5" t="inlineStr">
        <is>
          <t>Requires Verification</t>
        </is>
      </c>
    </row>
    <row r="249">
      <c r="A249" s="10" t="inlineStr">
        <is>
          <t>WY-0101</t>
        </is>
      </c>
      <c r="B249" s="10" t="inlineStr">
        <is>
          <t>KV Convenience &amp; Off Licence</t>
        </is>
      </c>
      <c r="C249" s="10" t="inlineStr">
        <is>
          <t>Huddersfield</t>
        </is>
      </c>
      <c r="D249" s="10" t="inlineStr">
        <is>
          <t>https://www.snappyshopper.co.uk/store/KV-Convenience-Off-Licence</t>
        </is>
      </c>
      <c r="E249" s="10" t="inlineStr">
        <is>
          <t>Other</t>
        </is>
      </c>
      <c r="F249" s="10" t="inlineStr">
        <is>
          <t>2026-09-16</t>
        </is>
      </c>
      <c r="G249" s="10" t="inlineStr">
        <is>
          <t>address, delivery service</t>
        </is>
      </c>
      <c r="H249" s="10" t="inlineStr">
        <is>
          <t>Requires Verification</t>
        </is>
      </c>
    </row>
    <row r="250">
      <c r="A250" s="5" t="inlineStr">
        <is>
          <t>WY-0101</t>
        </is>
      </c>
      <c r="B250" s="5" t="inlineStr">
        <is>
          <t>KV Convenience &amp; Off Licence</t>
        </is>
      </c>
      <c r="C250" s="5" t="inlineStr">
        <is>
          <t>Huddersfield</t>
        </is>
      </c>
      <c r="D250" s="5" t="inlineStr">
        <is>
          <t>https://www.ubereats.com/gb/store/kv-convenience-and-off-licence/etuByqIIWGqjc_-zp4V7ZQ</t>
        </is>
      </c>
      <c r="E250" s="5" t="inlineStr">
        <is>
          <t>Other</t>
        </is>
      </c>
      <c r="F250" s="5" t="inlineStr">
        <is>
          <t>2026-09-16</t>
        </is>
      </c>
      <c r="G250" s="5" t="inlineStr">
        <is>
          <t>cross-check of store and town</t>
        </is>
      </c>
      <c r="H250" s="5" t="inlineStr">
        <is>
          <t>Requires Verification</t>
        </is>
      </c>
    </row>
    <row r="251">
      <c r="A251" s="10" t="inlineStr">
        <is>
          <t>WY-0101</t>
        </is>
      </c>
      <c r="B251" s="10" t="inlineStr">
        <is>
          <t>KV Convenience &amp; Off Licence</t>
        </is>
      </c>
      <c r="C251" s="10" t="inlineStr">
        <is>
          <t>Huddersfield</t>
        </is>
      </c>
      <c r="D251" s="10" t="inlineStr">
        <is>
          <t>https://www.yellowtom.co.uk/1452035</t>
        </is>
      </c>
      <c r="E251" s="10" t="inlineStr">
        <is>
          <t>Directory</t>
        </is>
      </c>
      <c r="F251" s="10" t="inlineStr">
        <is>
          <t>2026-09-16</t>
        </is>
      </c>
      <c r="G251" s="10" t="inlineStr">
        <is>
          <t>phone</t>
        </is>
      </c>
      <c r="H251" s="10" t="inlineStr">
        <is>
          <t>Requires Verification</t>
        </is>
      </c>
    </row>
    <row r="252">
      <c r="A252" s="5" t="inlineStr">
        <is>
          <t>WY-0102</t>
        </is>
      </c>
      <c r="B252" s="5" t="inlineStr">
        <is>
          <t>Kasa Beeston Convenience Store</t>
        </is>
      </c>
      <c r="C252" s="5" t="inlineStr">
        <is>
          <t>Leeds</t>
        </is>
      </c>
      <c r="D252" s="5" t="inlineStr">
        <is>
          <t>https://kasabeeston.com/</t>
        </is>
      </c>
      <c r="E252" s="5" t="inlineStr">
        <is>
          <t>Official Website</t>
        </is>
      </c>
      <c r="F252" s="5" t="inlineStr">
        <is>
          <t>2026-09-16</t>
        </is>
      </c>
      <c r="G252" s="5" t="inlineStr">
        <is>
          <t>name, own-site confirmation (via search results; direct fetch blocked by proxy)</t>
        </is>
      </c>
      <c r="H252" s="5" t="inlineStr">
        <is>
          <t>Partially Verified</t>
        </is>
      </c>
    </row>
    <row r="253">
      <c r="A253" s="10" t="inlineStr">
        <is>
          <t>WY-0102</t>
        </is>
      </c>
      <c r="B253" s="10" t="inlineStr">
        <is>
          <t>Kasa Beeston Convenience Store</t>
        </is>
      </c>
      <c r="C253" s="10" t="inlineStr">
        <is>
          <t>Leeds</t>
        </is>
      </c>
      <c r="D253" s="10" t="inlineStr">
        <is>
          <t>https://www.bizseek.co.uk/kasa-beeston-convenience-store-0113-277-5757</t>
        </is>
      </c>
      <c r="E253" s="10" t="inlineStr">
        <is>
          <t>Directory</t>
        </is>
      </c>
      <c r="F253" s="10" t="inlineStr">
        <is>
          <t>2026-09-16</t>
        </is>
      </c>
      <c r="G253" s="10" t="inlineStr">
        <is>
          <t>phone (via search results)</t>
        </is>
      </c>
      <c r="H253" s="10" t="inlineStr">
        <is>
          <t>Partially Verified</t>
        </is>
      </c>
    </row>
    <row r="254">
      <c r="A254" s="5" t="inlineStr">
        <is>
          <t>WY-0102</t>
        </is>
      </c>
      <c r="B254" s="5" t="inlineStr">
        <is>
          <t>Kasa Beeston Convenience Store</t>
        </is>
      </c>
      <c r="C254" s="5" t="inlineStr">
        <is>
          <t>Leeds</t>
        </is>
      </c>
      <c r="D254" s="5" t="inlineStr">
        <is>
          <t>https://citikey.uk/display/kasa-PFM1H</t>
        </is>
      </c>
      <c r="E254" s="5" t="inlineStr">
        <is>
          <t>Directory</t>
        </is>
      </c>
      <c r="F254" s="5" t="inlineStr">
        <is>
          <t>2026-09-16</t>
        </is>
      </c>
      <c r="G254" s="5" t="inlineStr">
        <is>
          <t>address, postcode (via search results)</t>
        </is>
      </c>
      <c r="H254" s="5" t="inlineStr">
        <is>
          <t>Partially Verified</t>
        </is>
      </c>
    </row>
    <row r="255">
      <c r="A255" s="10" t="inlineStr">
        <is>
          <t>WY-0103</t>
        </is>
      </c>
      <c r="B255" s="10" t="inlineStr">
        <is>
          <t>Kash News &amp; Gifts</t>
        </is>
      </c>
      <c r="C255" s="10" t="inlineStr">
        <is>
          <t>Brighouse</t>
        </is>
      </c>
      <c r="D255" s="10" t="inlineStr">
        <is>
          <t>https://www.thomsonlocal.com/search/newsagents/halifax-brighouse-calderdale/kash-news-gifts/922805/01484400405</t>
        </is>
      </c>
      <c r="E255" s="10" t="inlineStr">
        <is>
          <t>Directory</t>
        </is>
      </c>
      <c r="F255" s="10" t="inlineStr">
        <is>
          <t>2026-09-16</t>
        </is>
      </c>
      <c r="G255" s="10" t="inlineStr">
        <is>
          <t>name, phone</t>
        </is>
      </c>
      <c r="H255" s="10" t="inlineStr">
        <is>
          <t>Requires Verification</t>
        </is>
      </c>
    </row>
    <row r="256">
      <c r="A256" s="5" t="inlineStr">
        <is>
          <t>WY-0103</t>
        </is>
      </c>
      <c r="B256" s="5" t="inlineStr">
        <is>
          <t>Kash News &amp; Gifts</t>
        </is>
      </c>
      <c r="C256" s="5" t="inlineStr">
        <is>
          <t>Brighouse</t>
        </is>
      </c>
      <c r="D256" s="5" t="inlineStr">
        <is>
          <t>https://findit.batleynews.co.uk/company/437704624939008</t>
        </is>
      </c>
      <c r="E256" s="5" t="inlineStr">
        <is>
          <t>Directory</t>
        </is>
      </c>
      <c r="F256" s="5" t="inlineStr">
        <is>
          <t>2026-09-16</t>
        </is>
      </c>
      <c r="G256" s="5" t="inlineStr">
        <is>
          <t>address, postcode</t>
        </is>
      </c>
      <c r="H256" s="5" t="inlineStr">
        <is>
          <t>Requires Verification</t>
        </is>
      </c>
    </row>
    <row r="257">
      <c r="A257" s="10" t="inlineStr">
        <is>
          <t>WY-0103</t>
        </is>
      </c>
      <c r="B257" s="10" t="inlineStr">
        <is>
          <t>Kash News &amp; Gifts</t>
        </is>
      </c>
      <c r="C257" s="10" t="inlineStr">
        <is>
          <t>Brighouse</t>
        </is>
      </c>
      <c r="D257" s="10" t="inlineStr">
        <is>
          <t>https://www.visitbrighouse.co.uk/directory/kash-news/</t>
        </is>
      </c>
      <c r="E257" s="10" t="inlineStr">
        <is>
          <t>Directory</t>
        </is>
      </c>
      <c r="F257" s="10" t="inlineStr">
        <is>
          <t>2026-09-16</t>
        </is>
      </c>
      <c r="G257" s="10" t="inlineStr">
        <is>
          <t>listing confirmation</t>
        </is>
      </c>
      <c r="H257" s="10" t="inlineStr">
        <is>
          <t>Requires Verification</t>
        </is>
      </c>
    </row>
    <row r="258">
      <c r="A258" s="5" t="inlineStr">
        <is>
          <t>WY-0104</t>
        </is>
      </c>
      <c r="B258" s="5" t="inlineStr">
        <is>
          <t>Keep In Touch</t>
        </is>
      </c>
      <c r="C258" s="5" t="inlineStr">
        <is>
          <t>Castleford</t>
        </is>
      </c>
      <c r="D258" s="5" t="inlineStr">
        <is>
          <t>https://www.192.com/atoz/business/castleford-wf10/newsagents/keep-in-touch/645f3ab15b4cb6acdbc0eb9ef27c5a71438678bb/ml/</t>
        </is>
      </c>
      <c r="E258" s="5" t="inlineStr">
        <is>
          <t>Directory</t>
        </is>
      </c>
      <c r="F258" s="5" t="inlineStr">
        <is>
          <t>2026-09-16</t>
        </is>
      </c>
      <c r="G258" s="5" t="inlineStr">
        <is>
          <t>name, address 5 Albion Street WF10 1EG</t>
        </is>
      </c>
      <c r="H258" s="5" t="inlineStr">
        <is>
          <t>Requires Verification</t>
        </is>
      </c>
    </row>
    <row r="259">
      <c r="A259" s="10" t="inlineStr">
        <is>
          <t>WY-0105</t>
        </is>
      </c>
      <c r="B259" s="10" t="inlineStr">
        <is>
          <t>Keighley Newsagent</t>
        </is>
      </c>
      <c r="C259" s="10" t="inlineStr">
        <is>
          <t>Keighley</t>
        </is>
      </c>
      <c r="D259" s="10" t="inlineStr">
        <is>
          <t>https://directory.bradfordpages.co.uk/company/504571861241856</t>
        </is>
      </c>
      <c r="E259" s="10" t="inlineStr">
        <is>
          <t>Directory</t>
        </is>
      </c>
      <c r="F259" s="10" t="inlineStr">
        <is>
          <t>2026-09-16</t>
        </is>
      </c>
      <c r="G259" s="10" t="inlineStr">
        <is>
          <t>name, address 125 North Street BD21 3AD (search result)</t>
        </is>
      </c>
      <c r="H259" s="10" t="inlineStr">
        <is>
          <t>Requires Verification</t>
        </is>
      </c>
    </row>
    <row r="260">
      <c r="A260" s="5" t="inlineStr">
        <is>
          <t>WY-0106</t>
        </is>
      </c>
      <c r="B260" s="5" t="inlineStr">
        <is>
          <t>Khadim Supersave</t>
        </is>
      </c>
      <c r="C260" s="5" t="inlineStr">
        <is>
          <t>Huddersfield</t>
        </is>
      </c>
      <c r="D260" s="5" t="inlineStr">
        <is>
          <t>https://no-divide.co.uk/khadim-supersave/</t>
        </is>
      </c>
      <c r="E260" s="5" t="inlineStr">
        <is>
          <t>Directory</t>
        </is>
      </c>
      <c r="F260" s="5" t="inlineStr">
        <is>
          <t>2026-09-16</t>
        </is>
      </c>
      <c r="G260" s="5" t="inlineStr">
        <is>
          <t>address, postcode, phone</t>
        </is>
      </c>
      <c r="H260" s="5" t="inlineStr">
        <is>
          <t>Requires Verification</t>
        </is>
      </c>
    </row>
    <row r="261">
      <c r="A261" s="10" t="inlineStr">
        <is>
          <t>WY-0107</t>
        </is>
      </c>
      <c r="B261" s="10" t="inlineStr">
        <is>
          <t>Kubus International Food</t>
        </is>
      </c>
      <c r="C261" s="10" t="inlineStr">
        <is>
          <t>Wakefield</t>
        </is>
      </c>
      <c r="D261" s="10" t="inlineStr">
        <is>
          <t>https://www.yorkshire.com/wakefield/shopping/corner-shops/kubus-international-food</t>
        </is>
      </c>
      <c r="E261" s="10" t="inlineStr">
        <is>
          <t>Directory</t>
        </is>
      </c>
      <c r="F261" s="10" t="inlineStr">
        <is>
          <t>2026-09-16</t>
        </is>
      </c>
      <c r="G261" s="10" t="inlineStr">
        <is>
          <t>name, address 86 Kirkgate, description, hours</t>
        </is>
      </c>
      <c r="H261" s="10" t="inlineStr">
        <is>
          <t>Requires Verification</t>
        </is>
      </c>
    </row>
    <row r="262">
      <c r="A262" s="5" t="inlineStr">
        <is>
          <t>WY-0108</t>
        </is>
      </c>
      <c r="B262" s="5" t="inlineStr">
        <is>
          <t>Latitude Wine &amp; Liquor Merchant</t>
        </is>
      </c>
      <c r="C262" s="5" t="inlineStr">
        <is>
          <t>Leeds</t>
        </is>
      </c>
      <c r="D262" s="5" t="inlineStr">
        <is>
          <t>https://www.yelp.com/biz/latitude-wine-and-liquor-merchant-leeds</t>
        </is>
      </c>
      <c r="E262" s="5" t="inlineStr">
        <is>
          <t>Directory</t>
        </is>
      </c>
      <c r="F262" s="5" t="inlineStr">
        <is>
          <t>2026-09-16</t>
        </is>
      </c>
      <c r="G262" s="5" t="inlineStr">
        <is>
          <t>address, phone, hours (via search results)</t>
        </is>
      </c>
      <c r="H262" s="5" t="inlineStr">
        <is>
          <t>Partially Verified</t>
        </is>
      </c>
    </row>
    <row r="263">
      <c r="A263" s="10" t="inlineStr">
        <is>
          <t>WY-0108</t>
        </is>
      </c>
      <c r="B263" s="10" t="inlineStr">
        <is>
          <t>Latitude Wine &amp; Liquor Merchant</t>
        </is>
      </c>
      <c r="C263" s="10" t="inlineStr">
        <is>
          <t>Leeds</t>
        </is>
      </c>
      <c r="D263" s="10" t="inlineStr">
        <is>
          <t>https://latitudewine.co.uk/</t>
        </is>
      </c>
      <c r="E263" s="10" t="inlineStr">
        <is>
          <t>Official Website</t>
        </is>
      </c>
      <c r="F263" s="10" t="inlineStr">
        <is>
          <t>2026-09-16</t>
        </is>
      </c>
      <c r="G263" s="10" t="inlineStr">
        <is>
          <t>website confirmation (via search results; direct fetch blocked by proxy)</t>
        </is>
      </c>
      <c r="H263" s="10" t="inlineStr">
        <is>
          <t>Partially Verified</t>
        </is>
      </c>
    </row>
    <row r="264">
      <c r="A264" s="5" t="inlineStr">
        <is>
          <t>WY-0108</t>
        </is>
      </c>
      <c r="B264" s="5" t="inlineStr">
        <is>
          <t>Latitude Wine &amp; Liquor Merchant</t>
        </is>
      </c>
      <c r="C264" s="5" t="inlineStr">
        <is>
          <t>Leeds</t>
        </is>
      </c>
      <c r="D264" s="5" t="inlineStr">
        <is>
          <t>https://latitudewine.co.uk/pages/contact-us</t>
        </is>
      </c>
      <c r="E264" s="5" t="inlineStr">
        <is>
          <t>Official Website</t>
        </is>
      </c>
      <c r="F264" s="5" t="inlineStr">
        <is>
          <t>2026-09-16</t>
        </is>
      </c>
      <c r="G264" s="5" t="inlineStr">
        <is>
          <t>email (sales)</t>
        </is>
      </c>
      <c r="H264" s="5" t="inlineStr">
        <is>
          <t>Partially Verified</t>
        </is>
      </c>
    </row>
    <row r="265">
      <c r="A265" s="10" t="inlineStr">
        <is>
          <t>WY-0109</t>
        </is>
      </c>
      <c r="B265" s="10" t="inlineStr">
        <is>
          <t>Leeds Shisha Wholesale</t>
        </is>
      </c>
      <c r="C265" s="10" t="inlineStr">
        <is>
          <t>Leeds</t>
        </is>
      </c>
      <c r="D265" s="10" t="inlineStr">
        <is>
          <t>https://www.facebook.com/p/Leeds-Shisha-Wholesale-100066917521496/</t>
        </is>
      </c>
      <c r="E265" s="10" t="inlineStr">
        <is>
          <t>Facebook</t>
        </is>
      </c>
      <c r="F265" s="10" t="inlineStr">
        <is>
          <t>2026-09-16</t>
        </is>
      </c>
      <c r="G265" s="10" t="inlineStr">
        <is>
          <t>name, town, description (via search results)</t>
        </is>
      </c>
      <c r="H265" s="10" t="inlineStr">
        <is>
          <t>Requires Verification</t>
        </is>
      </c>
    </row>
    <row r="266">
      <c r="A266" s="5" t="inlineStr">
        <is>
          <t>WY-0109</t>
        </is>
      </c>
      <c r="B266" s="5" t="inlineStr">
        <is>
          <t>Leeds Shisha Wholesale</t>
        </is>
      </c>
      <c r="C266" s="5" t="inlineStr">
        <is>
          <t>Leeds</t>
        </is>
      </c>
      <c r="D266" s="5" t="inlineStr">
        <is>
          <t>https://leeds.cylex-uk.co.uk/company/leeds-shisha-wholesale-27498601.html</t>
        </is>
      </c>
      <c r="E266" s="5" t="inlineStr">
        <is>
          <t>Directory</t>
        </is>
      </c>
      <c r="F266" s="5" t="inlineStr">
        <is>
          <t>2026-09-16</t>
        </is>
      </c>
      <c r="G266" s="5" t="inlineStr">
        <is>
          <t>listing confirmation (via search results)</t>
        </is>
      </c>
      <c r="H266" s="5" t="inlineStr">
        <is>
          <t>Requires Verification</t>
        </is>
      </c>
    </row>
    <row r="267">
      <c r="A267" s="10" t="inlineStr">
        <is>
          <t>WY-0110</t>
        </is>
      </c>
      <c r="B267" s="10" t="inlineStr">
        <is>
          <t>Liquid Mafia The King of Vapes</t>
        </is>
      </c>
      <c r="C267" s="10" t="inlineStr">
        <is>
          <t>Dewsbury</t>
        </is>
      </c>
      <c r="D267" s="10" t="inlineStr">
        <is>
          <t>https://vapemaps.co/england/west-yorkshire/dewsbury/liquid-mafia-the-king-of-vapes/8788</t>
        </is>
      </c>
      <c r="E267" s="10" t="inlineStr">
        <is>
          <t>Directory</t>
        </is>
      </c>
      <c r="F267" s="10" t="inlineStr">
        <is>
          <t>2026-09-16</t>
        </is>
      </c>
      <c r="G267" s="10" t="inlineStr">
        <is>
          <t>address, phone</t>
        </is>
      </c>
      <c r="H267" s="10" t="inlineStr">
        <is>
          <t>Requires Verification</t>
        </is>
      </c>
    </row>
    <row r="268">
      <c r="A268" s="5" t="inlineStr">
        <is>
          <t>WY-0110</t>
        </is>
      </c>
      <c r="B268" s="5" t="inlineStr">
        <is>
          <t>Liquid Mafia The King of Vapes</t>
        </is>
      </c>
      <c r="C268" s="5" t="inlineStr">
        <is>
          <t>Dewsbury</t>
        </is>
      </c>
      <c r="D268" s="5" t="inlineStr">
        <is>
          <t>https://www.yorkshire.com/dewsbury/shopping/vape-shops/liquid-mafia-the-king-of-vapes</t>
        </is>
      </c>
      <c r="E268" s="5" t="inlineStr">
        <is>
          <t>Directory</t>
        </is>
      </c>
      <c r="F268" s="5" t="inlineStr">
        <is>
          <t>2026-09-16</t>
        </is>
      </c>
      <c r="G268" s="5" t="inlineStr">
        <is>
          <t>Huddersfield Road location, hours, rating</t>
        </is>
      </c>
      <c r="H268" s="5" t="inlineStr">
        <is>
          <t>Requires Verification</t>
        </is>
      </c>
    </row>
    <row r="269">
      <c r="A269" s="10" t="inlineStr">
        <is>
          <t>WY-0110</t>
        </is>
      </c>
      <c r="B269" s="10" t="inlineStr">
        <is>
          <t>Liquid Mafia The King of Vapes</t>
        </is>
      </c>
      <c r="C269" s="10" t="inlineStr">
        <is>
          <t>Dewsbury</t>
        </is>
      </c>
      <c r="D269" s="10" t="inlineStr">
        <is>
          <t>https://www.instagram.com/liquidmafiaofficial/</t>
        </is>
      </c>
      <c r="E269" s="10" t="inlineStr">
        <is>
          <t>Instagram</t>
        </is>
      </c>
      <c r="F269" s="10" t="inlineStr">
        <is>
          <t>2026-09-16</t>
        </is>
      </c>
      <c r="G269" s="10" t="inlineStr">
        <is>
          <t>business Instagram, alternative phone</t>
        </is>
      </c>
      <c r="H269" s="10" t="inlineStr">
        <is>
          <t>Requires Verification</t>
        </is>
      </c>
    </row>
    <row r="270">
      <c r="A270" s="5" t="inlineStr">
        <is>
          <t>WY-0111</t>
        </is>
      </c>
      <c r="B270" s="5" t="inlineStr">
        <is>
          <t>Local Convenience Store (Elsinore Avenue)</t>
        </is>
      </c>
      <c r="C270" s="5" t="inlineStr">
        <is>
          <t>Elland</t>
        </is>
      </c>
      <c r="D270" s="5" t="inlineStr">
        <is>
          <t>https://www.yorkshire.com/elland/shopping/corner-shops</t>
        </is>
      </c>
      <c r="E270" s="5" t="inlineStr">
        <is>
          <t>Directory</t>
        </is>
      </c>
      <c r="F270" s="5" t="inlineStr">
        <is>
          <t>2026-09-16</t>
        </is>
      </c>
      <c r="G270" s="5" t="inlineStr">
        <is>
          <t>name, address, postcode</t>
        </is>
      </c>
      <c r="H270" s="5" t="inlineStr">
        <is>
          <t>Requires Verification</t>
        </is>
      </c>
    </row>
    <row r="271">
      <c r="A271" s="10" t="inlineStr">
        <is>
          <t>WY-0112</t>
        </is>
      </c>
      <c r="B271" s="10" t="inlineStr">
        <is>
          <t>Local Express Off Licence</t>
        </is>
      </c>
      <c r="C271" s="10" t="inlineStr">
        <is>
          <t>Batley</t>
        </is>
      </c>
      <c r="D271" s="10" t="inlineStr">
        <is>
          <t>https://www.bigreddirectory.com/local-express-off-licence-batley</t>
        </is>
      </c>
      <c r="E271" s="10" t="inlineStr">
        <is>
          <t>Directory</t>
        </is>
      </c>
      <c r="F271" s="10" t="inlineStr">
        <is>
          <t>2026-09-16</t>
        </is>
      </c>
      <c r="G271" s="10" t="inlineStr">
        <is>
          <t>name, address</t>
        </is>
      </c>
      <c r="H271" s="10" t="inlineStr">
        <is>
          <t>Requires Verification</t>
        </is>
      </c>
    </row>
    <row r="272">
      <c r="A272" s="5" t="inlineStr">
        <is>
          <t>WY-0113</t>
        </is>
      </c>
      <c r="B272" s="5" t="inlineStr">
        <is>
          <t>Londis Normanton (313 Castleford Road)</t>
        </is>
      </c>
      <c r="C272" s="5" t="inlineStr">
        <is>
          <t>Normanton</t>
        </is>
      </c>
      <c r="D272" s="5" t="inlineStr">
        <is>
          <t>https://www.londis.co.uk/our-stores/londis-normanton</t>
        </is>
      </c>
      <c r="E272" s="5" t="inlineStr">
        <is>
          <t>Official Website</t>
        </is>
      </c>
      <c r="F272" s="5" t="inlineStr">
        <is>
          <t>2026-09-16</t>
        </is>
      </c>
      <c r="G272" s="5" t="inlineStr">
        <is>
          <t>address, postcode, phone, hours (symbol group store page, seen via search results)</t>
        </is>
      </c>
      <c r="H272" s="5" t="inlineStr">
        <is>
          <t>Requires Verification</t>
        </is>
      </c>
    </row>
    <row r="273">
      <c r="A273" s="10" t="inlineStr">
        <is>
          <t>WY-0114</t>
        </is>
      </c>
      <c r="B273" s="10" t="inlineStr">
        <is>
          <t>Londis Normanton (Castleford Road, WF6 2DW)</t>
        </is>
      </c>
      <c r="C273" s="10" t="inlineStr">
        <is>
          <t>Normanton</t>
        </is>
      </c>
      <c r="D273" s="10" t="inlineStr">
        <is>
          <t>https://www.londis.co.uk/our-stores/normanton</t>
        </is>
      </c>
      <c r="E273" s="10" t="inlineStr">
        <is>
          <t>Official Website</t>
        </is>
      </c>
      <c r="F273" s="10" t="inlineStr">
        <is>
          <t>2026-09-16</t>
        </is>
      </c>
      <c r="G273" s="10" t="inlineStr">
        <is>
          <t>address, postcode, phone (symbol group store page, seen via search results)</t>
        </is>
      </c>
      <c r="H273" s="10" t="inlineStr">
        <is>
          <t>Requires Verification</t>
        </is>
      </c>
    </row>
    <row r="274">
      <c r="A274" s="5" t="inlineStr">
        <is>
          <t>WY-0115</t>
        </is>
      </c>
      <c r="B274" s="5" t="inlineStr">
        <is>
          <t>Londis Ravensthorpe</t>
        </is>
      </c>
      <c r="C274" s="5" t="inlineStr">
        <is>
          <t>Dewsbury</t>
        </is>
      </c>
      <c r="D274" s="5" t="inlineStr">
        <is>
          <t>https://www.londis.co.uk/our-stores/londis-ravensthorpe</t>
        </is>
      </c>
      <c r="E274" s="5" t="inlineStr">
        <is>
          <t>Official Website</t>
        </is>
      </c>
      <c r="F274" s="5" t="inlineStr">
        <is>
          <t>2026-09-16</t>
        </is>
      </c>
      <c r="G274" s="5" t="inlineStr">
        <is>
          <t>store existence and area (symbol group locator, seen in search results)</t>
        </is>
      </c>
      <c r="H274" s="5" t="inlineStr">
        <is>
          <t>Requires Verification</t>
        </is>
      </c>
    </row>
    <row r="275">
      <c r="A275" s="10" t="inlineStr">
        <is>
          <t>WY-0115</t>
        </is>
      </c>
      <c r="B275" s="10" t="inlineStr">
        <is>
          <t>Londis Ravensthorpe</t>
        </is>
      </c>
      <c r="C275" s="10" t="inlineStr">
        <is>
          <t>Dewsbury</t>
        </is>
      </c>
      <c r="D275" s="10" t="inlineStr">
        <is>
          <t>https://directory.gazettelive.co.uk/company/999b46611b8a8afc4d77d779e9c8dcf7</t>
        </is>
      </c>
      <c r="E275" s="10" t="inlineStr">
        <is>
          <t>Directory</t>
        </is>
      </c>
      <c r="F275" s="10" t="inlineStr">
        <is>
          <t>2026-09-16</t>
        </is>
      </c>
      <c r="G275" s="10" t="inlineStr">
        <is>
          <t>postcode, phone</t>
        </is>
      </c>
      <c r="H275" s="10" t="inlineStr">
        <is>
          <t>Requires Verification</t>
        </is>
      </c>
    </row>
    <row r="276">
      <c r="A276" s="5" t="inlineStr">
        <is>
          <t>WY-0116</t>
        </is>
      </c>
      <c r="B276" s="5" t="inlineStr">
        <is>
          <t>Low Lane Convenience Store (Premier)</t>
        </is>
      </c>
      <c r="C276" s="5" t="inlineStr">
        <is>
          <t>Batley</t>
        </is>
      </c>
      <c r="D276" s="5" t="inlineStr">
        <is>
          <t>https://www.premier-stores.co.uk/our-stores/low-lane-convenience-store</t>
        </is>
      </c>
      <c r="E276" s="5" t="inlineStr">
        <is>
          <t>Official Website</t>
        </is>
      </c>
      <c r="F276" s="5" t="inlineStr">
        <is>
          <t>2026-09-16</t>
        </is>
      </c>
      <c r="G276" s="5" t="inlineStr">
        <is>
          <t>store listing, address (symbol group locator)</t>
        </is>
      </c>
      <c r="H276" s="5" t="inlineStr">
        <is>
          <t>Requires Verification</t>
        </is>
      </c>
    </row>
    <row r="277">
      <c r="A277" s="10" t="inlineStr">
        <is>
          <t>WY-0117</t>
        </is>
      </c>
      <c r="B277" s="10" t="inlineStr">
        <is>
          <t>Mace News &amp; Off Licence</t>
        </is>
      </c>
      <c r="C277" s="10" t="inlineStr">
        <is>
          <t>Shipley</t>
        </is>
      </c>
      <c r="D277" s="10" t="inlineStr">
        <is>
          <t>https://www.yorkshire.com/shipley/shopping/off-license/mace-news-off-licence</t>
        </is>
      </c>
      <c r="E277" s="10" t="inlineStr">
        <is>
          <t>Directory</t>
        </is>
      </c>
      <c r="F277" s="10" t="inlineStr">
        <is>
          <t>2026-09-16</t>
        </is>
      </c>
      <c r="G277" s="10" t="inlineStr">
        <is>
          <t>name, Otley Road Baildon location, hours (search snippet)</t>
        </is>
      </c>
      <c r="H277" s="10" t="inlineStr">
        <is>
          <t>Requires Verification</t>
        </is>
      </c>
    </row>
    <row r="278">
      <c r="A278" s="5" t="inlineStr">
        <is>
          <t>WY-0118</t>
        </is>
      </c>
      <c r="B278" s="5" t="inlineStr">
        <is>
          <t>Martinez Wines</t>
        </is>
      </c>
      <c r="C278" s="5" t="inlineStr">
        <is>
          <t>Ilkley</t>
        </is>
      </c>
      <c r="D278" s="5" t="inlineStr">
        <is>
          <t>https://martinez.co.uk/shop-services/contact/</t>
        </is>
      </c>
      <c r="E278" s="5" t="inlineStr">
        <is>
          <t>Official Website</t>
        </is>
      </c>
      <c r="F278" s="5" t="inlineStr">
        <is>
          <t>2026-09-16</t>
        </is>
      </c>
      <c r="G278" s="5" t="inlineStr">
        <is>
          <t>address 35 The Grove LS29 9NJ, phone, email shop@martinez.co.uk, hours (search snippet; fetch blocked)</t>
        </is>
      </c>
      <c r="H278" s="5" t="inlineStr">
        <is>
          <t>Requires Verification</t>
        </is>
      </c>
    </row>
    <row r="279">
      <c r="A279" s="10" t="inlineStr">
        <is>
          <t>WY-0118</t>
        </is>
      </c>
      <c r="B279" s="10" t="inlineStr">
        <is>
          <t>Martinez Wines</t>
        </is>
      </c>
      <c r="C279" s="10" t="inlineStr">
        <is>
          <t>Ilkley</t>
        </is>
      </c>
      <c r="D279" s="10" t="inlineStr">
        <is>
          <t>https://www.yelp.com/biz/martinez-wines-ilkley</t>
        </is>
      </c>
      <c r="E279" s="10" t="inlineStr">
        <is>
          <t>Directory</t>
        </is>
      </c>
      <c r="F279" s="10" t="inlineStr">
        <is>
          <t>2026-09-16</t>
        </is>
      </c>
      <c r="G279" s="10" t="inlineStr">
        <is>
          <t>address cross-check (search result)</t>
        </is>
      </c>
      <c r="H279" s="10" t="inlineStr">
        <is>
          <t>Requires Verification</t>
        </is>
      </c>
    </row>
    <row r="280">
      <c r="A280" s="5" t="inlineStr">
        <is>
          <t>WY-0118</t>
        </is>
      </c>
      <c r="B280" s="5" t="inlineStr">
        <is>
          <t>Martinez Wines</t>
        </is>
      </c>
      <c r="C280" s="5" t="inlineStr">
        <is>
          <t>Ilkley</t>
        </is>
      </c>
      <c r="D280" s="5" t="inlineStr">
        <is>
          <t>https://www.instagram.com/martinezwines/</t>
        </is>
      </c>
      <c r="E280" s="5" t="inlineStr">
        <is>
          <t>Instagram</t>
        </is>
      </c>
      <c r="F280" s="5" t="inlineStr">
        <is>
          <t>2026-09-16</t>
        </is>
      </c>
      <c r="G280" s="5" t="inlineStr">
        <is>
          <t>social (instagram)</t>
        </is>
      </c>
      <c r="H280" s="5" t="inlineStr">
        <is>
          <t>Requires Verification</t>
        </is>
      </c>
    </row>
    <row r="281">
      <c r="A281" s="10" t="inlineStr">
        <is>
          <t>WY-0119</t>
        </is>
      </c>
      <c r="B281" s="10" t="inlineStr">
        <is>
          <t>Matharu Newsagents</t>
        </is>
      </c>
      <c r="C281" s="10" t="inlineStr">
        <is>
          <t>Leeds</t>
        </is>
      </c>
      <c r="D281" s="10" t="inlineStr">
        <is>
          <t>https://findit.yorkshireeveningpost.co.uk/search/leeds/newsagent</t>
        </is>
      </c>
      <c r="E281" s="10" t="inlineStr">
        <is>
          <t>Directory</t>
        </is>
      </c>
      <c r="F281" s="10" t="inlineStr">
        <is>
          <t>2026-09-16</t>
        </is>
      </c>
      <c r="G281" s="10" t="inlineStr">
        <is>
          <t>name, address, phone (via search results)</t>
        </is>
      </c>
      <c r="H281" s="10" t="inlineStr">
        <is>
          <t>Requires Verification</t>
        </is>
      </c>
    </row>
    <row r="282">
      <c r="A282" s="5" t="inlineStr">
        <is>
          <t>WY-0120</t>
        </is>
      </c>
      <c r="B282" s="5" t="inlineStr">
        <is>
          <t>Meltham Convenience Store</t>
        </is>
      </c>
      <c r="C282" s="5" t="inlineStr">
        <is>
          <t>Meltham</t>
        </is>
      </c>
      <c r="D282" s="5" t="inlineStr">
        <is>
          <t>https://www.yell.com/biz/meltham-convenience-store-holmfirth-9079746/</t>
        </is>
      </c>
      <c r="E282" s="5" t="inlineStr">
        <is>
          <t>Yell</t>
        </is>
      </c>
      <c r="F282" s="5" t="inlineStr">
        <is>
          <t>2026-09-16</t>
        </is>
      </c>
      <c r="G282" s="5" t="inlineStr">
        <is>
          <t>listing, category</t>
        </is>
      </c>
      <c r="H282" s="5" t="inlineStr">
        <is>
          <t>Requires Verification</t>
        </is>
      </c>
    </row>
    <row r="283">
      <c r="A283" s="10" t="inlineStr">
        <is>
          <t>WY-0120</t>
        </is>
      </c>
      <c r="B283" s="10" t="inlineStr">
        <is>
          <t>Meltham Convenience Store</t>
        </is>
      </c>
      <c r="C283" s="10" t="inlineStr">
        <is>
          <t>Meltham</t>
        </is>
      </c>
      <c r="D283" s="10" t="inlineStr">
        <is>
          <t>https://directory.gazettelive.co.uk/company/d9f72795f940854d6693354206b3bc2d</t>
        </is>
      </c>
      <c r="E283" s="10" t="inlineStr">
        <is>
          <t>Directory</t>
        </is>
      </c>
      <c r="F283" s="10" t="inlineStr">
        <is>
          <t>2026-09-16</t>
        </is>
      </c>
      <c r="G283" s="10" t="inlineStr">
        <is>
          <t>address, postcode, phone</t>
        </is>
      </c>
      <c r="H283" s="10" t="inlineStr">
        <is>
          <t>Requires Verification</t>
        </is>
      </c>
    </row>
    <row r="284">
      <c r="A284" s="5" t="inlineStr">
        <is>
          <t>WY-0121</t>
        </is>
      </c>
      <c r="B284" s="5" t="inlineStr">
        <is>
          <t>Mister Motivaper</t>
        </is>
      </c>
      <c r="C284" s="5" t="inlineStr">
        <is>
          <t>Pontefract</t>
        </is>
      </c>
      <c r="D284" s="5" t="inlineStr">
        <is>
          <t>https://ecigdirectory.co.uk/vape-shop/listing/mister-motivaper-pontefract</t>
        </is>
      </c>
      <c r="E284" s="5" t="inlineStr">
        <is>
          <t>Directory</t>
        </is>
      </c>
      <c r="F284" s="5" t="inlineStr">
        <is>
          <t>2026-09-16</t>
        </is>
      </c>
      <c r="G284" s="5" t="inlineStr">
        <is>
          <t>address 7 Horse Fair, phone</t>
        </is>
      </c>
      <c r="H284" s="5" t="inlineStr">
        <is>
          <t>Requires Verification</t>
        </is>
      </c>
    </row>
    <row r="285">
      <c r="A285" s="10" t="inlineStr">
        <is>
          <t>WY-0122</t>
        </is>
      </c>
      <c r="B285" s="10" t="inlineStr">
        <is>
          <t>Mount Pellon Newsagent</t>
        </is>
      </c>
      <c r="C285" s="10" t="inlineStr">
        <is>
          <t>Halifax</t>
        </is>
      </c>
      <c r="D285" s="10" t="inlineStr">
        <is>
          <t>https://www.misterwhat.co.uk/company/573371-mount-pellon-newsagent-halifax</t>
        </is>
      </c>
      <c r="E285" s="10" t="inlineStr">
        <is>
          <t>Directory</t>
        </is>
      </c>
      <c r="F285" s="10" t="inlineStr">
        <is>
          <t>2026-09-16</t>
        </is>
      </c>
      <c r="G285" s="10" t="inlineStr">
        <is>
          <t>postcode, phone</t>
        </is>
      </c>
      <c r="H285" s="10" t="inlineStr">
        <is>
          <t>Requires Verification</t>
        </is>
      </c>
    </row>
    <row r="286">
      <c r="A286" s="5" t="inlineStr">
        <is>
          <t>WY-0122</t>
        </is>
      </c>
      <c r="B286" s="5" t="inlineStr">
        <is>
          <t>Mount Pellon Newsagent</t>
        </is>
      </c>
      <c r="C286" s="5" t="inlineStr">
        <is>
          <t>Halifax</t>
        </is>
      </c>
      <c r="D286" s="5" t="inlineStr">
        <is>
          <t>https://www.yorkshire.com/halifax/shopping/corner-shops/mount-pellon-newsagent</t>
        </is>
      </c>
      <c r="E286" s="5" t="inlineStr">
        <is>
          <t>Directory</t>
        </is>
      </c>
      <c r="F286" s="5" t="inlineStr">
        <is>
          <t>2026-09-16</t>
        </is>
      </c>
      <c r="G286" s="5" t="inlineStr">
        <is>
          <t>street, description</t>
        </is>
      </c>
      <c r="H286" s="5" t="inlineStr">
        <is>
          <t>Requires Verification</t>
        </is>
      </c>
    </row>
    <row r="287">
      <c r="A287" s="10" t="inlineStr">
        <is>
          <t>WY-0123</t>
        </is>
      </c>
      <c r="B287" s="10" t="inlineStr">
        <is>
          <t>Mount Vapes</t>
        </is>
      </c>
      <c r="C287" s="10" t="inlineStr">
        <is>
          <t>Halifax</t>
        </is>
      </c>
      <c r="D287" s="10" t="inlineStr">
        <is>
          <t>https://mountvapes.co.uk/</t>
        </is>
      </c>
      <c r="E287" s="10" t="inlineStr">
        <is>
          <t>Official Website</t>
        </is>
      </c>
      <c r="F287" s="10" t="inlineStr">
        <is>
          <t>2026-09-16</t>
        </is>
      </c>
      <c r="G287" s="10" t="inlineStr">
        <is>
          <t>website URL seen in search results (fetch blocked)</t>
        </is>
      </c>
      <c r="H287" s="10" t="inlineStr">
        <is>
          <t>Requires Verification</t>
        </is>
      </c>
    </row>
    <row r="288">
      <c r="A288" s="5" t="inlineStr">
        <is>
          <t>WY-0123</t>
        </is>
      </c>
      <c r="B288" s="5" t="inlineStr">
        <is>
          <t>Mount Vapes</t>
        </is>
      </c>
      <c r="C288" s="5" t="inlineStr">
        <is>
          <t>Halifax</t>
        </is>
      </c>
      <c r="D288" s="5" t="inlineStr">
        <is>
          <t>https://vapeshops.puffingbird.com/yorkshire-and-the-humber/halifax/mount-vapes</t>
        </is>
      </c>
      <c r="E288" s="5" t="inlineStr">
        <is>
          <t>Directory</t>
        </is>
      </c>
      <c r="F288" s="5" t="inlineStr">
        <is>
          <t>2026-09-16</t>
        </is>
      </c>
      <c r="G288" s="5" t="inlineStr">
        <is>
          <t>location area (Boothtown, Halifax)</t>
        </is>
      </c>
      <c r="H288" s="5" t="inlineStr">
        <is>
          <t>Requires Verification</t>
        </is>
      </c>
    </row>
    <row r="289">
      <c r="A289" s="10" t="inlineStr">
        <is>
          <t>WY-0123</t>
        </is>
      </c>
      <c r="B289" s="10" t="inlineStr">
        <is>
          <t>Mount Vapes</t>
        </is>
      </c>
      <c r="C289" s="10" t="inlineStr">
        <is>
          <t>Halifax</t>
        </is>
      </c>
      <c r="D289" s="10" t="inlineStr">
        <is>
          <t>https://www.yelp.com/biz/mount-vapes-halifax-halifax</t>
        </is>
      </c>
      <c r="E289" s="10" t="inlineStr">
        <is>
          <t>Directory</t>
        </is>
      </c>
      <c r="F289" s="10" t="inlineStr">
        <is>
          <t>2026-09-16</t>
        </is>
      </c>
      <c r="G289" s="10" t="inlineStr">
        <is>
          <t>postcode, phone</t>
        </is>
      </c>
      <c r="H289" s="10" t="inlineStr">
        <is>
          <t>Requires Verification</t>
        </is>
      </c>
    </row>
    <row r="290">
      <c r="A290" s="5" t="inlineStr">
        <is>
          <t>WY-0124</t>
        </is>
      </c>
      <c r="B290" s="5" t="inlineStr">
        <is>
          <t>Mytholmroyd Post Office</t>
        </is>
      </c>
      <c r="C290" s="5" t="inlineStr">
        <is>
          <t>Mytholmroyd</t>
        </is>
      </c>
      <c r="D290" s="5" t="inlineStr">
        <is>
          <t>https://www.postoffice.co.uk/branch-finder/6314589/mytholmroyd</t>
        </is>
      </c>
      <c r="E290" s="5" t="inlineStr">
        <is>
          <t>Directory</t>
        </is>
      </c>
      <c r="F290" s="5" t="inlineStr">
        <is>
          <t>2026-09-16</t>
        </is>
      </c>
      <c r="G290" s="5" t="inlineStr">
        <is>
          <t>address, postcode, hours</t>
        </is>
      </c>
      <c r="H290" s="5" t="inlineStr">
        <is>
          <t>Requires Verification</t>
        </is>
      </c>
    </row>
    <row r="291">
      <c r="A291" s="10" t="inlineStr">
        <is>
          <t>WY-0124</t>
        </is>
      </c>
      <c r="B291" s="10" t="inlineStr">
        <is>
          <t>Mytholmroyd Post Office</t>
        </is>
      </c>
      <c r="C291" s="10" t="inlineStr">
        <is>
          <t>Mytholmroyd</t>
        </is>
      </c>
      <c r="D291" s="10" t="inlineStr">
        <is>
          <t>https://findit.halifaxcourier.co.uk/company/1235285678424065</t>
        </is>
      </c>
      <c r="E291" s="10" t="inlineStr">
        <is>
          <t>Directory</t>
        </is>
      </c>
      <c r="F291" s="10" t="inlineStr">
        <is>
          <t>2026-09-16</t>
        </is>
      </c>
      <c r="G291" s="10" t="inlineStr">
        <is>
          <t>address confirmation</t>
        </is>
      </c>
      <c r="H291" s="10" t="inlineStr">
        <is>
          <t>Requires Verification</t>
        </is>
      </c>
    </row>
    <row r="292">
      <c r="A292" s="5" t="inlineStr">
        <is>
          <t>WY-0125</t>
        </is>
      </c>
      <c r="B292" s="5" t="inlineStr">
        <is>
          <t>Nisa Local Knottingley</t>
        </is>
      </c>
      <c r="C292" s="5" t="inlineStr">
        <is>
          <t>Knottingley</t>
        </is>
      </c>
      <c r="D292" s="5" t="inlineStr">
        <is>
          <t>https://www.192.com/atoz/business/knottingley-wf11/convenience-stores/nisa-local/d0b6a47364fa16c413905a4073529e9cdcb620e7/ugc/</t>
        </is>
      </c>
      <c r="E292" s="5" t="inlineStr">
        <is>
          <t>Directory</t>
        </is>
      </c>
      <c r="F292" s="5" t="inlineStr">
        <is>
          <t>2026-09-16</t>
        </is>
      </c>
      <c r="G292" s="5" t="inlineStr">
        <is>
          <t>address 12-14 Pinewood Place WF11 0QH</t>
        </is>
      </c>
      <c r="H292" s="5" t="inlineStr">
        <is>
          <t>Requires Verification</t>
        </is>
      </c>
    </row>
    <row r="293">
      <c r="A293" s="10" t="inlineStr">
        <is>
          <t>WY-0125</t>
        </is>
      </c>
      <c r="B293" s="10" t="inlineStr">
        <is>
          <t>Nisa Local Knottingley</t>
        </is>
      </c>
      <c r="C293" s="10" t="inlineStr">
        <is>
          <t>Knottingley</t>
        </is>
      </c>
      <c r="D293" s="10" t="inlineStr">
        <is>
          <t>https://firmania.co.uk/knottingley/nisa-local-3062274</t>
        </is>
      </c>
      <c r="E293" s="10" t="inlineStr">
        <is>
          <t>Directory</t>
        </is>
      </c>
      <c r="F293" s="10" t="inlineStr">
        <is>
          <t>2026-09-16</t>
        </is>
      </c>
      <c r="G293" s="10" t="inlineStr">
        <is>
          <t>phone 01977 607202</t>
        </is>
      </c>
      <c r="H293" s="10" t="inlineStr">
        <is>
          <t>Requires Verification</t>
        </is>
      </c>
    </row>
    <row r="294">
      <c r="A294" s="5" t="inlineStr">
        <is>
          <t>WY-0125</t>
        </is>
      </c>
      <c r="B294" s="5" t="inlineStr">
        <is>
          <t>Nisa Local Knottingley</t>
        </is>
      </c>
      <c r="C294" s="5" t="inlineStr">
        <is>
          <t>Knottingley</t>
        </is>
      </c>
      <c r="D294" s="5" t="inlineStr">
        <is>
          <t>https://www.nisalocally.co.uk/stores/west-yorkshire/knottingley</t>
        </is>
      </c>
      <c r="E294" s="5" t="inlineStr">
        <is>
          <t>Official Website</t>
        </is>
      </c>
      <c r="F294" s="5" t="inlineStr">
        <is>
          <t>2026-09-16</t>
        </is>
      </c>
      <c r="G294" s="5" t="inlineStr">
        <is>
          <t>store finder presence (seen in search results; fetch blocked)</t>
        </is>
      </c>
      <c r="H294" s="5" t="inlineStr">
        <is>
          <t>Requires Verification</t>
        </is>
      </c>
    </row>
    <row r="295">
      <c r="A295" s="10" t="inlineStr">
        <is>
          <t>WY-0125</t>
        </is>
      </c>
      <c r="B295" s="10" t="inlineStr">
        <is>
          <t>Nisa Local Knottingley</t>
        </is>
      </c>
      <c r="C295" s="10" t="inlineStr">
        <is>
          <t>Knottingley</t>
        </is>
      </c>
      <c r="D295" s="10" t="inlineStr">
        <is>
          <t>https://www.facebook.com/NisaLocalPinewoodPlaceKnottingley/</t>
        </is>
      </c>
      <c r="E295" s="10" t="inlineStr">
        <is>
          <t>Facebook</t>
        </is>
      </c>
      <c r="F295" s="10" t="inlineStr">
        <is>
          <t>2026-09-16</t>
        </is>
      </c>
      <c r="G295" s="10" t="inlineStr">
        <is>
          <t>social (facebook)</t>
        </is>
      </c>
      <c r="H295" s="10" t="inlineStr">
        <is>
          <t>Requires Verification</t>
        </is>
      </c>
    </row>
    <row r="296">
      <c r="A296" s="5" t="inlineStr">
        <is>
          <t>WY-0126</t>
        </is>
      </c>
      <c r="B296" s="5" t="inlineStr">
        <is>
          <t>Northowram Post Office</t>
        </is>
      </c>
      <c r="C296" s="5" t="inlineStr">
        <is>
          <t>Halifax</t>
        </is>
      </c>
      <c r="D296" s="5" t="inlineStr">
        <is>
          <t>https://www.postoffice.co.uk/branch-finder/6204589/northowram</t>
        </is>
      </c>
      <c r="E296" s="5" t="inlineStr">
        <is>
          <t>Directory</t>
        </is>
      </c>
      <c r="F296" s="5" t="inlineStr">
        <is>
          <t>2026-09-16</t>
        </is>
      </c>
      <c r="G296" s="5" t="inlineStr">
        <is>
          <t>address, postcode, hours</t>
        </is>
      </c>
      <c r="H296" s="5" t="inlineStr">
        <is>
          <t>Requires Verification</t>
        </is>
      </c>
    </row>
    <row r="297">
      <c r="A297" s="10" t="inlineStr">
        <is>
          <t>WY-0126</t>
        </is>
      </c>
      <c r="B297" s="10" t="inlineStr">
        <is>
          <t>Northowram Post Office</t>
        </is>
      </c>
      <c r="C297" s="10" t="inlineStr">
        <is>
          <t>Halifax</t>
        </is>
      </c>
      <c r="D297" s="10" t="inlineStr">
        <is>
          <t>https://www.royalmail.com/services-near-you/post-office/northowram-hx3-7dx</t>
        </is>
      </c>
      <c r="E297" s="10" t="inlineStr">
        <is>
          <t>Directory</t>
        </is>
      </c>
      <c r="F297" s="10" t="inlineStr">
        <is>
          <t>2026-09-16</t>
        </is>
      </c>
      <c r="G297" s="10" t="inlineStr">
        <is>
          <t>listing confirmation</t>
        </is>
      </c>
      <c r="H297" s="10" t="inlineStr">
        <is>
          <t>Requires Verification</t>
        </is>
      </c>
    </row>
    <row r="298">
      <c r="A298" s="5" t="inlineStr">
        <is>
          <t>WY-0127</t>
        </is>
      </c>
      <c r="B298" s="5" t="inlineStr">
        <is>
          <t>Notay Convenience Store (Premier)</t>
        </is>
      </c>
      <c r="C298" s="5" t="inlineStr">
        <is>
          <t>Batley</t>
        </is>
      </c>
      <c r="D298" s="5" t="inlineStr">
        <is>
          <t>https://www.premier-stores.co.uk/our-stores/notay-convenience-store</t>
        </is>
      </c>
      <c r="E298" s="5" t="inlineStr">
        <is>
          <t>Official Website</t>
        </is>
      </c>
      <c r="F298" s="5" t="inlineStr">
        <is>
          <t>2026-09-16</t>
        </is>
      </c>
      <c r="G298" s="5" t="inlineStr">
        <is>
          <t>store listing, address, phone (symbol group locator)</t>
        </is>
      </c>
      <c r="H298" s="5" t="inlineStr">
        <is>
          <t>Requires Verification</t>
        </is>
      </c>
    </row>
    <row r="299">
      <c r="A299" s="10" t="inlineStr">
        <is>
          <t>WY-0128</t>
        </is>
      </c>
      <c r="B299" s="10" t="inlineStr">
        <is>
          <t>Off Licence and Convenience Store (Cutsyke)</t>
        </is>
      </c>
      <c r="C299" s="10" t="inlineStr">
        <is>
          <t>Castleford</t>
        </is>
      </c>
      <c r="D299" s="10" t="inlineStr">
        <is>
          <t>https://ratings.food.gov.uk/business/1268724/off-licence-and-convenience-store-castleford</t>
        </is>
      </c>
      <c r="E299" s="10" t="inlineStr">
        <is>
          <t>Other</t>
        </is>
      </c>
      <c r="F299" s="10" t="inlineStr">
        <is>
          <t>2026-09-16</t>
        </is>
      </c>
      <c r="G299" s="10" t="inlineStr">
        <is>
          <t>name, address 2 Leeds Road, Cutsyke, WF10 5HA</t>
        </is>
      </c>
      <c r="H299" s="10" t="inlineStr">
        <is>
          <t>Requires Verification</t>
        </is>
      </c>
    </row>
    <row r="300">
      <c r="A300" s="5" t="inlineStr">
        <is>
          <t>WY-0129</t>
        </is>
      </c>
      <c r="B300" s="5" t="inlineStr">
        <is>
          <t>Outwood Express</t>
        </is>
      </c>
      <c r="C300" s="5" t="inlineStr">
        <is>
          <t>Wakefield</t>
        </is>
      </c>
      <c r="D300" s="5" t="inlineStr">
        <is>
          <t>https://www.yell.com/biz/outwood-express-wakefield-10165328/</t>
        </is>
      </c>
      <c r="E300" s="5" t="inlineStr">
        <is>
          <t>Yell</t>
        </is>
      </c>
      <c r="F300" s="5" t="inlineStr">
        <is>
          <t>2026-09-16</t>
        </is>
      </c>
      <c r="G300" s="5" t="inlineStr">
        <is>
          <t>existence, Outwood/Wakefield location</t>
        </is>
      </c>
      <c r="H300" s="5" t="inlineStr">
        <is>
          <t>Requires Verification</t>
        </is>
      </c>
    </row>
    <row r="301">
      <c r="A301" s="10" t="inlineStr">
        <is>
          <t>WY-0130</t>
        </is>
      </c>
      <c r="B301" s="10" t="inlineStr">
        <is>
          <t>Pakeezah Superstore</t>
        </is>
      </c>
      <c r="C301" s="10" t="inlineStr">
        <is>
          <t>Bradford</t>
        </is>
      </c>
      <c r="D301" s="10" t="inlineStr">
        <is>
          <t>https://www.thomsonlocal.com/search/supermarkets/bradford-keighley-skipton/pakeezah/1241547/01274739500</t>
        </is>
      </c>
      <c r="E301" s="10" t="inlineStr">
        <is>
          <t>Directory</t>
        </is>
      </c>
      <c r="F301" s="10" t="inlineStr">
        <is>
          <t>2026-09-16</t>
        </is>
      </c>
      <c r="G301" s="10" t="inlineStr">
        <is>
          <t>phone 01274 739500 (search result)</t>
        </is>
      </c>
      <c r="H301" s="10" t="inlineStr">
        <is>
          <t>Partially Verified</t>
        </is>
      </c>
    </row>
    <row r="302">
      <c r="A302" s="5" t="inlineStr">
        <is>
          <t>WY-0130</t>
        </is>
      </c>
      <c r="B302" s="5" t="inlineStr">
        <is>
          <t>Pakeezah Superstore</t>
        </is>
      </c>
      <c r="C302" s="5" t="inlineStr">
        <is>
          <t>Bradford</t>
        </is>
      </c>
      <c r="D302" s="5" t="inlineStr">
        <is>
          <t>https://www.yelp.com/biz/pakeezah-superstore-bradford</t>
        </is>
      </c>
      <c r="E302" s="5" t="inlineStr">
        <is>
          <t>Directory</t>
        </is>
      </c>
      <c r="F302" s="5" t="inlineStr">
        <is>
          <t>2026-09-16</t>
        </is>
      </c>
      <c r="G302" s="5" t="inlineStr">
        <is>
          <t>address 91 Edderthorpe Street BD3 9UD (search snippet)</t>
        </is>
      </c>
      <c r="H302" s="5" t="inlineStr">
        <is>
          <t>Partially Verified</t>
        </is>
      </c>
    </row>
    <row r="303">
      <c r="A303" s="10" t="inlineStr">
        <is>
          <t>WY-0130</t>
        </is>
      </c>
      <c r="B303" s="10" t="inlineStr">
        <is>
          <t>Pakeezah Superstore</t>
        </is>
      </c>
      <c r="C303" s="10" t="inlineStr">
        <is>
          <t>Bradford</t>
        </is>
      </c>
      <c r="D303" s="10" t="inlineStr">
        <is>
          <t>https://www.hotfrog.co.uk/company/1097305308241920/pakeezah-superstore/bradford/beverages</t>
        </is>
      </c>
      <c r="E303" s="10" t="inlineStr">
        <is>
          <t>Directory</t>
        </is>
      </c>
      <c r="F303" s="10" t="inlineStr">
        <is>
          <t>2026-09-16</t>
        </is>
      </c>
      <c r="G303" s="10" t="inlineStr">
        <is>
          <t>email</t>
        </is>
      </c>
      <c r="H303" s="10" t="inlineStr">
        <is>
          <t>Partially Verified</t>
        </is>
      </c>
    </row>
    <row r="304">
      <c r="A304" s="5" t="inlineStr">
        <is>
          <t>WY-0131</t>
        </is>
      </c>
      <c r="B304" s="5" t="inlineStr">
        <is>
          <t>Phantom Vape Store</t>
        </is>
      </c>
      <c r="C304" s="5" t="inlineStr">
        <is>
          <t>Dewsbury</t>
        </is>
      </c>
      <c r="D304" s="5" t="inlineStr">
        <is>
          <t>https://www.phantomvapes.co.uk/vape-shop-dewsbury</t>
        </is>
      </c>
      <c r="E304" s="5" t="inlineStr">
        <is>
          <t>Official Website</t>
        </is>
      </c>
      <c r="F304" s="5" t="inlineStr">
        <is>
          <t>2026-09-16</t>
        </is>
      </c>
      <c r="G304" s="5" t="inlineStr">
        <is>
          <t>address, postcode (from search result snippet of own site)</t>
        </is>
      </c>
      <c r="H304" s="5" t="inlineStr">
        <is>
          <t>Requires Verification</t>
        </is>
      </c>
    </row>
    <row r="305">
      <c r="A305" s="10" t="inlineStr">
        <is>
          <t>WY-0131</t>
        </is>
      </c>
      <c r="B305" s="10" t="inlineStr">
        <is>
          <t>Phantom Vape Store</t>
        </is>
      </c>
      <c r="C305" s="10" t="inlineStr">
        <is>
          <t>Dewsbury</t>
        </is>
      </c>
      <c r="D305" s="10" t="inlineStr">
        <is>
          <t>https://www.facebook.com/61578393599194/</t>
        </is>
      </c>
      <c r="E305" s="10" t="inlineStr">
        <is>
          <t>Facebook</t>
        </is>
      </c>
      <c r="F305" s="10" t="inlineStr">
        <is>
          <t>2026-09-16</t>
        </is>
      </c>
      <c r="G305" s="10" t="inlineStr">
        <is>
          <t>social (facebook)</t>
        </is>
      </c>
      <c r="H305" s="10" t="inlineStr">
        <is>
          <t>Requires Verification</t>
        </is>
      </c>
    </row>
    <row r="306">
      <c r="A306" s="5" t="inlineStr">
        <is>
          <t>WY-0132</t>
        </is>
      </c>
      <c r="B306" s="5" t="inlineStr">
        <is>
          <t>Phoenix Filling Station</t>
        </is>
      </c>
      <c r="C306" s="5" t="inlineStr">
        <is>
          <t>Bradford</t>
        </is>
      </c>
      <c r="D306" s="5" t="inlineStr">
        <is>
          <t>https://find-and-update.company-information.service.gov.uk/company/11511613</t>
        </is>
      </c>
      <c r="E306" s="5" t="inlineStr">
        <is>
          <t>Companies House</t>
        </is>
      </c>
      <c r="F306" s="5" t="inlineStr">
        <is>
          <t>2026-09-16</t>
        </is>
      </c>
      <c r="G306" s="5" t="inlineStr">
        <is>
          <t>company Phoenix Filling Station Ltd 11511613 (search result; direct fetch blocked)</t>
        </is>
      </c>
      <c r="H306" s="5" t="inlineStr">
        <is>
          <t>Partially Verified</t>
        </is>
      </c>
    </row>
    <row r="307">
      <c r="A307" s="10" t="inlineStr">
        <is>
          <t>WY-0132</t>
        </is>
      </c>
      <c r="B307" s="10" t="inlineStr">
        <is>
          <t>Phoenix Filling Station</t>
        </is>
      </c>
      <c r="C307" s="10" t="inlineStr">
        <is>
          <t>Bradford</t>
        </is>
      </c>
      <c r="D307" s="10" t="inlineStr">
        <is>
          <t>https://www.mylocalservices.co.uk/Phoenix+Filling+Station-Bradford-2646217.html</t>
        </is>
      </c>
      <c r="E307" s="10" t="inlineStr">
        <is>
          <t>Directory</t>
        </is>
      </c>
      <c r="F307" s="10" t="inlineStr">
        <is>
          <t>2026-09-16</t>
        </is>
      </c>
      <c r="G307" s="10" t="inlineStr">
        <is>
          <t>address 93 Listerhills Road BD7 1JT, phone, 24hr (search snippet)</t>
        </is>
      </c>
      <c r="H307" s="10" t="inlineStr">
        <is>
          <t>Partially Verified</t>
        </is>
      </c>
    </row>
    <row r="308">
      <c r="A308" s="5" t="inlineStr">
        <is>
          <t>WY-0132</t>
        </is>
      </c>
      <c r="B308" s="5" t="inlineStr">
        <is>
          <t>Phoenix Filling Station</t>
        </is>
      </c>
      <c r="C308" s="5" t="inlineStr">
        <is>
          <t>Bradford</t>
        </is>
      </c>
      <c r="D308" s="5" t="inlineStr">
        <is>
          <t>https://map.bp.com/en-GB/GB/petrol-station/bradford/phoenix-filling-station/1855207019</t>
        </is>
      </c>
      <c r="E308" s="5" t="inlineStr">
        <is>
          <t>Other</t>
        </is>
      </c>
      <c r="F308" s="5" t="inlineStr">
        <is>
          <t>2026-09-16</t>
        </is>
      </c>
      <c r="G308" s="5" t="inlineStr">
        <is>
          <t>BP brand confirmation (search result)</t>
        </is>
      </c>
      <c r="H308" s="5" t="inlineStr">
        <is>
          <t>Partially Verified</t>
        </is>
      </c>
    </row>
    <row r="309">
      <c r="A309" s="10" t="inlineStr">
        <is>
          <t>WY-0133</t>
        </is>
      </c>
      <c r="B309" s="10" t="inlineStr">
        <is>
          <t>Premier (Bingley Convenience Store)</t>
        </is>
      </c>
      <c r="C309" s="10" t="inlineStr">
        <is>
          <t>Bingley</t>
        </is>
      </c>
      <c r="D309" s="10" t="inlineStr">
        <is>
          <t>https://www.yorkshire.com/bingley/shopping/corner-shops/premier-bingley-convenience-store</t>
        </is>
      </c>
      <c r="E309" s="10" t="inlineStr">
        <is>
          <t>Directory</t>
        </is>
      </c>
      <c r="F309" s="10" t="inlineStr">
        <is>
          <t>2026-09-16</t>
        </is>
      </c>
      <c r="G309" s="10" t="inlineStr">
        <is>
          <t>name and Bingley location (search result)</t>
        </is>
      </c>
      <c r="H309" s="10" t="inlineStr">
        <is>
          <t>Requires Verification</t>
        </is>
      </c>
    </row>
    <row r="310">
      <c r="A310" s="5" t="inlineStr">
        <is>
          <t>WY-0134</t>
        </is>
      </c>
      <c r="B310" s="5" t="inlineStr">
        <is>
          <t>Premier Hemsworth</t>
        </is>
      </c>
      <c r="C310" s="5" t="inlineStr">
        <is>
          <t>Hemsworth</t>
        </is>
      </c>
      <c r="D310" s="5" t="inlineStr">
        <is>
          <t>https://hemsworth.ukintouch.com/convenience-store/premier-hemsworth/</t>
        </is>
      </c>
      <c r="E310" s="5" t="inlineStr">
        <is>
          <t>Directory</t>
        </is>
      </c>
      <c r="F310" s="5" t="inlineStr">
        <is>
          <t>2026-09-16</t>
        </is>
      </c>
      <c r="G310" s="5" t="inlineStr">
        <is>
          <t>name, address 51-55 Barnsley Road, Hemsworth WF9 4QZ</t>
        </is>
      </c>
      <c r="H310" s="5" t="inlineStr">
        <is>
          <t>Requires Verification</t>
        </is>
      </c>
    </row>
    <row r="311">
      <c r="A311" s="10" t="inlineStr">
        <is>
          <t>WY-0135</t>
        </is>
      </c>
      <c r="B311" s="10" t="inlineStr">
        <is>
          <t>Premier Wholesale Cash &amp; Carry</t>
        </is>
      </c>
      <c r="C311" s="10" t="inlineStr">
        <is>
          <t>Huddersfield</t>
        </is>
      </c>
      <c r="D311" s="10" t="inlineStr">
        <is>
          <t>https://www.yell.com/biz/premier-wholesale-cash-and-carry-huddersfield-943025/</t>
        </is>
      </c>
      <c r="E311" s="10" t="inlineStr">
        <is>
          <t>Yell</t>
        </is>
      </c>
      <c r="F311" s="10" t="inlineStr">
        <is>
          <t>2026-09-16</t>
        </is>
      </c>
      <c r="G311" s="10" t="inlineStr">
        <is>
          <t>name, address, postcode</t>
        </is>
      </c>
      <c r="H311" s="10" t="inlineStr">
        <is>
          <t>Requires Verification</t>
        </is>
      </c>
    </row>
    <row r="312">
      <c r="A312" s="5" t="inlineStr">
        <is>
          <t>WY-0136</t>
        </is>
      </c>
      <c r="B312" s="5" t="inlineStr">
        <is>
          <t>Quix Newsagents, Off Licence &amp; Convenience Store</t>
        </is>
      </c>
      <c r="C312" s="5" t="inlineStr">
        <is>
          <t>Shipley</t>
        </is>
      </c>
      <c r="D312" s="5" t="inlineStr">
        <is>
          <t>https://www.yorkshire.com/shipley/shopping/corner-shops/quix-newsagents-off-licence-convenience-store</t>
        </is>
      </c>
      <c r="E312" s="5" t="inlineStr">
        <is>
          <t>Directory</t>
        </is>
      </c>
      <c r="F312" s="5" t="inlineStr">
        <is>
          <t>2026-09-16</t>
        </is>
      </c>
      <c r="G312" s="5" t="inlineStr">
        <is>
          <t>name and Shipley location (search result)</t>
        </is>
      </c>
      <c r="H312" s="5" t="inlineStr">
        <is>
          <t>Requires Verification</t>
        </is>
      </c>
    </row>
    <row r="313">
      <c r="A313" s="10" t="inlineStr">
        <is>
          <t>WY-0137</t>
        </is>
      </c>
      <c r="B313" s="10" t="inlineStr">
        <is>
          <t>Rahien Mini Market</t>
        </is>
      </c>
      <c r="C313" s="10" t="inlineStr">
        <is>
          <t>Leeds</t>
        </is>
      </c>
      <c r="D313" s="10" t="inlineStr">
        <is>
          <t>https://www.yorkshire.com/headingley/shopping/markets/rahien-mini-market</t>
        </is>
      </c>
      <c r="E313" s="10" t="inlineStr">
        <is>
          <t>Directory</t>
        </is>
      </c>
      <c r="F313" s="10" t="inlineStr">
        <is>
          <t>2026-09-16</t>
        </is>
      </c>
      <c r="G313" s="10" t="inlineStr">
        <is>
          <t>name, Queen's Road location (via search results)</t>
        </is>
      </c>
      <c r="H313" s="10" t="inlineStr">
        <is>
          <t>Requires Verification</t>
        </is>
      </c>
    </row>
    <row r="314">
      <c r="A314" s="5" t="inlineStr">
        <is>
          <t>WY-0138</t>
        </is>
      </c>
      <c r="B314" s="5" t="inlineStr">
        <is>
          <t>Revo Vapes</t>
        </is>
      </c>
      <c r="C314" s="5" t="inlineStr">
        <is>
          <t>Morley</t>
        </is>
      </c>
      <c r="D314" s="5" t="inlineStr">
        <is>
          <t>https://revo-vapes.wheree.com/</t>
        </is>
      </c>
      <c r="E314" s="5" t="inlineStr">
        <is>
          <t>Directory</t>
        </is>
      </c>
      <c r="F314" s="5" t="inlineStr">
        <is>
          <t>2026-09-16</t>
        </is>
      </c>
      <c r="G314" s="5" t="inlineStr">
        <is>
          <t>name, full address (via search results)</t>
        </is>
      </c>
      <c r="H314" s="5" t="inlineStr">
        <is>
          <t>Requires Verification</t>
        </is>
      </c>
    </row>
    <row r="315">
      <c r="A315" s="10" t="inlineStr">
        <is>
          <t>WY-0139</t>
        </is>
      </c>
      <c r="B315" s="10" t="inlineStr">
        <is>
          <t>Ryans The Tobacconist</t>
        </is>
      </c>
      <c r="C315" s="10" t="inlineStr">
        <is>
          <t>Leeds</t>
        </is>
      </c>
      <c r="D315" s="10" t="inlineStr">
        <is>
          <t>https://www.ryanstobacconist.co.uk/contact-us</t>
        </is>
      </c>
      <c r="E315" s="10" t="inlineStr">
        <is>
          <t>Official Website</t>
        </is>
      </c>
      <c r="F315" s="10" t="inlineStr">
        <is>
          <t>2026-09-16</t>
        </is>
      </c>
      <c r="G315" s="10" t="inlineStr">
        <is>
          <t>address, phone, email (via search results; direct fetch blocked by proxy)</t>
        </is>
      </c>
      <c r="H315" s="10" t="inlineStr">
        <is>
          <t>Requires Verification</t>
        </is>
      </c>
    </row>
    <row r="316">
      <c r="A316" s="5" t="inlineStr">
        <is>
          <t>WY-0139</t>
        </is>
      </c>
      <c r="B316" s="5" t="inlineStr">
        <is>
          <t>Ryans The Tobacconist</t>
        </is>
      </c>
      <c r="C316" s="5" t="inlineStr">
        <is>
          <t>Leeds</t>
        </is>
      </c>
      <c r="D316" s="5" t="inlineStr">
        <is>
          <t>https://wegetyoufound.co.uk/listings/ryans/leeds/tobacco-shop</t>
        </is>
      </c>
      <c r="E316" s="5" t="inlineStr">
        <is>
          <t>Directory</t>
        </is>
      </c>
      <c r="F316" s="5" t="inlineStr">
        <is>
          <t>2026-09-16</t>
        </is>
      </c>
      <c r="G316" s="5" t="inlineStr">
        <is>
          <t>address, phone cross-check (via search results)</t>
        </is>
      </c>
      <c r="H316" s="5" t="inlineStr">
        <is>
          <t>Requires Verification</t>
        </is>
      </c>
    </row>
    <row r="317">
      <c r="A317" s="10" t="inlineStr">
        <is>
          <t>WY-0140</t>
        </is>
      </c>
      <c r="B317" s="10" t="inlineStr">
        <is>
          <t>SMKD</t>
        </is>
      </c>
      <c r="C317" s="10" t="inlineStr">
        <is>
          <t>Bradford</t>
        </is>
      </c>
      <c r="D317" s="10" t="inlineStr">
        <is>
          <t>https://smkd.com/vape-shop-locator/</t>
        </is>
      </c>
      <c r="E317" s="10" t="inlineStr">
        <is>
          <t>Official Website</t>
        </is>
      </c>
      <c r="F317" s="10" t="inlineStr">
        <is>
          <t>2026-09-16</t>
        </is>
      </c>
      <c r="G317" s="10" t="inlineStr">
        <is>
          <t>chain closure notice, delivery service, former store list (via search extraction)</t>
        </is>
      </c>
      <c r="H317" s="10" t="inlineStr">
        <is>
          <t>Partially Verified</t>
        </is>
      </c>
    </row>
    <row r="318">
      <c r="A318" s="5" t="inlineStr">
        <is>
          <t>WY-0140</t>
        </is>
      </c>
      <c r="B318" s="5" t="inlineStr">
        <is>
          <t>SMKD</t>
        </is>
      </c>
      <c r="C318" s="5" t="inlineStr">
        <is>
          <t>Bradford</t>
        </is>
      </c>
      <c r="D318" s="5" t="inlineStr">
        <is>
          <t>https://directory.examiner.co.uk/company/cfb3229ef740d2d8ba8f8c8580c80041</t>
        </is>
      </c>
      <c r="E318" s="5" t="inlineStr">
        <is>
          <t>Directory</t>
        </is>
      </c>
      <c r="F318" s="5" t="inlineStr">
        <is>
          <t>2026-09-16</t>
        </is>
      </c>
      <c r="G318" s="5" t="inlineStr">
        <is>
          <t>SMKD Vape Limited trading address Unit 7 Bradford Chamber Business Park BD4 8BX</t>
        </is>
      </c>
      <c r="H318" s="5" t="inlineStr">
        <is>
          <t>Partially Verified</t>
        </is>
      </c>
    </row>
    <row r="319">
      <c r="A319" s="10" t="inlineStr">
        <is>
          <t>WY-0140</t>
        </is>
      </c>
      <c r="B319" s="10" t="inlineStr">
        <is>
          <t>SMKD</t>
        </is>
      </c>
      <c r="C319" s="10" t="inlineStr">
        <is>
          <t>Bradford</t>
        </is>
      </c>
      <c r="D319" s="10" t="inlineStr">
        <is>
          <t>https://smkd.com/vape-shop-locator/huddersfield-vape-shop-high-street/</t>
        </is>
      </c>
      <c r="E319" s="10" t="inlineStr">
        <is>
          <t>Official Website</t>
        </is>
      </c>
      <c r="F319" s="10" t="inlineStr">
        <is>
          <t>2026-09-16</t>
        </is>
      </c>
      <c r="G319" s="10" t="inlineStr">
        <is>
          <t>phone 01274 270303, email info@smkd.com, closure status (via search extraction)</t>
        </is>
      </c>
      <c r="H319" s="10" t="inlineStr">
        <is>
          <t>Partially Verified</t>
        </is>
      </c>
    </row>
    <row r="320">
      <c r="A320" s="5" t="inlineStr">
        <is>
          <t>WY-0140</t>
        </is>
      </c>
      <c r="B320" s="5" t="inlineStr">
        <is>
          <t>SMKD</t>
        </is>
      </c>
      <c r="C320" s="5" t="inlineStr">
        <is>
          <t>Bradford</t>
        </is>
      </c>
      <c r="D320" s="5" t="inlineStr">
        <is>
          <t>https://www.facebook.com/SmkdVapeShop/</t>
        </is>
      </c>
      <c r="E320" s="5" t="inlineStr">
        <is>
          <t>Facebook</t>
        </is>
      </c>
      <c r="F320" s="5" t="inlineStr">
        <is>
          <t>2026-09-16</t>
        </is>
      </c>
      <c r="G320" s="5" t="inlineStr">
        <is>
          <t>social (facebook)</t>
        </is>
      </c>
      <c r="H320" s="5" t="inlineStr">
        <is>
          <t>Partially Verified</t>
        </is>
      </c>
    </row>
    <row r="321">
      <c r="A321" s="10" t="inlineStr">
        <is>
          <t>WY-0141</t>
        </is>
      </c>
      <c r="B321" s="10" t="inlineStr">
        <is>
          <t>SPAR Huddersfield Road</t>
        </is>
      </c>
      <c r="C321" s="10" t="inlineStr">
        <is>
          <t>Elland</t>
        </is>
      </c>
      <c r="D321" s="10" t="inlineStr">
        <is>
          <t>https://www.spar.co.uk/store-locator/hal32443-spar-huddersfield-road</t>
        </is>
      </c>
      <c r="E321" s="10" t="inlineStr">
        <is>
          <t>Official Website</t>
        </is>
      </c>
      <c r="F321" s="10" t="inlineStr">
        <is>
          <t>2026-09-16</t>
        </is>
      </c>
      <c r="G321" s="10" t="inlineStr">
        <is>
          <t>store existence, street, town (via search snippet)</t>
        </is>
      </c>
      <c r="H321" s="10" t="inlineStr">
        <is>
          <t>Requires Verification</t>
        </is>
      </c>
    </row>
    <row r="322">
      <c r="A322" s="5" t="inlineStr">
        <is>
          <t>WY-0141</t>
        </is>
      </c>
      <c r="B322" s="5" t="inlineStr">
        <is>
          <t>SPAR Huddersfield Road</t>
        </is>
      </c>
      <c r="C322" s="5" t="inlineStr">
        <is>
          <t>Elland</t>
        </is>
      </c>
      <c r="D322" s="5" t="inlineStr">
        <is>
          <t>https://www.openingtimesin.uk/spar-elland</t>
        </is>
      </c>
      <c r="E322" s="5" t="inlineStr">
        <is>
          <t>Directory</t>
        </is>
      </c>
      <c r="F322" s="5" t="inlineStr">
        <is>
          <t>2026-09-16</t>
        </is>
      </c>
      <c r="G322" s="5" t="inlineStr">
        <is>
          <t>listing confirmation</t>
        </is>
      </c>
      <c r="H322" s="5" t="inlineStr">
        <is>
          <t>Requires Verification</t>
        </is>
      </c>
    </row>
    <row r="323">
      <c r="A323" s="10" t="inlineStr">
        <is>
          <t>WY-0141</t>
        </is>
      </c>
      <c r="B323" s="10" t="inlineStr">
        <is>
          <t>SPAR Huddersfield Road</t>
        </is>
      </c>
      <c r="C323" s="10" t="inlineStr">
        <is>
          <t>Elland</t>
        </is>
      </c>
      <c r="D323" s="10" t="inlineStr">
        <is>
          <t>https://www.mylocalservices.co.uk/SPAR+Huddersfield+Road-Elland-3135599.html</t>
        </is>
      </c>
      <c r="E323" s="10" t="inlineStr">
        <is>
          <t>Directory</t>
        </is>
      </c>
      <c r="F323" s="10" t="inlineStr">
        <is>
          <t>2026-09-16</t>
        </is>
      </c>
      <c r="G323" s="10" t="inlineStr">
        <is>
          <t>phone</t>
        </is>
      </c>
      <c r="H323" s="10" t="inlineStr">
        <is>
          <t>Requires Verification</t>
        </is>
      </c>
    </row>
    <row r="324">
      <c r="A324" s="5" t="inlineStr">
        <is>
          <t>WY-0142</t>
        </is>
      </c>
      <c r="B324" s="5" t="inlineStr">
        <is>
          <t>SPAR Outwood</t>
        </is>
      </c>
      <c r="C324" s="5" t="inlineStr">
        <is>
          <t>Wakefield</t>
        </is>
      </c>
      <c r="D324" s="5" t="inlineStr">
        <is>
          <t>https://www.spar.co.uk/store-locator/afb49926-spar-outwood</t>
        </is>
      </c>
      <c r="E324" s="5" t="inlineStr">
        <is>
          <t>Official Website</t>
        </is>
      </c>
      <c r="F324" s="5" t="inlineStr">
        <is>
          <t>2026-09-16</t>
        </is>
      </c>
      <c r="G324" s="5" t="inlineStr">
        <is>
          <t>store existence (seen in search results; fetch blocked)</t>
        </is>
      </c>
      <c r="H324" s="5" t="inlineStr">
        <is>
          <t>Requires Verification</t>
        </is>
      </c>
    </row>
    <row r="325">
      <c r="A325" s="10" t="inlineStr">
        <is>
          <t>WY-0142</t>
        </is>
      </c>
      <c r="B325" s="10" t="inlineStr">
        <is>
          <t>SPAR Outwood</t>
        </is>
      </c>
      <c r="C325" s="10" t="inlineStr">
        <is>
          <t>Wakefield</t>
        </is>
      </c>
      <c r="D325" s="10" t="inlineStr">
        <is>
          <t>https://www.192.com/atoz/business/wakefield-wf1/convenience-stores/spar-outwood/9bb09a8d82ab0999cf3197b0d056b3add8363126/ugc/</t>
        </is>
      </c>
      <c r="E325" s="10" t="inlineStr">
        <is>
          <t>Directory</t>
        </is>
      </c>
      <c r="F325" s="10" t="inlineStr">
        <is>
          <t>2026-09-16</t>
        </is>
      </c>
      <c r="G325" s="10" t="inlineStr">
        <is>
          <t>postcode WF1 2LE</t>
        </is>
      </c>
      <c r="H325" s="10" t="inlineStr">
        <is>
          <t>Requires Verification</t>
        </is>
      </c>
    </row>
    <row r="326">
      <c r="A326" s="5" t="inlineStr">
        <is>
          <t>WY-0142</t>
        </is>
      </c>
      <c r="B326" s="5" t="inlineStr">
        <is>
          <t>SPAR Outwood</t>
        </is>
      </c>
      <c r="C326" s="5" t="inlineStr">
        <is>
          <t>Wakefield</t>
        </is>
      </c>
      <c r="D326" s="5" t="inlineStr">
        <is>
          <t>https://wanderboat.ai/local-businesses/united-kingdom/wakefield/spar-outwood/qcZcqHRZSsicOkt2edjr5Q</t>
        </is>
      </c>
      <c r="E326" s="5" t="inlineStr">
        <is>
          <t>Other</t>
        </is>
      </c>
      <c r="F326" s="5" t="inlineStr">
        <is>
          <t>2026-09-16</t>
        </is>
      </c>
      <c r="G326" s="5" t="inlineStr">
        <is>
          <t>address Potovens Ln, Outwood, WF1 2LE</t>
        </is>
      </c>
      <c r="H326" s="5" t="inlineStr">
        <is>
          <t>Requires Verification</t>
        </is>
      </c>
    </row>
    <row r="327">
      <c r="A327" s="10" t="inlineStr">
        <is>
          <t>WY-0143</t>
        </is>
      </c>
      <c r="B327" s="10" t="inlineStr">
        <is>
          <t>SaveCo Cash &amp; Carry Bradford</t>
        </is>
      </c>
      <c r="C327" s="10" t="inlineStr">
        <is>
          <t>Bradford</t>
        </is>
      </c>
      <c r="D327" s="10" t="inlineStr">
        <is>
          <t>https://halalhmc.org/outlets/the-meat-company-bradford-ltd-t-a-saveco-cash-carry/</t>
        </is>
      </c>
      <c r="E327" s="10" t="inlineStr">
        <is>
          <t>Other</t>
        </is>
      </c>
      <c r="F327" s="10" t="inlineStr">
        <is>
          <t>2026-09-16</t>
        </is>
      </c>
      <c r="G327" s="10" t="inlineStr">
        <is>
          <t>legal name The Meat Company Bradford Ltd t/a SaveCo (search snippet)</t>
        </is>
      </c>
      <c r="H327" s="10" t="inlineStr">
        <is>
          <t>Requires Verification</t>
        </is>
      </c>
    </row>
    <row r="328">
      <c r="A328" s="5" t="inlineStr">
        <is>
          <t>WY-0143</t>
        </is>
      </c>
      <c r="B328" s="5" t="inlineStr">
        <is>
          <t>SaveCo Cash &amp; Carry Bradford</t>
        </is>
      </c>
      <c r="C328" s="5" t="inlineStr">
        <is>
          <t>Bradford</t>
        </is>
      </c>
      <c r="D328" s="5" t="inlineStr">
        <is>
          <t>https://www.yell.com/biz/saveco-cash-and-carry-bradford-9304267/</t>
        </is>
      </c>
      <c r="E328" s="5" t="inlineStr">
        <is>
          <t>Yell</t>
        </is>
      </c>
      <c r="F328" s="5" t="inlineStr">
        <is>
          <t>2026-09-16</t>
        </is>
      </c>
      <c r="G328" s="5" t="inlineStr">
        <is>
          <t>address Thornbury Road BD3 8HE, phone (search snippet)</t>
        </is>
      </c>
      <c r="H328" s="5" t="inlineStr">
        <is>
          <t>Requires Verification</t>
        </is>
      </c>
    </row>
    <row r="329">
      <c r="A329" s="10" t="inlineStr">
        <is>
          <t>WY-0143</t>
        </is>
      </c>
      <c r="B329" s="10" t="inlineStr">
        <is>
          <t>SaveCo Cash &amp; Carry Bradford</t>
        </is>
      </c>
      <c r="C329" s="10" t="inlineStr">
        <is>
          <t>Bradford</t>
        </is>
      </c>
      <c r="D329" s="10" t="inlineStr">
        <is>
          <t>https://savecobradford.co.uk/</t>
        </is>
      </c>
      <c r="E329" s="10" t="inlineStr">
        <is>
          <t>Official Website</t>
        </is>
      </c>
      <c r="F329" s="10" t="inlineStr">
        <is>
          <t>2026-09-16</t>
        </is>
      </c>
      <c r="G329" s="10" t="inlineStr">
        <is>
          <t>official webshop, product range (search snippet; fetch blocked)</t>
        </is>
      </c>
      <c r="H329" s="10" t="inlineStr">
        <is>
          <t>Requires Verification</t>
        </is>
      </c>
    </row>
    <row r="330">
      <c r="A330" s="5" t="inlineStr">
        <is>
          <t>WY-0143</t>
        </is>
      </c>
      <c r="B330" s="5" t="inlineStr">
        <is>
          <t>SaveCo Cash &amp; Carry Bradford</t>
        </is>
      </c>
      <c r="C330" s="5" t="inlineStr">
        <is>
          <t>Bradford</t>
        </is>
      </c>
      <c r="D330" s="5" t="inlineStr">
        <is>
          <t>https://www.facebook.com/savecobradford/</t>
        </is>
      </c>
      <c r="E330" s="5" t="inlineStr">
        <is>
          <t>Facebook</t>
        </is>
      </c>
      <c r="F330" s="5" t="inlineStr">
        <is>
          <t>2026-09-16</t>
        </is>
      </c>
      <c r="G330" s="5" t="inlineStr">
        <is>
          <t>social (facebook)</t>
        </is>
      </c>
      <c r="H330" s="5" t="inlineStr">
        <is>
          <t>Requires Verification</t>
        </is>
      </c>
    </row>
    <row r="331">
      <c r="A331" s="10" t="inlineStr">
        <is>
          <t>WY-0144</t>
        </is>
      </c>
      <c r="B331" s="10" t="inlineStr">
        <is>
          <t>Select Newsagent</t>
        </is>
      </c>
      <c r="C331" s="10" t="inlineStr">
        <is>
          <t>Mirfield</t>
        </is>
      </c>
      <c r="D331" s="10" t="inlineStr">
        <is>
          <t>https://mirfield.cylex-uk.co.uk/company/select-newsagent-28742458.html</t>
        </is>
      </c>
      <c r="E331" s="10" t="inlineStr">
        <is>
          <t>Directory</t>
        </is>
      </c>
      <c r="F331" s="10" t="inlineStr">
        <is>
          <t>2026-09-16</t>
        </is>
      </c>
      <c r="G331" s="10" t="inlineStr">
        <is>
          <t>address, phone</t>
        </is>
      </c>
      <c r="H331" s="10" t="inlineStr">
        <is>
          <t>Requires Verification</t>
        </is>
      </c>
    </row>
    <row r="332">
      <c r="A332" s="5" t="inlineStr">
        <is>
          <t>WY-0144</t>
        </is>
      </c>
      <c r="B332" s="5" t="inlineStr">
        <is>
          <t>Select Newsagent</t>
        </is>
      </c>
      <c r="C332" s="5" t="inlineStr">
        <is>
          <t>Mirfield</t>
        </is>
      </c>
      <c r="D332" s="5" t="inlineStr">
        <is>
          <t>https://mirfield.ukintouch.com/convenience-store/select-newsagent/</t>
        </is>
      </c>
      <c r="E332" s="5" t="inlineStr">
        <is>
          <t>Directory</t>
        </is>
      </c>
      <c r="F332" s="5" t="inlineStr">
        <is>
          <t>2026-09-16</t>
        </is>
      </c>
      <c r="G332" s="5" t="inlineStr">
        <is>
          <t>cross-check address 18 Lee Green WF14 0AB</t>
        </is>
      </c>
      <c r="H332" s="5" t="inlineStr">
        <is>
          <t>Requires Verification</t>
        </is>
      </c>
    </row>
    <row r="333">
      <c r="A333" s="10" t="inlineStr">
        <is>
          <t>WY-0145</t>
        </is>
      </c>
      <c r="B333" s="10" t="inlineStr">
        <is>
          <t>Shans Supermarket</t>
        </is>
      </c>
      <c r="C333" s="10" t="inlineStr">
        <is>
          <t>Keighley</t>
        </is>
      </c>
      <c r="D333" s="10" t="inlineStr">
        <is>
          <t>https://www.yorkshire.com/keighley/shopping/supermarkets/shans-supermarket</t>
        </is>
      </c>
      <c r="E333" s="10" t="inlineStr">
        <is>
          <t>Directory</t>
        </is>
      </c>
      <c r="F333" s="10" t="inlineStr">
        <is>
          <t>2026-09-16</t>
        </is>
      </c>
      <c r="G333" s="10" t="inlineStr">
        <is>
          <t>location Alice Street, Keighley, description (search snippet)</t>
        </is>
      </c>
      <c r="H333" s="10" t="inlineStr">
        <is>
          <t>Requires Verification</t>
        </is>
      </c>
    </row>
    <row r="334">
      <c r="A334" s="5" t="inlineStr">
        <is>
          <t>WY-0145</t>
        </is>
      </c>
      <c r="B334" s="5" t="inlineStr">
        <is>
          <t>Shans Supermarket</t>
        </is>
      </c>
      <c r="C334" s="5" t="inlineStr">
        <is>
          <t>Keighley</t>
        </is>
      </c>
      <c r="D334" s="5" t="inlineStr">
        <is>
          <t>https://www.facebook.com/ShansSupermarket/</t>
        </is>
      </c>
      <c r="E334" s="5" t="inlineStr">
        <is>
          <t>Facebook</t>
        </is>
      </c>
      <c r="F334" s="5" t="inlineStr">
        <is>
          <t>2026-09-16</t>
        </is>
      </c>
      <c r="G334" s="5" t="inlineStr">
        <is>
          <t>active page, phone (search snippet)</t>
        </is>
      </c>
      <c r="H334" s="5" t="inlineStr">
        <is>
          <t>Requires Verification</t>
        </is>
      </c>
    </row>
    <row r="335">
      <c r="A335" s="10" t="inlineStr">
        <is>
          <t>WY-0146</t>
        </is>
      </c>
      <c r="B335" s="10" t="inlineStr">
        <is>
          <t>Sheepridge Off Licence</t>
        </is>
      </c>
      <c r="C335" s="10" t="inlineStr">
        <is>
          <t>Huddersfield</t>
        </is>
      </c>
      <c r="D335" s="10" t="inlineStr">
        <is>
          <t>https://www.192.com/atoz/business/huddersfield-hd1/convenience-stores/sheepridge-off-licence-limited/bfc32af555a5eed742b2bfb4d8a2acd75ab80d62/comp/</t>
        </is>
      </c>
      <c r="E335" s="10" t="inlineStr">
        <is>
          <t>Directory</t>
        </is>
      </c>
      <c r="F335" s="10" t="inlineStr">
        <is>
          <t>2026-09-16</t>
        </is>
      </c>
      <c r="G335" s="10" t="inlineStr">
        <is>
          <t>name, legal name, address, postcode</t>
        </is>
      </c>
      <c r="H335" s="10" t="inlineStr">
        <is>
          <t>Requires Verification</t>
        </is>
      </c>
    </row>
    <row r="336">
      <c r="A336" s="5" t="inlineStr">
        <is>
          <t>WY-0147</t>
        </is>
      </c>
      <c r="B336" s="5" t="inlineStr">
        <is>
          <t>Shoesmiths Tobacconist</t>
        </is>
      </c>
      <c r="C336" s="5" t="inlineStr">
        <is>
          <t>Halifax</t>
        </is>
      </c>
      <c r="D336" s="5" t="inlineStr">
        <is>
          <t>https://www.bigreddirectory.com/shoesmiths-tobacconist-halifax</t>
        </is>
      </c>
      <c r="E336" s="5" t="inlineStr">
        <is>
          <t>Directory</t>
        </is>
      </c>
      <c r="F336" s="5" t="inlineStr">
        <is>
          <t>2026-09-16</t>
        </is>
      </c>
      <c r="G336" s="5" t="inlineStr">
        <is>
          <t>address, postcode, description</t>
        </is>
      </c>
      <c r="H336" s="5" t="inlineStr">
        <is>
          <t>Requires Verification</t>
        </is>
      </c>
    </row>
    <row r="337">
      <c r="A337" s="10" t="inlineStr">
        <is>
          <t>WY-0147</t>
        </is>
      </c>
      <c r="B337" s="10" t="inlineStr">
        <is>
          <t>Shoesmiths Tobacconist</t>
        </is>
      </c>
      <c r="C337" s="10" t="inlineStr">
        <is>
          <t>Halifax</t>
        </is>
      </c>
      <c r="D337" s="10" t="inlineStr">
        <is>
          <t>https://www.facebook.com/shoesmiths/</t>
        </is>
      </c>
      <c r="E337" s="10" t="inlineStr">
        <is>
          <t>Facebook</t>
        </is>
      </c>
      <c r="F337" s="10" t="inlineStr">
        <is>
          <t>2026-09-16</t>
        </is>
      </c>
      <c r="G337" s="10" t="inlineStr">
        <is>
          <t>Totally Wicked at Shoesmiths branding</t>
        </is>
      </c>
      <c r="H337" s="10" t="inlineStr">
        <is>
          <t>Requires Verification</t>
        </is>
      </c>
    </row>
    <row r="338">
      <c r="A338" s="5" t="inlineStr">
        <is>
          <t>WY-0147</t>
        </is>
      </c>
      <c r="B338" s="5" t="inlineStr">
        <is>
          <t>Shoesmiths Tobacconist</t>
        </is>
      </c>
      <c r="C338" s="5" t="inlineStr">
        <is>
          <t>Halifax</t>
        </is>
      </c>
      <c r="D338" s="5" t="inlineStr">
        <is>
          <t>https://ecigdirectory.co.uk/vape-shop/listing/smokers-dlite-halifax</t>
        </is>
      </c>
      <c r="E338" s="5" t="inlineStr">
        <is>
          <t>Directory</t>
        </is>
      </c>
      <c r="F338" s="5" t="inlineStr">
        <is>
          <t>2026-09-16</t>
        </is>
      </c>
      <c r="G338" s="5" t="inlineStr">
        <is>
          <t>Smokers D'Lite listed at same address</t>
        </is>
      </c>
      <c r="H338" s="5" t="inlineStr">
        <is>
          <t>Requires Verification</t>
        </is>
      </c>
    </row>
    <row r="339">
      <c r="A339" s="10" t="inlineStr">
        <is>
          <t>WY-0148</t>
        </is>
      </c>
      <c r="B339" s="10" t="inlineStr">
        <is>
          <t>Smoke-King Tobacconist</t>
        </is>
      </c>
      <c r="C339" s="10" t="inlineStr">
        <is>
          <t>Otley</t>
        </is>
      </c>
      <c r="D339" s="10" t="inlineStr">
        <is>
          <t>https://www.smoke-king.co.uk/pages/tobacconist-in-otley</t>
        </is>
      </c>
      <c r="E339" s="10" t="inlineStr">
        <is>
          <t>Official Website</t>
        </is>
      </c>
      <c r="F339" s="10" t="inlineStr">
        <is>
          <t>2026-09-16</t>
        </is>
      </c>
      <c r="G339" s="10" t="inlineStr">
        <is>
          <t>showroom address, hours (via search results; direct fetch blocked by proxy)</t>
        </is>
      </c>
      <c r="H339" s="10" t="inlineStr">
        <is>
          <t>Partially Verified</t>
        </is>
      </c>
    </row>
    <row r="340">
      <c r="A340" s="5" t="inlineStr">
        <is>
          <t>WY-0148</t>
        </is>
      </c>
      <c r="B340" s="5" t="inlineStr">
        <is>
          <t>Smoke-King Tobacconist</t>
        </is>
      </c>
      <c r="C340" s="5" t="inlineStr">
        <is>
          <t>Otley</t>
        </is>
      </c>
      <c r="D340" s="5" t="inlineStr">
        <is>
          <t>https://wegetyoufound.co.uk/listings/smoke-king-tobacconist/otley/tobacco-shop</t>
        </is>
      </c>
      <c r="E340" s="5" t="inlineStr">
        <is>
          <t>Directory</t>
        </is>
      </c>
      <c r="F340" s="5" t="inlineStr">
        <is>
          <t>2026-09-16</t>
        </is>
      </c>
      <c r="G340" s="5" t="inlineStr">
        <is>
          <t>address, phone (via search results)</t>
        </is>
      </c>
      <c r="H340" s="5" t="inlineStr">
        <is>
          <t>Partially Verified</t>
        </is>
      </c>
    </row>
    <row r="341">
      <c r="A341" s="10" t="inlineStr">
        <is>
          <t>WY-0148</t>
        </is>
      </c>
      <c r="B341" s="10" t="inlineStr">
        <is>
          <t>Smoke-King Tobacconist</t>
        </is>
      </c>
      <c r="C341" s="10" t="inlineStr">
        <is>
          <t>Otley</t>
        </is>
      </c>
      <c r="D341" s="10" t="inlineStr">
        <is>
          <t>https://wanderboat.ai/local-businesses/united-kingdom/leeds/smoke-king-tobacconist/la5qs7K8RkuEZuadULJ-Hg</t>
        </is>
      </c>
      <c r="E341" s="10" t="inlineStr">
        <is>
          <t>Directory</t>
        </is>
      </c>
      <c r="F341" s="10" t="inlineStr">
        <is>
          <t>2026-09-16</t>
        </is>
      </c>
      <c r="G341" s="10" t="inlineStr">
        <is>
          <t>full address cross-check (via search results)</t>
        </is>
      </c>
      <c r="H341" s="10" t="inlineStr">
        <is>
          <t>Partially Verified</t>
        </is>
      </c>
    </row>
    <row r="342">
      <c r="A342" s="5" t="inlineStr">
        <is>
          <t>WY-0148</t>
        </is>
      </c>
      <c r="B342" s="5" t="inlineStr">
        <is>
          <t>Smoke-King Tobacconist</t>
        </is>
      </c>
      <c r="C342" s="5" t="inlineStr">
        <is>
          <t>Otley</t>
        </is>
      </c>
      <c r="D342" s="5" t="inlineStr">
        <is>
          <t>https://www.smoke-king.co.uk/pages/contact</t>
        </is>
      </c>
      <c r="E342" s="5" t="inlineStr">
        <is>
          <t>Official Website</t>
        </is>
      </c>
      <c r="F342" s="5" t="inlineStr">
        <is>
          <t>2026-09-16</t>
        </is>
      </c>
      <c r="G342" s="5" t="inlineStr">
        <is>
          <t>email, social (facebook)</t>
        </is>
      </c>
      <c r="H342" s="5" t="inlineStr">
        <is>
          <t>Partially Verified</t>
        </is>
      </c>
    </row>
    <row r="343">
      <c r="A343" s="10" t="inlineStr">
        <is>
          <t>WY-0149</t>
        </is>
      </c>
      <c r="B343" s="10" t="inlineStr">
        <is>
          <t>Smokers D'Lite</t>
        </is>
      </c>
      <c r="C343" s="10" t="inlineStr">
        <is>
          <t>Leeds</t>
        </is>
      </c>
      <c r="D343" s="10" t="inlineStr">
        <is>
          <t>https://ecigdirectory.co.uk/vape-shop-leeds/</t>
        </is>
      </c>
      <c r="E343" s="10" t="inlineStr">
        <is>
          <t>Directory</t>
        </is>
      </c>
      <c r="F343" s="10" t="inlineStr">
        <is>
          <t>2026-09-16</t>
        </is>
      </c>
      <c r="G343" s="10" t="inlineStr">
        <is>
          <t>name, verified-shop status (via search results)</t>
        </is>
      </c>
      <c r="H343" s="10" t="inlineStr">
        <is>
          <t>Requires Verification</t>
        </is>
      </c>
    </row>
    <row r="344">
      <c r="A344" s="5" t="inlineStr">
        <is>
          <t>WY-0149</t>
        </is>
      </c>
      <c r="B344" s="5" t="inlineStr">
        <is>
          <t>Smokers D'Lite</t>
        </is>
      </c>
      <c r="C344" s="5" t="inlineStr">
        <is>
          <t>Leeds</t>
        </is>
      </c>
      <c r="D344" s="5" t="inlineStr">
        <is>
          <t>https://www.vaporl.com/vape-store-in-leeds-find-an-electronic-cigarette-near-by</t>
        </is>
      </c>
      <c r="E344" s="5" t="inlineStr">
        <is>
          <t>Directory</t>
        </is>
      </c>
      <c r="F344" s="5" t="inlineStr">
        <is>
          <t>2026-09-16</t>
        </is>
      </c>
      <c r="G344" s="5" t="inlineStr">
        <is>
          <t>Thorntons Arcade address (via search results)</t>
        </is>
      </c>
      <c r="H344" s="5" t="inlineStr">
        <is>
          <t>Requires Verification</t>
        </is>
      </c>
    </row>
    <row r="345">
      <c r="A345" s="10" t="inlineStr">
        <is>
          <t>WY-0150</t>
        </is>
      </c>
      <c r="B345" s="10" t="inlineStr">
        <is>
          <t>Somers of Keighley</t>
        </is>
      </c>
      <c r="C345" s="10" t="inlineStr">
        <is>
          <t>Keighley</t>
        </is>
      </c>
      <c r="D345" s="10" t="inlineStr">
        <is>
          <t>https://www.yelp.com/biz/somers-of-keighley-keighley</t>
        </is>
      </c>
      <c r="E345" s="10" t="inlineStr">
        <is>
          <t>Directory</t>
        </is>
      </c>
      <c r="F345" s="10" t="inlineStr">
        <is>
          <t>2026-09-16</t>
        </is>
      </c>
      <c r="G345" s="10" t="inlineStr">
        <is>
          <t>address 1 Bow Street BD21 3PB, phone (search snippet)</t>
        </is>
      </c>
      <c r="H345" s="10" t="inlineStr">
        <is>
          <t>Requires Verification</t>
        </is>
      </c>
    </row>
    <row r="346">
      <c r="A346" s="5" t="inlineStr">
        <is>
          <t>WY-0150</t>
        </is>
      </c>
      <c r="B346" s="5" t="inlineStr">
        <is>
          <t>Somers of Keighley</t>
        </is>
      </c>
      <c r="C346" s="5" t="inlineStr">
        <is>
          <t>Keighley</t>
        </is>
      </c>
      <c r="D346" s="5" t="inlineStr">
        <is>
          <t>https://keighley.cylex-uk.co.uk/company/somers-of-keighley-13656771.html</t>
        </is>
      </c>
      <c r="E346" s="5" t="inlineStr">
        <is>
          <t>Directory</t>
        </is>
      </c>
      <c r="F346" s="5" t="inlineStr">
        <is>
          <t>2026-09-16</t>
        </is>
      </c>
      <c r="G346" s="5" t="inlineStr">
        <is>
          <t>listing cross-check (search result)</t>
        </is>
      </c>
      <c r="H346" s="5" t="inlineStr">
        <is>
          <t>Requires Verification</t>
        </is>
      </c>
    </row>
    <row r="347">
      <c r="A347" s="10" t="inlineStr">
        <is>
          <t>WY-0150</t>
        </is>
      </c>
      <c r="B347" s="10" t="inlineStr">
        <is>
          <t>Somers of Keighley</t>
        </is>
      </c>
      <c r="C347" s="10" t="inlineStr">
        <is>
          <t>Keighley</t>
        </is>
      </c>
      <c r="D347" s="10" t="inlineStr">
        <is>
          <t>https://citikey.uk/display/somers-tobacconists-CHA11</t>
        </is>
      </c>
      <c r="E347" s="10" t="inlineStr">
        <is>
          <t>Directory</t>
        </is>
      </c>
      <c r="F347" s="10" t="inlineStr">
        <is>
          <t>2026-09-16</t>
        </is>
      </c>
      <c r="G347" s="10" t="inlineStr">
        <is>
          <t>trading name Somers Tobacconists, Bow Street BD21 3PB (search snippet)</t>
        </is>
      </c>
      <c r="H347" s="10" t="inlineStr">
        <is>
          <t>Requires Verification</t>
        </is>
      </c>
    </row>
    <row r="348">
      <c r="A348" s="5" t="inlineStr">
        <is>
          <t>WY-0151</t>
        </is>
      </c>
      <c r="B348" s="5" t="inlineStr">
        <is>
          <t>Soothill Convenience Store &amp; Off Licence</t>
        </is>
      </c>
      <c r="C348" s="5" t="inlineStr">
        <is>
          <t>Batley</t>
        </is>
      </c>
      <c r="D348" s="5" t="inlineStr">
        <is>
          <t>https://find-and-update.company-information.service.gov.uk/company/11966163/persons-with-significant-control</t>
        </is>
      </c>
      <c r="E348" s="5" t="inlineStr">
        <is>
          <t>Companies House</t>
        </is>
      </c>
      <c r="F348" s="5" t="inlineStr">
        <is>
          <t>2026-09-16</t>
        </is>
      </c>
      <c r="G348" s="5" t="inlineStr">
        <is>
          <t>registered company name, company number</t>
        </is>
      </c>
      <c r="H348" s="5" t="inlineStr">
        <is>
          <t>Requires Verification</t>
        </is>
      </c>
    </row>
    <row r="349">
      <c r="A349" s="10" t="inlineStr">
        <is>
          <t>WY-0151</t>
        </is>
      </c>
      <c r="B349" s="10" t="inlineStr">
        <is>
          <t>Soothill Convenience Store &amp; Off Licence</t>
        </is>
      </c>
      <c r="C349" s="10" t="inlineStr">
        <is>
          <t>Batley</t>
        </is>
      </c>
      <c r="D349" s="10" t="inlineStr">
        <is>
          <t>https://open.endole.co.uk/insight/company/11966163-soothill-convenience-store-off-licence-limited</t>
        </is>
      </c>
      <c r="E349" s="10" t="inlineStr">
        <is>
          <t>Directory</t>
        </is>
      </c>
      <c r="F349" s="10" t="inlineStr">
        <is>
          <t>2026-09-16</t>
        </is>
      </c>
      <c r="G349" s="10" t="inlineStr">
        <is>
          <t>company profile existence</t>
        </is>
      </c>
      <c r="H349" s="10" t="inlineStr">
        <is>
          <t>Requires Verification</t>
        </is>
      </c>
    </row>
    <row r="350">
      <c r="A350" s="5" t="inlineStr">
        <is>
          <t>WY-0152</t>
        </is>
      </c>
      <c r="B350" s="5" t="inlineStr">
        <is>
          <t>Springfield Garage (Keighley)</t>
        </is>
      </c>
      <c r="C350" s="5" t="inlineStr">
        <is>
          <t>Keighley</t>
        </is>
      </c>
      <c r="D350" s="5" t="inlineStr">
        <is>
          <t>https://find-and-update.company-information.service.gov.uk/company/00871540</t>
        </is>
      </c>
      <c r="E350" s="5" t="inlineStr">
        <is>
          <t>Companies House</t>
        </is>
      </c>
      <c r="F350" s="5" t="inlineStr">
        <is>
          <t>2026-09-16</t>
        </is>
      </c>
      <c r="G350" s="5" t="inlineStr">
        <is>
          <t>company Springfield Garage (Keighley) Limited 00871540 (search result; direct fetch blocked)</t>
        </is>
      </c>
      <c r="H350" s="5" t="inlineStr">
        <is>
          <t>Partially Verified</t>
        </is>
      </c>
    </row>
    <row r="351">
      <c r="A351" s="10" t="inlineStr">
        <is>
          <t>WY-0152</t>
        </is>
      </c>
      <c r="B351" s="10" t="inlineStr">
        <is>
          <t>Springfield Garage (Keighley)</t>
        </is>
      </c>
      <c r="C351" s="10" t="inlineStr">
        <is>
          <t>Keighley</t>
        </is>
      </c>
      <c r="D351" s="10" t="inlineStr">
        <is>
          <t>https://www.mylocalservices.co.uk/Springfield+Garage-Keighley-2646735.html</t>
        </is>
      </c>
      <c r="E351" s="10" t="inlineStr">
        <is>
          <t>Directory</t>
        </is>
      </c>
      <c r="F351" s="10" t="inlineStr">
        <is>
          <t>2026-09-16</t>
        </is>
      </c>
      <c r="G351" s="10" t="inlineStr">
        <is>
          <t>address Oakworth Road BD21 1QQ, phone (search snippet)</t>
        </is>
      </c>
      <c r="H351" s="10" t="inlineStr">
        <is>
          <t>Partially Verified</t>
        </is>
      </c>
    </row>
    <row r="352">
      <c r="A352" s="5" t="inlineStr">
        <is>
          <t>WY-0152</t>
        </is>
      </c>
      <c r="B352" s="5" t="inlineStr">
        <is>
          <t>Springfield Garage (Keighley)</t>
        </is>
      </c>
      <c r="C352" s="5" t="inlineStr">
        <is>
          <t>Keighley</t>
        </is>
      </c>
      <c r="D352" s="5" t="inlineStr">
        <is>
          <t>https://www.fuelflash.eu/en/springfield-garage-keighley-ltd-keighley-united-kingdom-springfield-garage-_keighley_-ltd-oakworth-road-112600/</t>
        </is>
      </c>
      <c r="E352" s="5" t="inlineStr">
        <is>
          <t>Directory</t>
        </is>
      </c>
      <c r="F352" s="5" t="inlineStr">
        <is>
          <t>2026-09-16</t>
        </is>
      </c>
      <c r="G352" s="5" t="inlineStr">
        <is>
          <t>Gulf brand confirmation (search result)</t>
        </is>
      </c>
      <c r="H352" s="5" t="inlineStr">
        <is>
          <t>Partially Verified</t>
        </is>
      </c>
    </row>
    <row r="353">
      <c r="A353" s="10" t="inlineStr">
        <is>
          <t>WY-0153</t>
        </is>
      </c>
      <c r="B353" s="10" t="inlineStr">
        <is>
          <t>Stainbeck Off Licence (Best-one)</t>
        </is>
      </c>
      <c r="C353" s="10" t="inlineStr">
        <is>
          <t>Leeds</t>
        </is>
      </c>
      <c r="D353" s="10" t="inlineStr">
        <is>
          <t>https://www.yorkshire.com/chapel-allerton/shopping/off-license</t>
        </is>
      </c>
      <c r="E353" s="10" t="inlineStr">
        <is>
          <t>Directory</t>
        </is>
      </c>
      <c r="F353" s="10" t="inlineStr">
        <is>
          <t>2026-09-16</t>
        </is>
      </c>
      <c r="G353" s="10" t="inlineStr">
        <is>
          <t>name, area, Best-one affiliation (via search results)</t>
        </is>
      </c>
      <c r="H353" s="10" t="inlineStr">
        <is>
          <t>Requires Verification</t>
        </is>
      </c>
    </row>
    <row r="354">
      <c r="A354" s="5" t="inlineStr">
        <is>
          <t>WY-0154</t>
        </is>
      </c>
      <c r="B354" s="5" t="inlineStr">
        <is>
          <t>Star Express Off-Licence &amp; Convenience Store</t>
        </is>
      </c>
      <c r="C354" s="5" t="inlineStr">
        <is>
          <t>Huddersfield</t>
        </is>
      </c>
      <c r="D354" s="5" t="inlineStr">
        <is>
          <t>https://www.yorkshire.com/huddersfield/shopping/off-license/star-express-off-licence-convenience-store</t>
        </is>
      </c>
      <c r="E354" s="5" t="inlineStr">
        <is>
          <t>Directory</t>
        </is>
      </c>
      <c r="F354" s="5" t="inlineStr">
        <is>
          <t>2026-09-16</t>
        </is>
      </c>
      <c r="G354" s="5" t="inlineStr">
        <is>
          <t>name, street, hours</t>
        </is>
      </c>
      <c r="H354" s="5" t="inlineStr">
        <is>
          <t>Requires Verification</t>
        </is>
      </c>
    </row>
    <row r="355">
      <c r="A355" s="10" t="inlineStr">
        <is>
          <t>WY-0155</t>
        </is>
      </c>
      <c r="B355" s="10" t="inlineStr">
        <is>
          <t>Stringers Service Station</t>
        </is>
      </c>
      <c r="C355" s="10" t="inlineStr">
        <is>
          <t>Pontefract</t>
        </is>
      </c>
      <c r="D355" s="10" t="inlineStr">
        <is>
          <t>https://www.petrolprices.com/locations/pontefract/grove-road/6837</t>
        </is>
      </c>
      <c r="E355" s="10" t="inlineStr">
        <is>
          <t>Directory</t>
        </is>
      </c>
      <c r="F355" s="10" t="inlineStr">
        <is>
          <t>2026-09-16</t>
        </is>
      </c>
      <c r="G355" s="10" t="inlineStr">
        <is>
          <t>site listing, Murco branding, WF8 1PN</t>
        </is>
      </c>
      <c r="H355" s="10" t="inlineStr">
        <is>
          <t>Requires Verification</t>
        </is>
      </c>
    </row>
    <row r="356">
      <c r="A356" s="5" t="inlineStr">
        <is>
          <t>WY-0155</t>
        </is>
      </c>
      <c r="B356" s="5" t="inlineStr">
        <is>
          <t>Stringers Service Station</t>
        </is>
      </c>
      <c r="C356" s="5" t="inlineStr">
        <is>
          <t>Pontefract</t>
        </is>
      </c>
      <c r="D356" s="5" t="inlineStr">
        <is>
          <t>https://ratings.food.gov.uk/business/313271/stringers-service-station-pontefract</t>
        </is>
      </c>
      <c r="E356" s="5" t="inlineStr">
        <is>
          <t>Other</t>
        </is>
      </c>
      <c r="F356" s="5" t="inlineStr">
        <is>
          <t>2026-09-16</t>
        </is>
      </c>
      <c r="G356" s="5" t="inlineStr">
        <is>
          <t>FSA listing, address 102 Southgate</t>
        </is>
      </c>
      <c r="H356" s="5" t="inlineStr">
        <is>
          <t>Requires Verification</t>
        </is>
      </c>
    </row>
    <row r="357">
      <c r="A357" s="10" t="inlineStr">
        <is>
          <t>WY-0156</t>
        </is>
      </c>
      <c r="B357" s="10" t="inlineStr">
        <is>
          <t>Suki's Cash &amp; Carry</t>
        </is>
      </c>
      <c r="C357" s="10" t="inlineStr">
        <is>
          <t>Bradford</t>
        </is>
      </c>
      <c r="D357" s="10" t="inlineStr">
        <is>
          <t>https://sukiscashandcarry.co.uk/</t>
        </is>
      </c>
      <c r="E357" s="10" t="inlineStr">
        <is>
          <t>Official Website</t>
        </is>
      </c>
      <c r="F357" s="10" t="inlineStr">
        <is>
          <t>2026-09-16</t>
        </is>
      </c>
      <c r="G357" s="10" t="inlineStr">
        <is>
          <t>address Garnett Street BD3 9HN, product range (search snippet; fetch blocked)</t>
        </is>
      </c>
      <c r="H357" s="10" t="inlineStr">
        <is>
          <t>Partially Verified</t>
        </is>
      </c>
    </row>
    <row r="358">
      <c r="A358" s="5" t="inlineStr">
        <is>
          <t>WY-0156</t>
        </is>
      </c>
      <c r="B358" s="5" t="inlineStr">
        <is>
          <t>Suki's Cash &amp; Carry</t>
        </is>
      </c>
      <c r="C358" s="5" t="inlineStr">
        <is>
          <t>Bradford</t>
        </is>
      </c>
      <c r="D358" s="5" t="inlineStr">
        <is>
          <t>https://www.yell.com/biz/suki-cash-and-carry-bradford-917912/</t>
        </is>
      </c>
      <c r="E358" s="5" t="inlineStr">
        <is>
          <t>Yell</t>
        </is>
      </c>
      <c r="F358" s="5" t="inlineStr">
        <is>
          <t>2026-09-16</t>
        </is>
      </c>
      <c r="G358" s="5" t="inlineStr">
        <is>
          <t>listing cross-check (search result)</t>
        </is>
      </c>
      <c r="H358" s="5" t="inlineStr">
        <is>
          <t>Partially Verified</t>
        </is>
      </c>
    </row>
    <row r="359">
      <c r="A359" s="10" t="inlineStr">
        <is>
          <t>WY-0156</t>
        </is>
      </c>
      <c r="B359" s="10" t="inlineStr">
        <is>
          <t>Suki's Cash &amp; Carry</t>
        </is>
      </c>
      <c r="C359" s="10" t="inlineStr">
        <is>
          <t>Bradford</t>
        </is>
      </c>
      <c r="D359" s="10" t="inlineStr">
        <is>
          <t>https://www.britaine.co.uk/suki-cash-carry-F120DC90718D447</t>
        </is>
      </c>
      <c r="E359" s="10" t="inlineStr">
        <is>
          <t>Directory</t>
        </is>
      </c>
      <c r="F359" s="10" t="inlineStr">
        <is>
          <t>2026-09-16</t>
        </is>
      </c>
      <c r="G359" s="10" t="inlineStr">
        <is>
          <t>phone 01274 736093 (search snippet)</t>
        </is>
      </c>
      <c r="H359" s="10" t="inlineStr">
        <is>
          <t>Partially Verified</t>
        </is>
      </c>
    </row>
    <row r="360">
      <c r="A360" s="5" t="inlineStr">
        <is>
          <t>WY-0156</t>
        </is>
      </c>
      <c r="B360" s="5" t="inlineStr">
        <is>
          <t>Suki's Cash &amp; Carry</t>
        </is>
      </c>
      <c r="C360" s="5" t="inlineStr">
        <is>
          <t>Bradford</t>
        </is>
      </c>
      <c r="D360" s="5" t="inlineStr">
        <is>
          <t>https://sukiscashandcarry.co.uk/pages/contact-us</t>
        </is>
      </c>
      <c r="E360" s="5" t="inlineStr">
        <is>
          <t>Official Website</t>
        </is>
      </c>
      <c r="F360" s="5" t="inlineStr">
        <is>
          <t>2026-09-16</t>
        </is>
      </c>
      <c r="G360" s="5" t="inlineStr">
        <is>
          <t>contact page (via search extraction)</t>
        </is>
      </c>
      <c r="H360" s="5" t="inlineStr">
        <is>
          <t>Partially Verified</t>
        </is>
      </c>
    </row>
    <row r="361">
      <c r="A361" s="10" t="inlineStr">
        <is>
          <t>WY-0156</t>
        </is>
      </c>
      <c r="B361" s="10" t="inlineStr">
        <is>
          <t>Suki's Cash &amp; Carry</t>
        </is>
      </c>
      <c r="C361" s="10" t="inlineStr">
        <is>
          <t>Bradford</t>
        </is>
      </c>
      <c r="D361" s="10" t="inlineStr">
        <is>
          <t>https://www.yelp.com/biz/sukis-cash-and-carry-wholesalers-bradford</t>
        </is>
      </c>
      <c r="E361" s="10" t="inlineStr">
        <is>
          <t>Directory</t>
        </is>
      </c>
      <c r="F361" s="10" t="inlineStr">
        <is>
          <t>2026-09-16</t>
        </is>
      </c>
      <c r="G361" s="10" t="inlineStr">
        <is>
          <t>address, phone, hours</t>
        </is>
      </c>
      <c r="H361" s="10" t="inlineStr">
        <is>
          <t>Partially Verified</t>
        </is>
      </c>
    </row>
    <row r="362">
      <c r="A362" s="5" t="inlineStr">
        <is>
          <t>WY-0156</t>
        </is>
      </c>
      <c r="B362" s="5" t="inlineStr">
        <is>
          <t>Suki's Cash &amp; Carry</t>
        </is>
      </c>
      <c r="C362" s="5" t="inlineStr">
        <is>
          <t>Bradford</t>
        </is>
      </c>
      <c r="D362" s="5" t="inlineStr">
        <is>
          <t>https://www.facebook.com/sukiscashandcarry/</t>
        </is>
      </c>
      <c r="E362" s="5" t="inlineStr">
        <is>
          <t>Facebook</t>
        </is>
      </c>
      <c r="F362" s="5" t="inlineStr">
        <is>
          <t>2026-09-16</t>
        </is>
      </c>
      <c r="G362" s="5" t="inlineStr">
        <is>
          <t>social (facebook, instagram)</t>
        </is>
      </c>
      <c r="H362" s="5" t="inlineStr">
        <is>
          <t>Partially Verified</t>
        </is>
      </c>
    </row>
    <row r="363">
      <c r="A363" s="10" t="inlineStr">
        <is>
          <t>WY-0157</t>
        </is>
      </c>
      <c r="B363" s="10" t="inlineStr">
        <is>
          <t>Sup Mirfield</t>
        </is>
      </c>
      <c r="C363" s="10" t="inlineStr">
        <is>
          <t>Mirfield</t>
        </is>
      </c>
      <c r="D363" s="10" t="inlineStr">
        <is>
          <t>https://www.facebook.com/supmirfield/</t>
        </is>
      </c>
      <c r="E363" s="10" t="inlineStr">
        <is>
          <t>Facebook</t>
        </is>
      </c>
      <c r="F363" s="10" t="inlineStr">
        <is>
          <t>2026-09-16</t>
        </is>
      </c>
      <c r="G363" s="10" t="inlineStr">
        <is>
          <t>address, phone</t>
        </is>
      </c>
      <c r="H363" s="10" t="inlineStr">
        <is>
          <t>Requires Verification</t>
        </is>
      </c>
    </row>
    <row r="364">
      <c r="A364" s="5" t="inlineStr">
        <is>
          <t>WY-0158</t>
        </is>
      </c>
      <c r="B364" s="5" t="inlineStr">
        <is>
          <t>Thali Outlet</t>
        </is>
      </c>
      <c r="C364" s="5" t="inlineStr">
        <is>
          <t>Leeds</t>
        </is>
      </c>
      <c r="D364" s="5" t="inlineStr">
        <is>
          <t>https://www.thalioutlet.com/pages/contact</t>
        </is>
      </c>
      <c r="E364" s="5" t="inlineStr">
        <is>
          <t>Official Website</t>
        </is>
      </c>
      <c r="F364" s="5" t="inlineStr">
        <is>
          <t>2026-09-16</t>
        </is>
      </c>
      <c r="G364" s="5" t="inlineStr">
        <is>
          <t>address, contact page (via search results; direct fetch blocked by proxy)</t>
        </is>
      </c>
      <c r="H364" s="5" t="inlineStr">
        <is>
          <t>Requires Verification</t>
        </is>
      </c>
    </row>
    <row r="365">
      <c r="A365" s="10" t="inlineStr">
        <is>
          <t>WY-0158</t>
        </is>
      </c>
      <c r="B365" s="10" t="inlineStr">
        <is>
          <t>Thali Outlet</t>
        </is>
      </c>
      <c r="C365" s="10" t="inlineStr">
        <is>
          <t>Leeds</t>
        </is>
      </c>
      <c r="D365" s="10" t="inlineStr">
        <is>
          <t>https://www.thomsonlocal.com/search/party-goods-novelties/leeds/thali-outlet/1678928/01133948000</t>
        </is>
      </c>
      <c r="E365" s="10" t="inlineStr">
        <is>
          <t>Directory</t>
        </is>
      </c>
      <c r="F365" s="10" t="inlineStr">
        <is>
          <t>2026-09-16</t>
        </is>
      </c>
      <c r="G365" s="10" t="inlineStr">
        <is>
          <t>phone 0113 394 8000 (via search results)</t>
        </is>
      </c>
      <c r="H365" s="10" t="inlineStr">
        <is>
          <t>Requires Verification</t>
        </is>
      </c>
    </row>
    <row r="366">
      <c r="A366" s="5" t="inlineStr">
        <is>
          <t>WY-0158</t>
        </is>
      </c>
      <c r="B366" s="5" t="inlineStr">
        <is>
          <t>Thali Outlet</t>
        </is>
      </c>
      <c r="C366" s="5" t="inlineStr">
        <is>
          <t>Leeds</t>
        </is>
      </c>
      <c r="D366" s="5" t="inlineStr">
        <is>
          <t>https://gb.kompass.com/c/thali-outlet/gb08555459/</t>
        </is>
      </c>
      <c r="E366" s="5" t="inlineStr">
        <is>
          <t>Directory</t>
        </is>
      </c>
      <c r="F366" s="5" t="inlineStr">
        <is>
          <t>2026-09-16</t>
        </is>
      </c>
      <c r="G366" s="5" t="inlineStr">
        <is>
          <t>legal name and company number (via search results)</t>
        </is>
      </c>
      <c r="H366" s="5" t="inlineStr">
        <is>
          <t>Requires Verification</t>
        </is>
      </c>
    </row>
    <row r="367">
      <c r="A367" s="10" t="inlineStr">
        <is>
          <t>WY-0159</t>
        </is>
      </c>
      <c r="B367" s="10" t="inlineStr">
        <is>
          <t>The Local: Elland</t>
        </is>
      </c>
      <c r="C367" s="10" t="inlineStr">
        <is>
          <t>Elland</t>
        </is>
      </c>
      <c r="D367" s="10" t="inlineStr">
        <is>
          <t>https://www.yorkshire.com/elland/shopping/off-license</t>
        </is>
      </c>
      <c r="E367" s="10" t="inlineStr">
        <is>
          <t>Directory</t>
        </is>
      </c>
      <c r="F367" s="10" t="inlineStr">
        <is>
          <t>2026-09-16</t>
        </is>
      </c>
      <c r="G367" s="10" t="inlineStr">
        <is>
          <t>name, address, postcode, description</t>
        </is>
      </c>
      <c r="H367" s="10" t="inlineStr">
        <is>
          <t>Requires Verification</t>
        </is>
      </c>
    </row>
    <row r="368">
      <c r="A368" s="5" t="inlineStr">
        <is>
          <t>WY-0160</t>
        </is>
      </c>
      <c r="B368" s="5" t="inlineStr">
        <is>
          <t>The Shisha Shop Bradford</t>
        </is>
      </c>
      <c r="C368" s="5" t="inlineStr">
        <is>
          <t>Bradford</t>
        </is>
      </c>
      <c r="D368" s="5" t="inlineStr">
        <is>
          <t>https://www.instagram.com/theshishashopbradford/</t>
        </is>
      </c>
      <c r="E368" s="5" t="inlineStr">
        <is>
          <t>Instagram</t>
        </is>
      </c>
      <c r="F368" s="5" t="inlineStr">
        <is>
          <t>2026-09-16</t>
        </is>
      </c>
      <c r="G368" s="5" t="inlineStr">
        <is>
          <t>address 61 Leeds Road BD1 5DY, WhatsApp number, retail+wholesale offer (search snippet)</t>
        </is>
      </c>
      <c r="H368" s="5" t="inlineStr">
        <is>
          <t>Requires Verification</t>
        </is>
      </c>
    </row>
    <row r="369">
      <c r="A369" s="10" t="inlineStr">
        <is>
          <t>WY-0161</t>
        </is>
      </c>
      <c r="B369" s="10" t="inlineStr">
        <is>
          <t>The Vape Hub</t>
        </is>
      </c>
      <c r="C369" s="10" t="inlineStr">
        <is>
          <t>Bradford</t>
        </is>
      </c>
      <c r="D369" s="10" t="inlineStr">
        <is>
          <t>https://bradford.cylex-uk.co.uk/company/the-vape-hub-27487259.html</t>
        </is>
      </c>
      <c r="E369" s="10" t="inlineStr">
        <is>
          <t>Directory</t>
        </is>
      </c>
      <c r="F369" s="10" t="inlineStr">
        <is>
          <t>2026-09-16</t>
        </is>
      </c>
      <c r="G369" s="10" t="inlineStr">
        <is>
          <t>address 105b Cooper Lane BD6 3PB, phone (search snippet)</t>
        </is>
      </c>
      <c r="H369" s="10" t="inlineStr">
        <is>
          <t>Requires Verification</t>
        </is>
      </c>
    </row>
    <row r="370">
      <c r="A370" s="5" t="inlineStr">
        <is>
          <t>WY-0161</t>
        </is>
      </c>
      <c r="B370" s="5" t="inlineStr">
        <is>
          <t>The Vape Hub</t>
        </is>
      </c>
      <c r="C370" s="5" t="inlineStr">
        <is>
          <t>Bradford</t>
        </is>
      </c>
      <c r="D370" s="5" t="inlineStr">
        <is>
          <t>https://www.yell.com/biz/the-vape-hub-bradford-10128282/</t>
        </is>
      </c>
      <c r="E370" s="5" t="inlineStr">
        <is>
          <t>Yell</t>
        </is>
      </c>
      <c r="F370" s="5" t="inlineStr">
        <is>
          <t>2026-09-16</t>
        </is>
      </c>
      <c r="G370" s="5" t="inlineStr">
        <is>
          <t>listing cross-check (search snippet)</t>
        </is>
      </c>
      <c r="H370" s="5" t="inlineStr">
        <is>
          <t>Requires Verification</t>
        </is>
      </c>
    </row>
    <row r="371">
      <c r="A371" s="10" t="inlineStr">
        <is>
          <t>WY-0161</t>
        </is>
      </c>
      <c r="B371" s="10" t="inlineStr">
        <is>
          <t>The Vape Hub</t>
        </is>
      </c>
      <c r="C371" s="10" t="inlineStr">
        <is>
          <t>Bradford</t>
        </is>
      </c>
      <c r="D371" s="10" t="inlineStr">
        <is>
          <t>https://www.facebook.com/tvhbradford/</t>
        </is>
      </c>
      <c r="E371" s="10" t="inlineStr">
        <is>
          <t>Facebook</t>
        </is>
      </c>
      <c r="F371" s="10" t="inlineStr">
        <is>
          <t>2026-09-16</t>
        </is>
      </c>
      <c r="G371" s="10" t="inlineStr">
        <is>
          <t>active Facebook page</t>
        </is>
      </c>
      <c r="H371" s="10" t="inlineStr">
        <is>
          <t>Requires Verification</t>
        </is>
      </c>
    </row>
    <row r="372">
      <c r="A372" s="5" t="inlineStr">
        <is>
          <t>WY-0162</t>
        </is>
      </c>
      <c r="B372" s="5" t="inlineStr">
        <is>
          <t>The Vape Shop Wakefield</t>
        </is>
      </c>
      <c r="C372" s="5" t="inlineStr">
        <is>
          <t>Wakefield</t>
        </is>
      </c>
      <c r="D372" s="5" t="inlineStr">
        <is>
          <t>https://www.facebook.com/vapeshopwakefield.uk/</t>
        </is>
      </c>
      <c r="E372" s="5" t="inlineStr">
        <is>
          <t>Facebook</t>
        </is>
      </c>
      <c r="F372" s="5" t="inlineStr">
        <is>
          <t>2026-09-16</t>
        </is>
      </c>
      <c r="G372" s="5" t="inlineStr">
        <is>
          <t>existence, description</t>
        </is>
      </c>
      <c r="H372" s="5" t="inlineStr">
        <is>
          <t>Requires Verification</t>
        </is>
      </c>
    </row>
    <row r="373">
      <c r="A373" s="10" t="inlineStr">
        <is>
          <t>WY-0162</t>
        </is>
      </c>
      <c r="B373" s="10" t="inlineStr">
        <is>
          <t>The Vape Shop Wakefield</t>
        </is>
      </c>
      <c r="C373" s="10" t="inlineStr">
        <is>
          <t>Wakefield</t>
        </is>
      </c>
      <c r="D373" s="10" t="inlineStr">
        <is>
          <t>https://wakefield.cylex-uk.co.uk/company/the-vape-shop-26780276.html</t>
        </is>
      </c>
      <c r="E373" s="10" t="inlineStr">
        <is>
          <t>Directory</t>
        </is>
      </c>
      <c r="F373" s="10" t="inlineStr">
        <is>
          <t>2026-09-16</t>
        </is>
      </c>
      <c r="G373" s="10" t="inlineStr">
        <is>
          <t>location Horbury Road, Wakefield</t>
        </is>
      </c>
      <c r="H373" s="10" t="inlineStr">
        <is>
          <t>Requires Verification</t>
        </is>
      </c>
    </row>
    <row r="374">
      <c r="A374" s="5" t="inlineStr">
        <is>
          <t>WY-0163</t>
        </is>
      </c>
      <c r="B374" s="5" t="inlineStr">
        <is>
          <t>The Vintage Vapour Co</t>
        </is>
      </c>
      <c r="C374" s="5" t="inlineStr">
        <is>
          <t>Ossett</t>
        </is>
      </c>
      <c r="D374" s="5" t="inlineStr">
        <is>
          <t>https://vapegeezer.co.uk/vape-shop-directory/locations/west-yorkshire/</t>
        </is>
      </c>
      <c r="E374" s="5" t="inlineStr">
        <is>
          <t>Directory</t>
        </is>
      </c>
      <c r="F374" s="5" t="inlineStr">
        <is>
          <t>2026-09-16</t>
        </is>
      </c>
      <c r="G374" s="5" t="inlineStr">
        <is>
          <t>name, address 12 Town End, Ossett WF5 8BJ (via search snippet)</t>
        </is>
      </c>
      <c r="H374" s="5" t="inlineStr">
        <is>
          <t>Requires Verification</t>
        </is>
      </c>
    </row>
    <row r="375">
      <c r="A375" s="10" t="inlineStr">
        <is>
          <t>WY-0164</t>
        </is>
      </c>
      <c r="B375" s="10" t="inlineStr">
        <is>
          <t>Thornhill Convenience Store</t>
        </is>
      </c>
      <c r="C375" s="10" t="inlineStr">
        <is>
          <t>Dewsbury</t>
        </is>
      </c>
      <c r="D375" s="10" t="inlineStr">
        <is>
          <t>https://dewsbury.cylex-uk.co.uk/company/thornhill-convenience-store-28660320.html</t>
        </is>
      </c>
      <c r="E375" s="10" t="inlineStr">
        <is>
          <t>Directory</t>
        </is>
      </c>
      <c r="F375" s="10" t="inlineStr">
        <is>
          <t>2026-09-16</t>
        </is>
      </c>
      <c r="G375" s="10" t="inlineStr">
        <is>
          <t>address, postcode, phone</t>
        </is>
      </c>
      <c r="H375" s="10" t="inlineStr">
        <is>
          <t>Requires Verification</t>
        </is>
      </c>
    </row>
    <row r="376">
      <c r="A376" s="5" t="inlineStr">
        <is>
          <t>WY-0165</t>
        </is>
      </c>
      <c r="B376" s="5" t="inlineStr">
        <is>
          <t>Todmorden Newscentre</t>
        </is>
      </c>
      <c r="C376" s="5" t="inlineStr">
        <is>
          <t>Todmorden</t>
        </is>
      </c>
      <c r="D376" s="5" t="inlineStr">
        <is>
          <t>https://www.yell.com/biz/todmorden-newscentre-ltd-formerly-cryers-news-todmorden-1105850/</t>
        </is>
      </c>
      <c r="E376" s="5" t="inlineStr">
        <is>
          <t>Yell</t>
        </is>
      </c>
      <c r="F376" s="5" t="inlineStr">
        <is>
          <t>2026-09-16</t>
        </is>
      </c>
      <c r="G376" s="5" t="inlineStr">
        <is>
          <t>name, address</t>
        </is>
      </c>
      <c r="H376" s="5" t="inlineStr">
        <is>
          <t>Partially Verified</t>
        </is>
      </c>
    </row>
    <row r="377">
      <c r="A377" s="10" t="inlineStr">
        <is>
          <t>WY-0165</t>
        </is>
      </c>
      <c r="B377" s="10" t="inlineStr">
        <is>
          <t>Todmorden Newscentre</t>
        </is>
      </c>
      <c r="C377" s="10" t="inlineStr">
        <is>
          <t>Todmorden</t>
        </is>
      </c>
      <c r="D377" s="10" t="inlineStr">
        <is>
          <t>https://find-and-update.company-information.service.gov.uk/company/07292504</t>
        </is>
      </c>
      <c r="E377" s="10" t="inlineStr">
        <is>
          <t>Companies House</t>
        </is>
      </c>
      <c r="F377" s="10" t="inlineStr">
        <is>
          <t>2026-09-16</t>
        </is>
      </c>
      <c r="G377" s="10" t="inlineStr">
        <is>
          <t>company number, status, incorporation date, registered office, SIC (via search snippet)</t>
        </is>
      </c>
      <c r="H377" s="10" t="inlineStr">
        <is>
          <t>Partially Verified</t>
        </is>
      </c>
    </row>
    <row r="378">
      <c r="A378" s="5" t="inlineStr">
        <is>
          <t>WY-0165</t>
        </is>
      </c>
      <c r="B378" s="5" t="inlineStr">
        <is>
          <t>Todmorden Newscentre</t>
        </is>
      </c>
      <c r="C378" s="5" t="inlineStr">
        <is>
          <t>Todmorden</t>
        </is>
      </c>
      <c r="D378" s="5" t="inlineStr">
        <is>
          <t>https://directory.hinckleytimes.net/company/1520433816113152</t>
        </is>
      </c>
      <c r="E378" s="5" t="inlineStr">
        <is>
          <t>Directory</t>
        </is>
      </c>
      <c r="F378" s="5" t="inlineStr">
        <is>
          <t>2026-09-16</t>
        </is>
      </c>
      <c r="G378" s="5" t="inlineStr">
        <is>
          <t>address, postcode, phone</t>
        </is>
      </c>
      <c r="H378" s="5" t="inlineStr">
        <is>
          <t>Partially Verified</t>
        </is>
      </c>
    </row>
    <row r="379">
      <c r="A379" s="10" t="inlineStr">
        <is>
          <t>WY-0166</t>
        </is>
      </c>
      <c r="B379" s="10" t="inlineStr">
        <is>
          <t>Told Vape Co</t>
        </is>
      </c>
      <c r="C379" s="10" t="inlineStr">
        <is>
          <t>Horbury</t>
        </is>
      </c>
      <c r="D379" s="10" t="inlineStr">
        <is>
          <t>https://ecigdirectory.co.uk/vape-shop/listing/told-vape-co</t>
        </is>
      </c>
      <c r="E379" s="10" t="inlineStr">
        <is>
          <t>Directory</t>
        </is>
      </c>
      <c r="F379" s="10" t="inlineStr">
        <is>
          <t>2026-09-16</t>
        </is>
      </c>
      <c r="G379" s="10" t="inlineStr">
        <is>
          <t>address 29 Queen Street, Horbury WF4 6LP</t>
        </is>
      </c>
      <c r="H379" s="10" t="inlineStr">
        <is>
          <t>Requires Verification</t>
        </is>
      </c>
    </row>
    <row r="380">
      <c r="A380" s="5" t="inlineStr">
        <is>
          <t>WY-0167</t>
        </is>
      </c>
      <c r="B380" s="5" t="inlineStr">
        <is>
          <t>Top Shelf Off Licence</t>
        </is>
      </c>
      <c r="C380" s="5" t="inlineStr">
        <is>
          <t>Wakefield</t>
        </is>
      </c>
      <c r="D380" s="5" t="inlineStr">
        <is>
          <t>https://www.foodhygienerankings.co.uk/authorities/wakefield</t>
        </is>
      </c>
      <c r="E380" s="5" t="inlineStr">
        <is>
          <t>Other</t>
        </is>
      </c>
      <c r="F380" s="5" t="inlineStr">
        <is>
          <t>2026-09-16</t>
        </is>
      </c>
      <c r="G380" s="5" t="inlineStr">
        <is>
          <t>name and address 557 Leeds Road, Outwood WF1 2JL (via search snippet)</t>
        </is>
      </c>
      <c r="H380" s="5" t="inlineStr">
        <is>
          <t>Requires Verification</t>
        </is>
      </c>
    </row>
    <row r="381">
      <c r="A381" s="10" t="inlineStr">
        <is>
          <t>WY-0168</t>
        </is>
      </c>
      <c r="B381" s="10" t="inlineStr">
        <is>
          <t>Turners Food &amp; Wine</t>
        </is>
      </c>
      <c r="C381" s="10" t="inlineStr">
        <is>
          <t>Leeds</t>
        </is>
      </c>
      <c r="D381" s="10" t="inlineStr">
        <is>
          <t>https://www.yorkshire.com/leeds/shopping/off-license</t>
        </is>
      </c>
      <c r="E381" s="10" t="inlineStr">
        <is>
          <t>Directory</t>
        </is>
      </c>
      <c r="F381" s="10" t="inlineStr">
        <is>
          <t>2026-09-16</t>
        </is>
      </c>
      <c r="G381" s="10" t="inlineStr">
        <is>
          <t>name, legal name, Beeston location (via search results)</t>
        </is>
      </c>
      <c r="H381" s="10" t="inlineStr">
        <is>
          <t>Requires Verification</t>
        </is>
      </c>
    </row>
    <row r="382">
      <c r="A382" s="5" t="inlineStr">
        <is>
          <t>WY-0169</t>
        </is>
      </c>
      <c r="B382" s="5" t="inlineStr">
        <is>
          <t>Tylor's Booze</t>
        </is>
      </c>
      <c r="C382" s="5" t="inlineStr">
        <is>
          <t>Castleford</t>
        </is>
      </c>
      <c r="D382" s="5" t="inlineStr">
        <is>
          <t>https://www.yorkshire.com/castleford/shopping/off-license/tylors-booze</t>
        </is>
      </c>
      <c r="E382" s="5" t="inlineStr">
        <is>
          <t>Directory</t>
        </is>
      </c>
      <c r="F382" s="5" t="inlineStr">
        <is>
          <t>2026-09-16</t>
        </is>
      </c>
      <c r="G382" s="5" t="inlineStr">
        <is>
          <t>address 33 Albion Street WF10 1EG</t>
        </is>
      </c>
      <c r="H382" s="5" t="inlineStr">
        <is>
          <t>Partially Verified</t>
        </is>
      </c>
    </row>
    <row r="383">
      <c r="A383" s="10" t="inlineStr">
        <is>
          <t>WY-0169</t>
        </is>
      </c>
      <c r="B383" s="10" t="inlineStr">
        <is>
          <t>Tylor's Booze</t>
        </is>
      </c>
      <c r="C383" s="10" t="inlineStr">
        <is>
          <t>Castleford</t>
        </is>
      </c>
      <c r="D383" s="10" t="inlineStr">
        <is>
          <t>https://find-and-update.company-information.service.gov.uk/company/12100725</t>
        </is>
      </c>
      <c r="E383" s="10" t="inlineStr">
        <is>
          <t>Companies House</t>
        </is>
      </c>
      <c r="F383" s="10" t="inlineStr">
        <is>
          <t>2026-09-16</t>
        </is>
      </c>
      <c r="G383" s="10" t="inlineStr">
        <is>
          <t>company number, incorporation 12 July 2019, active (via search snippet)</t>
        </is>
      </c>
      <c r="H383" s="10" t="inlineStr">
        <is>
          <t>Partially Verified</t>
        </is>
      </c>
    </row>
    <row r="384">
      <c r="A384" s="5" t="inlineStr">
        <is>
          <t>WY-0169</t>
        </is>
      </c>
      <c r="B384" s="5" t="inlineStr">
        <is>
          <t>Tylor's Booze</t>
        </is>
      </c>
      <c r="C384" s="5" t="inlineStr">
        <is>
          <t>Castleford</t>
        </is>
      </c>
      <c r="D384" s="5" t="inlineStr">
        <is>
          <t>https://ratings.food.gov.uk/business/1603061</t>
        </is>
      </c>
      <c r="E384" s="5" t="inlineStr">
        <is>
          <t>Other</t>
        </is>
      </c>
      <c r="F384" s="5" t="inlineStr">
        <is>
          <t>2026-09-16</t>
        </is>
      </c>
      <c r="G384" s="5" t="inlineStr">
        <is>
          <t>FSA hygiene listing (existence cross-check)</t>
        </is>
      </c>
      <c r="H384" s="5" t="inlineStr">
        <is>
          <t>Partially Verified</t>
        </is>
      </c>
    </row>
    <row r="385">
      <c r="A385" s="10" t="inlineStr">
        <is>
          <t>WY-0169</t>
        </is>
      </c>
      <c r="B385" s="10" t="inlineStr">
        <is>
          <t>Tylor's Booze</t>
        </is>
      </c>
      <c r="C385" s="10" t="inlineStr">
        <is>
          <t>Castleford</t>
        </is>
      </c>
      <c r="D385" s="10" t="inlineStr">
        <is>
          <t>https://www.wakefieldexpress.co.uk/news/crime/castleford-shop-surrenders-booze-licence-after-west-yorkshire-police-allegedly-find-counterfeit-cigarettes-3258964</t>
        </is>
      </c>
      <c r="E385" s="10" t="inlineStr">
        <is>
          <t>News / Trade Press</t>
        </is>
      </c>
      <c r="F385" s="10" t="inlineStr">
        <is>
          <t>2026-09-16</t>
        </is>
      </c>
      <c r="G385" s="10" t="inlineStr">
        <is>
          <t>possible licensing issue (unconfirmed link to this business)</t>
        </is>
      </c>
      <c r="H385" s="10" t="inlineStr">
        <is>
          <t>Partially Verified</t>
        </is>
      </c>
    </row>
    <row r="386">
      <c r="A386" s="5" t="inlineStr">
        <is>
          <t>WY-0170</t>
        </is>
      </c>
      <c r="B386" s="5" t="inlineStr">
        <is>
          <t>Umrah Supermarket</t>
        </is>
      </c>
      <c r="C386" s="5" t="inlineStr">
        <is>
          <t>Huddersfield</t>
        </is>
      </c>
      <c r="D386" s="5" t="inlineStr">
        <is>
          <t>https://www.yorkshire.com/huddersfield/shopping/supermarkets/umrah-supermarket-huddersfield</t>
        </is>
      </c>
      <c r="E386" s="5" t="inlineStr">
        <is>
          <t>Directory</t>
        </is>
      </c>
      <c r="F386" s="5" t="inlineStr">
        <is>
          <t>2026-09-16</t>
        </is>
      </c>
      <c r="G386" s="5" t="inlineStr">
        <is>
          <t>street, hours</t>
        </is>
      </c>
      <c r="H386" s="5" t="inlineStr">
        <is>
          <t>Requires Verification</t>
        </is>
      </c>
    </row>
    <row r="387">
      <c r="A387" s="10" t="inlineStr">
        <is>
          <t>WY-0170</t>
        </is>
      </c>
      <c r="B387" s="10" t="inlineStr">
        <is>
          <t>Umrah Supermarket</t>
        </is>
      </c>
      <c r="C387" s="10" t="inlineStr">
        <is>
          <t>Huddersfield</t>
        </is>
      </c>
      <c r="D387" s="10" t="inlineStr">
        <is>
          <t>https://www.facebook.com/p/Umrah-Supermarket-Huddersfield-61555683256072/</t>
        </is>
      </c>
      <c r="E387" s="10" t="inlineStr">
        <is>
          <t>Facebook</t>
        </is>
      </c>
      <c r="F387" s="10" t="inlineStr">
        <is>
          <t>2026-09-16</t>
        </is>
      </c>
      <c r="G387" s="10" t="inlineStr">
        <is>
          <t>business Facebook page</t>
        </is>
      </c>
      <c r="H387" s="10" t="inlineStr">
        <is>
          <t>Requires Verification</t>
        </is>
      </c>
    </row>
    <row r="388">
      <c r="A388" s="5" t="inlineStr">
        <is>
          <t>WY-0171</t>
        </is>
      </c>
      <c r="B388" s="5" t="inlineStr">
        <is>
          <t>VAPE (Heckmondwike)</t>
        </is>
      </c>
      <c r="C388" s="5" t="inlineStr">
        <is>
          <t>Heckmondwike</t>
        </is>
      </c>
      <c r="D388" s="5" t="inlineStr">
        <is>
          <t>https://ecigdirectory.co.uk/vape-shop/listing/vape-heckmondwike</t>
        </is>
      </c>
      <c r="E388" s="5" t="inlineStr">
        <is>
          <t>Directory</t>
        </is>
      </c>
      <c r="F388" s="5" t="inlineStr">
        <is>
          <t>2026-09-16</t>
        </is>
      </c>
      <c r="G388" s="5" t="inlineStr">
        <is>
          <t>address, phone, hours</t>
        </is>
      </c>
      <c r="H388" s="5" t="inlineStr">
        <is>
          <t>Requires Verification</t>
        </is>
      </c>
    </row>
    <row r="389">
      <c r="A389" s="10" t="inlineStr">
        <is>
          <t>WY-0171</t>
        </is>
      </c>
      <c r="B389" s="10" t="inlineStr">
        <is>
          <t>VAPE (Heckmondwike)</t>
        </is>
      </c>
      <c r="C389" s="10" t="inlineStr">
        <is>
          <t>Heckmondwike</t>
        </is>
      </c>
      <c r="D389" s="10" t="inlineStr">
        <is>
          <t>https://www.theukhighstreet.com/store/0/65960/757/</t>
        </is>
      </c>
      <c r="E389" s="10" t="inlineStr">
        <is>
          <t>Directory</t>
        </is>
      </c>
      <c r="F389" s="10" t="inlineStr">
        <is>
          <t>2026-09-16</t>
        </is>
      </c>
      <c r="G389" s="10" t="inlineStr">
        <is>
          <t>cross-check of address and phone</t>
        </is>
      </c>
      <c r="H389" s="10" t="inlineStr">
        <is>
          <t>Requires Verification</t>
        </is>
      </c>
    </row>
    <row r="390">
      <c r="A390" s="5" t="inlineStr">
        <is>
          <t>WY-0172</t>
        </is>
      </c>
      <c r="B390" s="5" t="inlineStr">
        <is>
          <t>Vape Dream</t>
        </is>
      </c>
      <c r="C390" s="5" t="inlineStr">
        <is>
          <t>Dewsbury</t>
        </is>
      </c>
      <c r="D390" s="5" t="inlineStr">
        <is>
          <t>https://www.facebook.com/p/Vape-Dream-Vape-Shop-61558567906935/</t>
        </is>
      </c>
      <c r="E390" s="5" t="inlineStr">
        <is>
          <t>Facebook</t>
        </is>
      </c>
      <c r="F390" s="5" t="inlineStr">
        <is>
          <t>2026-09-16</t>
        </is>
      </c>
      <c r="G390" s="5" t="inlineStr">
        <is>
          <t>business name, town</t>
        </is>
      </c>
      <c r="H390" s="5" t="inlineStr">
        <is>
          <t>Requires Verification</t>
        </is>
      </c>
    </row>
    <row r="391">
      <c r="A391" s="10" t="inlineStr">
        <is>
          <t>WY-0173</t>
        </is>
      </c>
      <c r="B391" s="10" t="inlineStr">
        <is>
          <t>Vape N Go</t>
        </is>
      </c>
      <c r="C391" s="10" t="inlineStr">
        <is>
          <t>Halifax</t>
        </is>
      </c>
      <c r="D391" s="10" t="inlineStr">
        <is>
          <t>https://www.yell.com/s/tobacconists-halifax.html</t>
        </is>
      </c>
      <c r="E391" s="10" t="inlineStr">
        <is>
          <t>Yell</t>
        </is>
      </c>
      <c r="F391" s="10" t="inlineStr">
        <is>
          <t>2026-09-16</t>
        </is>
      </c>
      <c r="G391" s="10" t="inlineStr">
        <is>
          <t>name, address, postcode</t>
        </is>
      </c>
      <c r="H391" s="10" t="inlineStr">
        <is>
          <t>Requires Verification</t>
        </is>
      </c>
    </row>
    <row r="392">
      <c r="A392" s="5" t="inlineStr">
        <is>
          <t>WY-0174</t>
        </is>
      </c>
      <c r="B392" s="5" t="inlineStr">
        <is>
          <t>Vape Nation UK</t>
        </is>
      </c>
      <c r="C392" s="5" t="inlineStr">
        <is>
          <t>Huddersfield</t>
        </is>
      </c>
      <c r="D392" s="5" t="inlineStr">
        <is>
          <t>https://ecigdirectory.co.uk/vape-shop/listing/vape-nation-uk-huddersfield</t>
        </is>
      </c>
      <c r="E392" s="5" t="inlineStr">
        <is>
          <t>Directory</t>
        </is>
      </c>
      <c r="F392" s="5" t="inlineStr">
        <is>
          <t>2026-09-16</t>
        </is>
      </c>
      <c r="G392" s="5" t="inlineStr">
        <is>
          <t>address, phone, location description</t>
        </is>
      </c>
      <c r="H392" s="5" t="inlineStr">
        <is>
          <t>Partially Verified</t>
        </is>
      </c>
    </row>
    <row r="393">
      <c r="A393" s="10" t="inlineStr">
        <is>
          <t>WY-0174</t>
        </is>
      </c>
      <c r="B393" s="10" t="inlineStr">
        <is>
          <t>Vape Nation UK</t>
        </is>
      </c>
      <c r="C393" s="10" t="inlineStr">
        <is>
          <t>Huddersfield</t>
        </is>
      </c>
      <c r="D393" s="10" t="inlineStr">
        <is>
          <t>https://vapenationeshop.co.uk/contact-us/</t>
        </is>
      </c>
      <c r="E393" s="10" t="inlineStr">
        <is>
          <t>Official Website</t>
        </is>
      </c>
      <c r="F393" s="10" t="inlineStr">
        <is>
          <t>2026-09-16</t>
        </is>
      </c>
      <c r="G393" s="10" t="inlineStr">
        <is>
          <t>website URL seen in search results (fetch blocked)</t>
        </is>
      </c>
      <c r="H393" s="10" t="inlineStr">
        <is>
          <t>Partially Verified</t>
        </is>
      </c>
    </row>
    <row r="394">
      <c r="A394" s="5" t="inlineStr">
        <is>
          <t>WY-0175</t>
        </is>
      </c>
      <c r="B394" s="5" t="inlineStr">
        <is>
          <t>Vape Road</t>
        </is>
      </c>
      <c r="C394" s="5" t="inlineStr">
        <is>
          <t>Brighouse</t>
        </is>
      </c>
      <c r="D394" s="5" t="inlineStr">
        <is>
          <t>https://brighouse.cylex-uk.co.uk/company/vape-road-27599481.html</t>
        </is>
      </c>
      <c r="E394" s="5" t="inlineStr">
        <is>
          <t>Directory</t>
        </is>
      </c>
      <c r="F394" s="5" t="inlineStr">
        <is>
          <t>2026-09-16</t>
        </is>
      </c>
      <c r="G394" s="5" t="inlineStr">
        <is>
          <t>address, postcode, phone</t>
        </is>
      </c>
      <c r="H394" s="5" t="inlineStr">
        <is>
          <t>Requires Verification</t>
        </is>
      </c>
    </row>
    <row r="395">
      <c r="A395" s="10" t="inlineStr">
        <is>
          <t>WY-0175</t>
        </is>
      </c>
      <c r="B395" s="10" t="inlineStr">
        <is>
          <t>Vape Road</t>
        </is>
      </c>
      <c r="C395" s="10" t="inlineStr">
        <is>
          <t>Brighouse</t>
        </is>
      </c>
      <c r="D395" s="10" t="inlineStr">
        <is>
          <t>https://www.visitbrighouse.co.uk/directory/vape-road/</t>
        </is>
      </c>
      <c r="E395" s="10" t="inlineStr">
        <is>
          <t>Directory</t>
        </is>
      </c>
      <c r="F395" s="10" t="inlineStr">
        <is>
          <t>2026-09-16</t>
        </is>
      </c>
      <c r="G395" s="10" t="inlineStr">
        <is>
          <t>listing confirmation</t>
        </is>
      </c>
      <c r="H395" s="10" t="inlineStr">
        <is>
          <t>Requires Verification</t>
        </is>
      </c>
    </row>
    <row r="396">
      <c r="A396" s="5" t="inlineStr">
        <is>
          <t>WY-0176</t>
        </is>
      </c>
      <c r="B396" s="5" t="inlineStr">
        <is>
          <t>Vape Road Cleckheaton</t>
        </is>
      </c>
      <c r="C396" s="5" t="inlineStr">
        <is>
          <t>Cleckheaton</t>
        </is>
      </c>
      <c r="D396" s="5" t="inlineStr">
        <is>
          <t>https://cleckheaton.cylex-uk.co.uk/company/vape-road-cleckheaton-26986187.html</t>
        </is>
      </c>
      <c r="E396" s="5" t="inlineStr">
        <is>
          <t>Directory</t>
        </is>
      </c>
      <c r="F396" s="5" t="inlineStr">
        <is>
          <t>2026-09-16</t>
        </is>
      </c>
      <c r="G396" s="5" t="inlineStr">
        <is>
          <t>name, street, partial phone (not recorded)</t>
        </is>
      </c>
      <c r="H396" s="5" t="inlineStr">
        <is>
          <t>Requires Verification</t>
        </is>
      </c>
    </row>
    <row r="397">
      <c r="A397" s="10" t="inlineStr">
        <is>
          <t>WY-0177</t>
        </is>
      </c>
      <c r="B397" s="10" t="inlineStr">
        <is>
          <t>Vape Suite</t>
        </is>
      </c>
      <c r="C397" s="10" t="inlineStr">
        <is>
          <t>Huddersfield</t>
        </is>
      </c>
      <c r="D397" s="10" t="inlineStr">
        <is>
          <t>https://directory.gazettelive.co.uk/company/1069910382063616</t>
        </is>
      </c>
      <c r="E397" s="10" t="inlineStr">
        <is>
          <t>Directory</t>
        </is>
      </c>
      <c r="F397" s="10" t="inlineStr">
        <is>
          <t>2026-09-16</t>
        </is>
      </c>
      <c r="G397" s="10" t="inlineStr">
        <is>
          <t>address, postcode</t>
        </is>
      </c>
      <c r="H397" s="10" t="inlineStr">
        <is>
          <t>Requires Verification</t>
        </is>
      </c>
    </row>
    <row r="398">
      <c r="A398" s="5" t="inlineStr">
        <is>
          <t>WY-0177</t>
        </is>
      </c>
      <c r="B398" s="5" t="inlineStr">
        <is>
          <t>Vape Suite</t>
        </is>
      </c>
      <c r="C398" s="5" t="inlineStr">
        <is>
          <t>Huddersfield</t>
        </is>
      </c>
      <c r="D398" s="5" t="inlineStr">
        <is>
          <t>https://www.yell.com/biz/vape-suite-huddersfield-9317660/</t>
        </is>
      </c>
      <c r="E398" s="5" t="inlineStr">
        <is>
          <t>Yell</t>
        </is>
      </c>
      <c r="F398" s="5" t="inlineStr">
        <is>
          <t>2026-09-16</t>
        </is>
      </c>
      <c r="G398" s="5" t="inlineStr">
        <is>
          <t>listing confirmation</t>
        </is>
      </c>
      <c r="H398" s="5" t="inlineStr">
        <is>
          <t>Requires Verification</t>
        </is>
      </c>
    </row>
    <row r="399">
      <c r="A399" s="10" t="inlineStr">
        <is>
          <t>WY-0177</t>
        </is>
      </c>
      <c r="B399" s="10" t="inlineStr">
        <is>
          <t>Vape Suite</t>
        </is>
      </c>
      <c r="C399" s="10" t="inlineStr">
        <is>
          <t>Huddersfield</t>
        </is>
      </c>
      <c r="D399" s="10" t="inlineStr">
        <is>
          <t>https://find-and-update.company-information.service.gov.uk/company/13476013</t>
        </is>
      </c>
      <c r="E399" s="10" t="inlineStr">
        <is>
          <t>Companies House</t>
        </is>
      </c>
      <c r="F399" s="10" t="inlineStr">
        <is>
          <t>2026-09-16</t>
        </is>
      </c>
      <c r="G399" s="10" t="inlineStr">
        <is>
          <t>registered company name, company number</t>
        </is>
      </c>
      <c r="H399" s="10" t="inlineStr">
        <is>
          <t>Requires Verification</t>
        </is>
      </c>
    </row>
    <row r="400">
      <c r="A400" s="5" t="inlineStr">
        <is>
          <t>WY-0177</t>
        </is>
      </c>
      <c r="B400" s="5" t="inlineStr">
        <is>
          <t>Vape Suite</t>
        </is>
      </c>
      <c r="C400" s="5" t="inlineStr">
        <is>
          <t>Huddersfield</t>
        </is>
      </c>
      <c r="D400" s="5" t="inlineStr">
        <is>
          <t>https://wanderlog.com/place/details/13603475/vape-suite-e-cigarettedisposable-vapee-liquid-vape-shop-huddersfield-town-centre</t>
        </is>
      </c>
      <c r="E400" s="5" t="inlineStr">
        <is>
          <t>Directory</t>
        </is>
      </c>
      <c r="F400" s="5" t="inlineStr">
        <is>
          <t>2026-09-16</t>
        </is>
      </c>
      <c r="G400" s="5" t="inlineStr">
        <is>
          <t>town-centre location, reviews</t>
        </is>
      </c>
      <c r="H400" s="5" t="inlineStr">
        <is>
          <t>Requires Verification</t>
        </is>
      </c>
    </row>
    <row r="401">
      <c r="A401" s="10" t="inlineStr">
        <is>
          <t>WY-0178</t>
        </is>
      </c>
      <c r="B401" s="10" t="inlineStr">
        <is>
          <t>Vape and Wine Village</t>
        </is>
      </c>
      <c r="C401" s="10" t="inlineStr">
        <is>
          <t>Leeds</t>
        </is>
      </c>
      <c r="D401" s="10" t="inlineStr">
        <is>
          <t>https://www.yorkshire.com/leeds/shopping/off-license</t>
        </is>
      </c>
      <c r="E401" s="10" t="inlineStr">
        <is>
          <t>Directory</t>
        </is>
      </c>
      <c r="F401" s="10" t="inlineStr">
        <is>
          <t>2026-09-16</t>
        </is>
      </c>
      <c r="G401" s="10" t="inlineStr">
        <is>
          <t>name, address (via search results)</t>
        </is>
      </c>
      <c r="H401" s="10" t="inlineStr">
        <is>
          <t>Requires Verification</t>
        </is>
      </c>
    </row>
    <row r="402">
      <c r="A402" s="5" t="inlineStr">
        <is>
          <t>WY-0179</t>
        </is>
      </c>
      <c r="B402" s="5" t="inlineStr">
        <is>
          <t>VapeShop Leeds</t>
        </is>
      </c>
      <c r="C402" s="5" t="inlineStr">
        <is>
          <t>Leeds</t>
        </is>
      </c>
      <c r="D402" s="5" t="inlineStr">
        <is>
          <t>https://ecigdirectory.co.uk/vape-shop/listing/vapeshop-leeds</t>
        </is>
      </c>
      <c r="E402" s="5" t="inlineStr">
        <is>
          <t>Directory</t>
        </is>
      </c>
      <c r="F402" s="5" t="inlineStr">
        <is>
          <t>2026-09-16</t>
        </is>
      </c>
      <c r="G402" s="5" t="inlineStr">
        <is>
          <t>name, address, description (via search results)</t>
        </is>
      </c>
      <c r="H402" s="5" t="inlineStr">
        <is>
          <t>Requires Verification</t>
        </is>
      </c>
    </row>
    <row r="403">
      <c r="A403" s="10" t="inlineStr">
        <is>
          <t>WY-0180</t>
        </is>
      </c>
      <c r="B403" s="10" t="inlineStr">
        <is>
          <t>Vaperites</t>
        </is>
      </c>
      <c r="C403" s="10" t="inlineStr">
        <is>
          <t>Pontefract</t>
        </is>
      </c>
      <c r="D403" s="10" t="inlineStr">
        <is>
          <t>https://vapeshops.puffingbird.com/yorkshire-and-the-humber/pontefract/vaperites-e-cigarette-store</t>
        </is>
      </c>
      <c r="E403" s="10" t="inlineStr">
        <is>
          <t>Directory</t>
        </is>
      </c>
      <c r="F403" s="10" t="inlineStr">
        <is>
          <t>2026-09-16</t>
        </is>
      </c>
      <c r="G403" s="10" t="inlineStr">
        <is>
          <t>address, phone, email, hours, wholesale note (via search snippet)</t>
        </is>
      </c>
      <c r="H403" s="10" t="inlineStr">
        <is>
          <t>Requires Verification</t>
        </is>
      </c>
    </row>
    <row r="404">
      <c r="A404" s="5" t="inlineStr">
        <is>
          <t>WY-0180</t>
        </is>
      </c>
      <c r="B404" s="5" t="inlineStr">
        <is>
          <t>Vaperites</t>
        </is>
      </c>
      <c r="C404" s="5" t="inlineStr">
        <is>
          <t>Pontefract</t>
        </is>
      </c>
      <c r="D404" s="5" t="inlineStr">
        <is>
          <t>https://www.facebook.com/TheVapePeople/posts/new-opening-times9-horsefair-pontefract-wf8-1pe/417671657263981/</t>
        </is>
      </c>
      <c r="E404" s="5" t="inlineStr">
        <is>
          <t>Facebook</t>
        </is>
      </c>
      <c r="F404" s="5" t="inlineStr">
        <is>
          <t>2026-09-16</t>
        </is>
      </c>
      <c r="G404" s="5" t="inlineStr">
        <is>
          <t>address 9 Horsefair WF8 1PE, opening times</t>
        </is>
      </c>
      <c r="H404" s="5" t="inlineStr">
        <is>
          <t>Requires Verification</t>
        </is>
      </c>
    </row>
    <row r="405">
      <c r="A405" s="10" t="inlineStr">
        <is>
          <t>WY-0181</t>
        </is>
      </c>
      <c r="B405" s="10" t="inlineStr">
        <is>
          <t>Vapestation</t>
        </is>
      </c>
      <c r="C405" s="10" t="inlineStr">
        <is>
          <t>Halifax</t>
        </is>
      </c>
      <c r="D405" s="10" t="inlineStr">
        <is>
          <t>https://www.yelp.com/biz/vapestation-halifax</t>
        </is>
      </c>
      <c r="E405" s="10" t="inlineStr">
        <is>
          <t>Directory</t>
        </is>
      </c>
      <c r="F405" s="10" t="inlineStr">
        <is>
          <t>2026-09-16</t>
        </is>
      </c>
      <c r="G405" s="10" t="inlineStr">
        <is>
          <t>address, postcode, phone</t>
        </is>
      </c>
      <c r="H405" s="10" t="inlineStr">
        <is>
          <t>Requires Verification</t>
        </is>
      </c>
    </row>
    <row r="406">
      <c r="A406" s="5" t="inlineStr">
        <is>
          <t>WY-0181</t>
        </is>
      </c>
      <c r="B406" s="5" t="inlineStr">
        <is>
          <t>Vapestation</t>
        </is>
      </c>
      <c r="C406" s="5" t="inlineStr">
        <is>
          <t>Halifax</t>
        </is>
      </c>
      <c r="D406" s="5" t="inlineStr">
        <is>
          <t>https://www.yell.com/biz/vape-station-halifax-8116342/</t>
        </is>
      </c>
      <c r="E406" s="5" t="inlineStr">
        <is>
          <t>Yell</t>
        </is>
      </c>
      <c r="F406" s="5" t="inlineStr">
        <is>
          <t>2026-09-16</t>
        </is>
      </c>
      <c r="G406" s="5" t="inlineStr">
        <is>
          <t>listing confirmation</t>
        </is>
      </c>
      <c r="H406" s="5" t="inlineStr">
        <is>
          <t>Requires Verification</t>
        </is>
      </c>
    </row>
    <row r="407">
      <c r="A407" s="10" t="inlineStr">
        <is>
          <t>WY-0182</t>
        </is>
      </c>
      <c r="B407" s="10" t="inlineStr">
        <is>
          <t>Vaping Bar Normanton</t>
        </is>
      </c>
      <c r="C407" s="10" t="inlineStr">
        <is>
          <t>Normanton</t>
        </is>
      </c>
      <c r="D407" s="10" t="inlineStr">
        <is>
          <t>https://www.facebook.com/p/Vaping-Bar-Normanton-100063635944918/</t>
        </is>
      </c>
      <c r="E407" s="10" t="inlineStr">
        <is>
          <t>Facebook</t>
        </is>
      </c>
      <c r="F407" s="10" t="inlineStr">
        <is>
          <t>2026-09-16</t>
        </is>
      </c>
      <c r="G407" s="10" t="inlineStr">
        <is>
          <t>existence, description</t>
        </is>
      </c>
      <c r="H407" s="10" t="inlineStr">
        <is>
          <t>Requires Verification</t>
        </is>
      </c>
    </row>
    <row r="408">
      <c r="A408" s="5" t="inlineStr">
        <is>
          <t>WY-0183</t>
        </is>
      </c>
      <c r="B408" s="5" t="inlineStr">
        <is>
          <t>Vaporized Meanwood</t>
        </is>
      </c>
      <c r="C408" s="5" t="inlineStr">
        <is>
          <t>Leeds</t>
        </is>
      </c>
      <c r="D408" s="5" t="inlineStr">
        <is>
          <t>https://ecigdirectory.co.uk/vape-shop/listing/vaporized-meanwood-leeds</t>
        </is>
      </c>
      <c r="E408" s="5" t="inlineStr">
        <is>
          <t>Directory</t>
        </is>
      </c>
      <c r="F408" s="5" t="inlineStr">
        <is>
          <t>2026-09-16</t>
        </is>
      </c>
      <c r="G408" s="5" t="inlineStr">
        <is>
          <t>name, Stonegate Road address, phone (via search results)</t>
        </is>
      </c>
      <c r="H408" s="5" t="inlineStr">
        <is>
          <t>Requires Verification</t>
        </is>
      </c>
    </row>
    <row r="409">
      <c r="A409" s="10" t="inlineStr">
        <is>
          <t>WY-0183</t>
        </is>
      </c>
      <c r="B409" s="10" t="inlineStr">
        <is>
          <t>Vaporized Meanwood</t>
        </is>
      </c>
      <c r="C409" s="10" t="inlineStr">
        <is>
          <t>Leeds</t>
        </is>
      </c>
      <c r="D409" s="10" t="inlineStr">
        <is>
          <t>https://www.yellowpages.net/phone_44-1132748997_vaporizer-store_Leeds_PL4814848.html</t>
        </is>
      </c>
      <c r="E409" s="10" t="inlineStr">
        <is>
          <t>Directory</t>
        </is>
      </c>
      <c r="F409" s="10" t="inlineStr">
        <is>
          <t>2026-09-16</t>
        </is>
      </c>
      <c r="G409" s="10" t="inlineStr">
        <is>
          <t>phone, alternate Meanwood Road address (via search results)</t>
        </is>
      </c>
      <c r="H409" s="10" t="inlineStr">
        <is>
          <t>Requires Verification</t>
        </is>
      </c>
    </row>
    <row r="410">
      <c r="A410" s="5" t="inlineStr">
        <is>
          <t>WY-0184</t>
        </is>
      </c>
      <c r="B410" s="5" t="inlineStr">
        <is>
          <t>Vapour Parlour</t>
        </is>
      </c>
      <c r="C410" s="5" t="inlineStr">
        <is>
          <t>Hemsworth</t>
        </is>
      </c>
      <c r="D410" s="5" t="inlineStr">
        <is>
          <t>https://ecigdirectory.co.uk/vape-shop/listing/vapour-parlour</t>
        </is>
      </c>
      <c r="E410" s="5" t="inlineStr">
        <is>
          <t>Directory</t>
        </is>
      </c>
      <c r="F410" s="5" t="inlineStr">
        <is>
          <t>2026-09-16</t>
        </is>
      </c>
      <c r="G410" s="5" t="inlineStr">
        <is>
          <t>address 83 Kirkby Road, Hemsworth</t>
        </is>
      </c>
      <c r="H410" s="5" t="inlineStr">
        <is>
          <t>Requires Verification</t>
        </is>
      </c>
    </row>
    <row r="411">
      <c r="A411" s="10" t="inlineStr">
        <is>
          <t>WY-0185</t>
        </is>
      </c>
      <c r="B411" s="10" t="inlineStr">
        <is>
          <t>Wakefield Road Service Station (Featherstone)</t>
        </is>
      </c>
      <c r="C411" s="10" t="inlineStr">
        <is>
          <t>Featherstone</t>
        </is>
      </c>
      <c r="D411" s="10" t="inlineStr">
        <is>
          <t>https://forecourttrader.co.uk/latest-news/forecourt-operator-duo-add-wakefield-road-service-station-to-portfolio/708047.article</t>
        </is>
      </c>
      <c r="E411" s="10" t="inlineStr">
        <is>
          <t>News / Trade Press</t>
        </is>
      </c>
      <c r="F411" s="10" t="inlineStr">
        <is>
          <t>2026-09-16</t>
        </is>
      </c>
      <c r="G411" s="10" t="inlineStr">
        <is>
          <t>site acquisition, operator names, 3-site portfolio</t>
        </is>
      </c>
      <c r="H411" s="10" t="inlineStr">
        <is>
          <t>Requires Verification</t>
        </is>
      </c>
    </row>
    <row r="412">
      <c r="A412" s="5" t="inlineStr">
        <is>
          <t>WY-0186</t>
        </is>
      </c>
      <c r="B412" s="5" t="inlineStr">
        <is>
          <t>Wayward Wines</t>
        </is>
      </c>
      <c r="C412" s="5" t="inlineStr">
        <is>
          <t>Leeds</t>
        </is>
      </c>
      <c r="D412" s="5" t="inlineStr">
        <is>
          <t>https://confidentials.com/leeds/six-of-the-best-bottle-shops</t>
        </is>
      </c>
      <c r="E412" s="5" t="inlineStr">
        <is>
          <t>News / Trade Press</t>
        </is>
      </c>
      <c r="F412" s="5" t="inlineStr">
        <is>
          <t>2026-09-16</t>
        </is>
      </c>
      <c r="G412" s="5" t="inlineStr">
        <is>
          <t>name, address (via search results)</t>
        </is>
      </c>
      <c r="H412" s="5" t="inlineStr">
        <is>
          <t>Requires Verification</t>
        </is>
      </c>
    </row>
    <row r="413">
      <c r="A413" s="10" t="inlineStr">
        <is>
          <t>WY-0186</t>
        </is>
      </c>
      <c r="B413" s="10" t="inlineStr">
        <is>
          <t>Wayward Wines</t>
        </is>
      </c>
      <c r="C413" s="10" t="inlineStr">
        <is>
          <t>Leeds</t>
        </is>
      </c>
      <c r="D413" s="10" t="inlineStr">
        <is>
          <t>https://leeds-list.com/lifestyle/the-best-bottle-shops-in-leeds/</t>
        </is>
      </c>
      <c r="E413" s="10" t="inlineStr">
        <is>
          <t>News / Trade Press</t>
        </is>
      </c>
      <c r="F413" s="10" t="inlineStr">
        <is>
          <t>2026-09-16</t>
        </is>
      </c>
      <c r="G413" s="10" t="inlineStr">
        <is>
          <t>listing among Leeds bottle shops (via search results)</t>
        </is>
      </c>
      <c r="H413" s="10" t="inlineStr">
        <is>
          <t>Requires Verification</t>
        </is>
      </c>
    </row>
    <row r="414">
      <c r="A414" s="5" t="inlineStr">
        <is>
          <t>WY-0187</t>
        </is>
      </c>
      <c r="B414" s="5" t="inlineStr">
        <is>
          <t>West End Off Licence</t>
        </is>
      </c>
      <c r="C414" s="5" t="inlineStr">
        <is>
          <t>Halifax</t>
        </is>
      </c>
      <c r="D414" s="5" t="inlineStr">
        <is>
          <t>https://www.yelp.co.uk/biz/westend-off-licence-rickys-halifax</t>
        </is>
      </c>
      <c r="E414" s="5" t="inlineStr">
        <is>
          <t>Directory</t>
        </is>
      </c>
      <c r="F414" s="5" t="inlineStr">
        <is>
          <t>2026-09-16</t>
        </is>
      </c>
      <c r="G414" s="5" t="inlineStr">
        <is>
          <t>name, address, postcode, hours</t>
        </is>
      </c>
      <c r="H414" s="5" t="inlineStr">
        <is>
          <t>Requires Verification</t>
        </is>
      </c>
    </row>
    <row r="415">
      <c r="A415" s="10" t="inlineStr">
        <is>
          <t>WY-0187</t>
        </is>
      </c>
      <c r="B415" s="10" t="inlineStr">
        <is>
          <t>West End Off Licence</t>
        </is>
      </c>
      <c r="C415" s="10" t="inlineStr">
        <is>
          <t>Halifax</t>
        </is>
      </c>
      <c r="D415" s="10" t="inlineStr">
        <is>
          <t>https://www.yorkshire.com/halifax/shopping/off-license/west-end-off-licence</t>
        </is>
      </c>
      <c r="E415" s="10" t="inlineStr">
        <is>
          <t>Directory</t>
        </is>
      </c>
      <c r="F415" s="10" t="inlineStr">
        <is>
          <t>2026-09-16</t>
        </is>
      </c>
      <c r="G415" s="10" t="inlineStr">
        <is>
          <t>listing confirmation</t>
        </is>
      </c>
      <c r="H415" s="10" t="inlineStr">
        <is>
          <t>Requires Verification</t>
        </is>
      </c>
    </row>
    <row r="416">
      <c r="A416" s="5" t="inlineStr">
        <is>
          <t>WY-0188</t>
        </is>
      </c>
      <c r="B416" s="5" t="inlineStr">
        <is>
          <t>White Rose Catering</t>
        </is>
      </c>
      <c r="C416" s="5" t="inlineStr">
        <is>
          <t>Dewsbury</t>
        </is>
      </c>
      <c r="D416" s="5" t="inlineStr">
        <is>
          <t>https://www.192.com/atoz/business/dewsbury-wf13/cash-and-carry-wholesalers/white-rose-catering-ltd/1cd73791cf719e65496fe8e9a0a2d1c534c879e1/ml/</t>
        </is>
      </c>
      <c r="E416" s="5" t="inlineStr">
        <is>
          <t>Directory</t>
        </is>
      </c>
      <c r="F416" s="5" t="inlineStr">
        <is>
          <t>2026-09-16</t>
        </is>
      </c>
      <c r="G416" s="5" t="inlineStr">
        <is>
          <t>name, legal name, address, postcode, phone</t>
        </is>
      </c>
      <c r="H416" s="5" t="inlineStr">
        <is>
          <t>Requires Verification</t>
        </is>
      </c>
    </row>
    <row r="417">
      <c r="A417" s="10" t="inlineStr">
        <is>
          <t>WY-0189</t>
        </is>
      </c>
      <c r="B417" s="10" t="inlineStr">
        <is>
          <t>Wigton Cash &amp; Carry (Wigton Distribution)</t>
        </is>
      </c>
      <c r="C417" s="10" t="inlineStr">
        <is>
          <t>Leeds</t>
        </is>
      </c>
      <c r="D417" s="10" t="inlineStr">
        <is>
          <t>https://www.tiktok.com/@wigtondistribution/video/7475737721617583382</t>
        </is>
      </c>
      <c r="E417" s="10" t="inlineStr">
        <is>
          <t>Other</t>
        </is>
      </c>
      <c r="F417" s="10" t="inlineStr">
        <is>
          <t>2026-09-16</t>
        </is>
      </c>
      <c r="G417" s="10" t="inlineStr">
        <is>
          <t>address 27 Lockwood Way LS11 5TH, business description (via search results)</t>
        </is>
      </c>
      <c r="H417" s="10" t="inlineStr">
        <is>
          <t>Partially Verified</t>
        </is>
      </c>
    </row>
    <row r="418">
      <c r="A418" s="5" t="inlineStr">
        <is>
          <t>WY-0189</t>
        </is>
      </c>
      <c r="B418" s="5" t="inlineStr">
        <is>
          <t>Wigton Cash &amp; Carry (Wigton Distribution)</t>
        </is>
      </c>
      <c r="C418" s="5" t="inlineStr">
        <is>
          <t>Leeds</t>
        </is>
      </c>
      <c r="D418" s="5" t="inlineStr">
        <is>
          <t>https://find-and-update.company-information.service.gov.uk/company/09821856</t>
        </is>
      </c>
      <c r="E418" s="5" t="inlineStr">
        <is>
          <t>Companies House</t>
        </is>
      </c>
      <c r="F418" s="5" t="inlineStr">
        <is>
          <t>2026-09-16</t>
        </is>
      </c>
      <c r="G418" s="5" t="inlineStr">
        <is>
          <t>registered name and company number (via search results)</t>
        </is>
      </c>
      <c r="H418" s="5" t="inlineStr">
        <is>
          <t>Partially Verified</t>
        </is>
      </c>
    </row>
    <row r="419">
      <c r="A419" s="10" t="inlineStr">
        <is>
          <t>WY-0189</t>
        </is>
      </c>
      <c r="B419" s="10" t="inlineStr">
        <is>
          <t>Wigton Cash &amp; Carry (Wigton Distribution)</t>
        </is>
      </c>
      <c r="C419" s="10" t="inlineStr">
        <is>
          <t>Leeds</t>
        </is>
      </c>
      <c r="D419" s="10" t="inlineStr">
        <is>
          <t>https://www.thomsonlocal.com/search/cash-carry-wholesalers/leeds-west-yorkshire</t>
        </is>
      </c>
      <c r="E419" s="10" t="inlineStr">
        <is>
          <t>Directory</t>
        </is>
      </c>
      <c r="F419" s="10" t="inlineStr">
        <is>
          <t>2026-09-16</t>
        </is>
      </c>
      <c r="G419" s="10" t="inlineStr">
        <is>
          <t>cash &amp; carry listing context (via search results)</t>
        </is>
      </c>
      <c r="H419" s="10" t="inlineStr">
        <is>
          <t>Partially Verified</t>
        </is>
      </c>
    </row>
    <row r="420">
      <c r="A420" s="5" t="inlineStr">
        <is>
          <t>WY-0190</t>
        </is>
      </c>
      <c r="B420" s="5" t="inlineStr">
        <is>
          <t>Yorkshire Fuels (Green Lane Service Station)</t>
        </is>
      </c>
      <c r="C420" s="5" t="inlineStr">
        <is>
          <t>Yeadon</t>
        </is>
      </c>
      <c r="D420" s="5" t="inlineStr">
        <is>
          <t>https://find-and-update.company-information.service.gov.uk/company/14479452</t>
        </is>
      </c>
      <c r="E420" s="5" t="inlineStr">
        <is>
          <t>Companies House</t>
        </is>
      </c>
      <c r="F420" s="5" t="inlineStr">
        <is>
          <t>2026-09-16</t>
        </is>
      </c>
      <c r="G420" s="5" t="inlineStr">
        <is>
          <t>registered name, number, status, incorporation date, registered office (via search results)</t>
        </is>
      </c>
      <c r="H420" s="5" t="inlineStr">
        <is>
          <t>Partially Verified</t>
        </is>
      </c>
    </row>
    <row r="421">
      <c r="A421" s="10" t="inlineStr">
        <is>
          <t>WY-0190</t>
        </is>
      </c>
      <c r="B421" s="10" t="inlineStr">
        <is>
          <t>Yorkshire Fuels (Green Lane Service Station)</t>
        </is>
      </c>
      <c r="C421" s="10" t="inlineStr">
        <is>
          <t>Yeadon</t>
        </is>
      </c>
      <c r="D421" s="10" t="inlineStr">
        <is>
          <t>https://www.yorkshire.com/guiseley/services/petrol-stations/yorkshire-fuels</t>
        </is>
      </c>
      <c r="E421" s="10" t="inlineStr">
        <is>
          <t>Directory</t>
        </is>
      </c>
      <c r="F421" s="10" t="inlineStr">
        <is>
          <t>2026-09-16</t>
        </is>
      </c>
      <c r="G421" s="10" t="inlineStr">
        <is>
          <t>Jet branding, 24/7 operation, location (via search results)</t>
        </is>
      </c>
      <c r="H421" s="10" t="inlineStr">
        <is>
          <t>Partially Verified</t>
        </is>
      </c>
    </row>
    <row r="422">
      <c r="A422" s="5" t="inlineStr">
        <is>
          <t>WY-0190</t>
        </is>
      </c>
      <c r="B422" s="5" t="inlineStr">
        <is>
          <t>Yorkshire Fuels (Green Lane Service Station)</t>
        </is>
      </c>
      <c r="C422" s="5" t="inlineStr">
        <is>
          <t>Yeadon</t>
        </is>
      </c>
      <c r="D422" s="5" t="inlineStr">
        <is>
          <t>https://petrolmap.co.uk/petrol-stations/west-yorkshire/leeds/airport-autopoint/10876</t>
        </is>
      </c>
      <c r="E422" s="5" t="inlineStr">
        <is>
          <t>Directory</t>
        </is>
      </c>
      <c r="F422" s="5" t="inlineStr">
        <is>
          <t>2026-09-16</t>
        </is>
      </c>
      <c r="G422" s="5" t="inlineStr">
        <is>
          <t>Gulf branding, Green Lane Yeadon site (via search results)</t>
        </is>
      </c>
      <c r="H422" s="5" t="inlineStr">
        <is>
          <t>Partially Verified</t>
        </is>
      </c>
    </row>
    <row r="423">
      <c r="A423" s="10" t="inlineStr">
        <is>
          <t>WY-0191</t>
        </is>
      </c>
      <c r="B423" s="10" t="inlineStr">
        <is>
          <t>Zesty Vape</t>
        </is>
      </c>
      <c r="C423" s="10" t="inlineStr">
        <is>
          <t>Brighouse</t>
        </is>
      </c>
      <c r="D423" s="10" t="inlineStr">
        <is>
          <t>https://brighouse.cylex-uk.co.uk/vape-shops/</t>
        </is>
      </c>
      <c r="E423" s="10" t="inlineStr">
        <is>
          <t>Directory</t>
        </is>
      </c>
      <c r="F423" s="10" t="inlineStr">
        <is>
          <t>2026-09-16</t>
        </is>
      </c>
      <c r="G423" s="10" t="inlineStr">
        <is>
          <t>name, address, postcode, phone</t>
        </is>
      </c>
      <c r="H423" s="10" t="inlineStr">
        <is>
          <t>Requires Verification</t>
        </is>
      </c>
    </row>
    <row r="424">
      <c r="A424" s="5" t="inlineStr">
        <is>
          <t>WY-0192</t>
        </is>
      </c>
      <c r="B424" s="5" t="inlineStr">
        <is>
          <t>eVape Outlet</t>
        </is>
      </c>
      <c r="C424" s="5" t="inlineStr">
        <is>
          <t>Keighley</t>
        </is>
      </c>
      <c r="D424" s="5" t="inlineStr">
        <is>
          <t>https://keighley.cylex-uk.co.uk/company/evape-outlet-27656791.html</t>
        </is>
      </c>
      <c r="E424" s="5" t="inlineStr">
        <is>
          <t>Directory</t>
        </is>
      </c>
      <c r="F424" s="5" t="inlineStr">
        <is>
          <t>2026-09-16</t>
        </is>
      </c>
      <c r="G424" s="5" t="inlineStr">
        <is>
          <t>business name and Keighley location (search result)</t>
        </is>
      </c>
      <c r="H424" s="5" t="inlineStr">
        <is>
          <t>Requires Verification</t>
        </is>
      </c>
    </row>
    <row r="425">
      <c r="A425" s="10" t="inlineStr">
        <is>
          <t>WY-0193</t>
        </is>
      </c>
      <c r="B425" s="10" t="inlineStr">
        <is>
          <t>iVape Lounge</t>
        </is>
      </c>
      <c r="C425" s="10" t="inlineStr">
        <is>
          <t>Todmorden</t>
        </is>
      </c>
      <c r="D425" s="10" t="inlineStr">
        <is>
          <t>https://ivape-lounge-todmorden-vape-shop.wheree.com/</t>
        </is>
      </c>
      <c r="E425" s="10" t="inlineStr">
        <is>
          <t>Directory</t>
        </is>
      </c>
      <c r="F425" s="10" t="inlineStr">
        <is>
          <t>2026-09-16</t>
        </is>
      </c>
      <c r="G425" s="10" t="inlineStr">
        <is>
          <t>name, address, postcode</t>
        </is>
      </c>
      <c r="H425" s="10" t="inlineStr">
        <is>
          <t>Requires Verification</t>
        </is>
      </c>
    </row>
  </sheetData>
  <autoFilter ref="A1:H42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U196"/>
  <sheetViews>
    <sheetView workbookViewId="0">
      <pane ySplit="1" topLeftCell="A2" activePane="bottomLeft" state="frozen"/>
      <selection pane="bottomLeft" activeCell="A1" sqref="A1"/>
    </sheetView>
  </sheetViews>
  <sheetFormatPr baseColWidth="8" defaultRowHeight="15"/>
  <cols>
    <col width="11" customWidth="1" min="1" max="1"/>
    <col width="45" customWidth="1" min="2" max="2"/>
    <col width="16" customWidth="1" min="3" max="3"/>
    <col width="28" customWidth="1" min="4" max="4"/>
    <col width="15" customWidth="1" min="5" max="5"/>
    <col width="15" customWidth="1" min="6" max="6"/>
    <col width="34" customWidth="1" min="7" max="7"/>
    <col width="30" customWidth="1" min="8" max="8"/>
    <col width="27" customWidth="1" min="9" max="9"/>
    <col width="20" customWidth="1" min="10" max="10"/>
    <col width="13" customWidth="1" min="11" max="11"/>
    <col width="12" customWidth="1" min="12" max="12"/>
    <col width="14" customWidth="1" min="13" max="13"/>
    <col width="16" customWidth="1" min="14" max="14"/>
    <col width="16" customWidth="1" min="15" max="15"/>
    <col width="13" customWidth="1" min="16" max="16"/>
    <col width="10" customWidth="1" min="17" max="17"/>
    <col width="11" customWidth="1" min="18" max="18"/>
    <col width="16" customWidth="1" min="19" max="19"/>
    <col width="16" customWidth="1" min="20" max="20"/>
    <col width="45" customWidth="1" min="21" max="21"/>
  </cols>
  <sheetData>
    <row r="1">
      <c r="A1" s="16" t="inlineStr">
        <is>
          <t>Record ID</t>
        </is>
      </c>
      <c r="B1" s="16" t="inlineStr">
        <is>
          <t>Business Name</t>
        </is>
      </c>
      <c r="C1" s="16" t="inlineStr">
        <is>
          <t>Town / City</t>
        </is>
      </c>
      <c r="D1" s="16" t="inlineStr">
        <is>
          <t>Business Category</t>
        </is>
      </c>
      <c r="E1" s="16" t="inlineStr">
        <is>
          <t>Lead Priority</t>
        </is>
      </c>
      <c r="F1" s="16" t="inlineStr">
        <is>
          <t>Main Phone</t>
        </is>
      </c>
      <c r="G1" s="16" t="inlineStr">
        <is>
          <t>General Email</t>
        </is>
      </c>
      <c r="H1" s="16" t="inlineStr">
        <is>
          <t>Sales Email</t>
        </is>
      </c>
      <c r="I1" s="16" t="inlineStr">
        <is>
          <t>Contact Name</t>
        </is>
      </c>
      <c r="J1" s="16" t="inlineStr">
        <is>
          <t>Contact Position</t>
        </is>
      </c>
      <c r="K1" s="16" t="inlineStr">
        <is>
          <t>Lead Status</t>
        </is>
      </c>
      <c r="L1" s="16" t="inlineStr">
        <is>
          <t>Date Added</t>
        </is>
      </c>
      <c r="M1" s="16" t="inlineStr">
        <is>
          <t>Last Contact</t>
        </is>
      </c>
      <c r="N1" s="16" t="inlineStr">
        <is>
          <t>Next Follow-Up</t>
        </is>
      </c>
      <c r="O1" s="16" t="inlineStr">
        <is>
          <t>Contact Method</t>
        </is>
      </c>
      <c r="P1" s="16" t="inlineStr">
        <is>
          <t>Salesperson</t>
        </is>
      </c>
      <c r="Q1" s="16" t="inlineStr">
        <is>
          <t>Outcome</t>
        </is>
      </c>
      <c r="R1" s="16" t="inlineStr">
        <is>
          <t>CRM Notes</t>
        </is>
      </c>
      <c r="S1" s="16" t="inlineStr">
        <is>
          <t>Opt-Out Status</t>
        </is>
      </c>
      <c r="T1" s="16" t="inlineStr">
        <is>
          <t>Do Not Contact</t>
        </is>
      </c>
      <c r="U1" s="16" t="inlineStr">
        <is>
          <t>Marketing Legal Basis</t>
        </is>
      </c>
    </row>
    <row r="2">
      <c r="A2" s="5" t="inlineStr">
        <is>
          <t>WY-0001</t>
        </is>
      </c>
      <c r="B2" s="5" t="inlineStr">
        <is>
          <t>1865 Cigars (Huddersfield)</t>
        </is>
      </c>
      <c r="C2" s="5" t="inlineStr">
        <is>
          <t>Huddersfield</t>
        </is>
      </c>
      <c r="D2" s="5" t="inlineStr">
        <is>
          <t>Tobacco Specialist</t>
        </is>
      </c>
      <c r="E2" s="5" t="inlineStr">
        <is>
          <t>High</t>
        </is>
      </c>
      <c r="F2" s="5" t="inlineStr">
        <is>
          <t>01484 530457</t>
        </is>
      </c>
      <c r="G2" s="5" t="inlineStr">
        <is>
          <t>sales@1865cigars.com</t>
        </is>
      </c>
      <c r="H2" s="5" t="inlineStr">
        <is>
          <t>sales@1865cigars.com</t>
        </is>
      </c>
      <c r="I2" s="5" t="inlineStr"/>
      <c r="J2" s="5" t="inlineStr"/>
      <c r="K2" s="5" t="inlineStr">
        <is>
          <t>New</t>
        </is>
      </c>
      <c r="L2" s="5" t="inlineStr">
        <is>
          <t>2026-09-16</t>
        </is>
      </c>
      <c r="M2" s="5" t="inlineStr"/>
      <c r="N2" s="5" t="inlineStr"/>
      <c r="O2" s="5" t="inlineStr"/>
      <c r="P2" s="5" t="inlineStr"/>
      <c r="Q2" s="5" t="inlineStr"/>
      <c r="R2" s="5" t="inlineStr"/>
      <c r="S2" s="5" t="inlineStr"/>
      <c r="T2" s="5" t="inlineStr">
        <is>
          <t>No</t>
        </is>
      </c>
      <c r="U2" s="5" t="inlineStr">
        <is>
          <t>Legitimate interest (B2B) - assess per campaign; PECR: corporate subscribers</t>
        </is>
      </c>
    </row>
    <row r="3">
      <c r="A3" s="10" t="inlineStr">
        <is>
          <t>WY-0002</t>
        </is>
      </c>
      <c r="B3" s="10" t="inlineStr">
        <is>
          <t>420 Vape Shop (Leeds Road, Shipley)</t>
        </is>
      </c>
      <c r="C3" s="10" t="inlineStr">
        <is>
          <t>Shipley</t>
        </is>
      </c>
      <c r="D3" s="10" t="inlineStr">
        <is>
          <t>Vape Shop</t>
        </is>
      </c>
      <c r="E3" s="10" t="inlineStr">
        <is>
          <t>High</t>
        </is>
      </c>
      <c r="F3" s="10" t="inlineStr">
        <is>
          <t>01274 011507</t>
        </is>
      </c>
      <c r="G3" s="10" t="inlineStr"/>
      <c r="H3" s="10" t="inlineStr"/>
      <c r="I3" s="10" t="inlineStr"/>
      <c r="J3" s="10" t="inlineStr"/>
      <c r="K3" s="10" t="inlineStr">
        <is>
          <t>New</t>
        </is>
      </c>
      <c r="L3" s="10" t="inlineStr">
        <is>
          <t>2026-09-16</t>
        </is>
      </c>
      <c r="M3" s="10" t="inlineStr"/>
      <c r="N3" s="10" t="inlineStr"/>
      <c r="O3" s="10" t="inlineStr"/>
      <c r="P3" s="10" t="inlineStr"/>
      <c r="Q3" s="10" t="inlineStr"/>
      <c r="R3" s="10" t="inlineStr"/>
      <c r="S3" s="10" t="inlineStr"/>
      <c r="T3" s="10" t="inlineStr">
        <is>
          <t>No</t>
        </is>
      </c>
      <c r="U3" s="10" t="inlineStr">
        <is>
          <t>Legitimate interest (B2B) - assess per campaign; PECR: corporate subscribers</t>
        </is>
      </c>
    </row>
    <row r="4">
      <c r="A4" s="5" t="inlineStr">
        <is>
          <t>WY-0003</t>
        </is>
      </c>
      <c r="B4" s="5" t="inlineStr">
        <is>
          <t>420 Vape Shop (Tong Street, Bradford)</t>
        </is>
      </c>
      <c r="C4" s="5" t="inlineStr">
        <is>
          <t>Bradford</t>
        </is>
      </c>
      <c r="D4" s="5" t="inlineStr">
        <is>
          <t>Vape Shop</t>
        </is>
      </c>
      <c r="E4" s="5" t="inlineStr">
        <is>
          <t>High</t>
        </is>
      </c>
      <c r="F4" s="5" t="inlineStr">
        <is>
          <t>01274 962277</t>
        </is>
      </c>
      <c r="G4" s="5" t="inlineStr"/>
      <c r="H4" s="5" t="inlineStr"/>
      <c r="I4" s="5" t="inlineStr"/>
      <c r="J4" s="5" t="inlineStr"/>
      <c r="K4" s="5" t="inlineStr">
        <is>
          <t>New</t>
        </is>
      </c>
      <c r="L4" s="5" t="inlineStr">
        <is>
          <t>2026-09-16</t>
        </is>
      </c>
      <c r="M4" s="5" t="inlineStr"/>
      <c r="N4" s="5" t="inlineStr"/>
      <c r="O4" s="5" t="inlineStr"/>
      <c r="P4" s="5" t="inlineStr"/>
      <c r="Q4" s="5" t="inlineStr"/>
      <c r="R4" s="5" t="inlineStr"/>
      <c r="S4" s="5" t="inlineStr"/>
      <c r="T4" s="5" t="inlineStr">
        <is>
          <t>No</t>
        </is>
      </c>
      <c r="U4" s="5" t="inlineStr">
        <is>
          <t>Legitimate interest (B2B) - assess per campaign; PECR: corporate subscribers</t>
        </is>
      </c>
    </row>
    <row r="5">
      <c r="A5" s="10" t="inlineStr">
        <is>
          <t>WY-0004</t>
        </is>
      </c>
      <c r="B5" s="10" t="inlineStr">
        <is>
          <t>420 Vape Shop (Town Street, Stanningley)</t>
        </is>
      </c>
      <c r="C5" s="10" t="inlineStr">
        <is>
          <t>Pudsey</t>
        </is>
      </c>
      <c r="D5" s="10" t="inlineStr">
        <is>
          <t>Vape Shop</t>
        </is>
      </c>
      <c r="E5" s="10" t="inlineStr">
        <is>
          <t>High</t>
        </is>
      </c>
      <c r="F5" s="10" t="inlineStr">
        <is>
          <t>07551 009824</t>
        </is>
      </c>
      <c r="G5" s="10" t="inlineStr"/>
      <c r="H5" s="10" t="inlineStr"/>
      <c r="I5" s="10" t="inlineStr"/>
      <c r="J5" s="10" t="inlineStr"/>
      <c r="K5" s="10" t="inlineStr">
        <is>
          <t>New</t>
        </is>
      </c>
      <c r="L5" s="10" t="inlineStr">
        <is>
          <t>2026-09-16</t>
        </is>
      </c>
      <c r="M5" s="10" t="inlineStr"/>
      <c r="N5" s="10" t="inlineStr"/>
      <c r="O5" s="10" t="inlineStr"/>
      <c r="P5" s="10" t="inlineStr"/>
      <c r="Q5" s="10" t="inlineStr"/>
      <c r="R5" s="10" t="inlineStr"/>
      <c r="S5" s="10" t="inlineStr"/>
      <c r="T5" s="10" t="inlineStr">
        <is>
          <t>No</t>
        </is>
      </c>
      <c r="U5" s="10" t="inlineStr">
        <is>
          <t>Legitimate interest (B2B) - assess per campaign; PECR: corporate subscribers</t>
        </is>
      </c>
    </row>
    <row r="6">
      <c r="A6" s="5" t="inlineStr">
        <is>
          <t>WY-0006</t>
        </is>
      </c>
      <c r="B6" s="5" t="inlineStr">
        <is>
          <t>Abu Bakr Supermarket (Batley)</t>
        </is>
      </c>
      <c r="C6" s="5" t="inlineStr">
        <is>
          <t>Batley</t>
        </is>
      </c>
      <c r="D6" s="5" t="inlineStr">
        <is>
          <t>Independent Supermarket</t>
        </is>
      </c>
      <c r="E6" s="5" t="inlineStr">
        <is>
          <t>High</t>
        </is>
      </c>
      <c r="F6" s="5" t="inlineStr">
        <is>
          <t>01924 950730</t>
        </is>
      </c>
      <c r="G6" s="5" t="inlineStr"/>
      <c r="H6" s="5" t="inlineStr"/>
      <c r="I6" s="5" t="inlineStr"/>
      <c r="J6" s="5" t="inlineStr"/>
      <c r="K6" s="5" t="inlineStr">
        <is>
          <t>New</t>
        </is>
      </c>
      <c r="L6" s="5" t="inlineStr">
        <is>
          <t>2026-09-16</t>
        </is>
      </c>
      <c r="M6" s="5" t="inlineStr"/>
      <c r="N6" s="5" t="inlineStr"/>
      <c r="O6" s="5" t="inlineStr"/>
      <c r="P6" s="5" t="inlineStr"/>
      <c r="Q6" s="5" t="inlineStr"/>
      <c r="R6" s="5" t="inlineStr"/>
      <c r="S6" s="5" t="inlineStr"/>
      <c r="T6" s="5" t="inlineStr">
        <is>
          <t>No</t>
        </is>
      </c>
      <c r="U6" s="5" t="inlineStr">
        <is>
          <t>Legitimate interest (B2B) - assess per campaign; PECR: corporate subscribers</t>
        </is>
      </c>
    </row>
    <row r="7">
      <c r="A7" s="10" t="inlineStr">
        <is>
          <t>WY-0007</t>
        </is>
      </c>
      <c r="B7" s="10" t="inlineStr">
        <is>
          <t>Abu Bakr Supermarket (Dewsbury Road, Beeston, Leeds)</t>
        </is>
      </c>
      <c r="C7" s="10" t="inlineStr">
        <is>
          <t>Leeds</t>
        </is>
      </c>
      <c r="D7" s="10" t="inlineStr">
        <is>
          <t>Independent Supermarket</t>
        </is>
      </c>
      <c r="E7" s="10" t="inlineStr">
        <is>
          <t>High</t>
        </is>
      </c>
      <c r="F7" s="10" t="inlineStr"/>
      <c r="G7" s="10" t="inlineStr"/>
      <c r="H7" s="10" t="inlineStr"/>
      <c r="I7" s="10" t="inlineStr"/>
      <c r="J7" s="10" t="inlineStr"/>
      <c r="K7" s="10" t="inlineStr">
        <is>
          <t>New</t>
        </is>
      </c>
      <c r="L7" s="10" t="inlineStr">
        <is>
          <t>2026-09-16</t>
        </is>
      </c>
      <c r="M7" s="10" t="inlineStr"/>
      <c r="N7" s="10" t="inlineStr"/>
      <c r="O7" s="10" t="inlineStr"/>
      <c r="P7" s="10" t="inlineStr"/>
      <c r="Q7" s="10" t="inlineStr"/>
      <c r="R7" s="10" t="inlineStr"/>
      <c r="S7" s="10" t="inlineStr"/>
      <c r="T7" s="10" t="inlineStr">
        <is>
          <t>No</t>
        </is>
      </c>
      <c r="U7" s="10" t="inlineStr">
        <is>
          <t>Legitimate interest (B2B) - assess per campaign; PECR: corporate subscribers</t>
        </is>
      </c>
    </row>
    <row r="8">
      <c r="A8" s="5" t="inlineStr">
        <is>
          <t>WY-0008</t>
        </is>
      </c>
      <c r="B8" s="5" t="inlineStr">
        <is>
          <t>Abu Bakr Supermarket (Kirkstall Road, Leeds)</t>
        </is>
      </c>
      <c r="C8" s="5" t="inlineStr">
        <is>
          <t>Leeds</t>
        </is>
      </c>
      <c r="D8" s="5" t="inlineStr">
        <is>
          <t>Independent Supermarket</t>
        </is>
      </c>
      <c r="E8" s="5" t="inlineStr">
        <is>
          <t>High</t>
        </is>
      </c>
      <c r="F8" s="5" t="inlineStr"/>
      <c r="G8" s="5" t="inlineStr"/>
      <c r="H8" s="5" t="inlineStr"/>
      <c r="I8" s="5" t="inlineStr"/>
      <c r="J8" s="5" t="inlineStr"/>
      <c r="K8" s="5" t="inlineStr">
        <is>
          <t>New</t>
        </is>
      </c>
      <c r="L8" s="5" t="inlineStr">
        <is>
          <t>2026-09-16</t>
        </is>
      </c>
      <c r="M8" s="5" t="inlineStr"/>
      <c r="N8" s="5" t="inlineStr"/>
      <c r="O8" s="5" t="inlineStr"/>
      <c r="P8" s="5" t="inlineStr"/>
      <c r="Q8" s="5" t="inlineStr"/>
      <c r="R8" s="5" t="inlineStr"/>
      <c r="S8" s="5" t="inlineStr"/>
      <c r="T8" s="5" t="inlineStr">
        <is>
          <t>No</t>
        </is>
      </c>
      <c r="U8" s="5" t="inlineStr">
        <is>
          <t>Legitimate interest (B2B) - assess per campaign; PECR: corporate subscribers</t>
        </is>
      </c>
    </row>
    <row r="9">
      <c r="A9" s="10" t="inlineStr">
        <is>
          <t>WY-0009</t>
        </is>
      </c>
      <c r="B9" s="10" t="inlineStr">
        <is>
          <t>Abu Bakr Supermarket (Queens Road, Leeds)</t>
        </is>
      </c>
      <c r="C9" s="10" t="inlineStr">
        <is>
          <t>Leeds</t>
        </is>
      </c>
      <c r="D9" s="10" t="inlineStr">
        <is>
          <t>Independent Supermarket</t>
        </is>
      </c>
      <c r="E9" s="10" t="inlineStr">
        <is>
          <t>High</t>
        </is>
      </c>
      <c r="F9" s="10" t="inlineStr"/>
      <c r="G9" s="10" t="inlineStr"/>
      <c r="H9" s="10" t="inlineStr"/>
      <c r="I9" s="10" t="inlineStr"/>
      <c r="J9" s="10" t="inlineStr"/>
      <c r="K9" s="10" t="inlineStr">
        <is>
          <t>New</t>
        </is>
      </c>
      <c r="L9" s="10" t="inlineStr">
        <is>
          <t>2026-09-16</t>
        </is>
      </c>
      <c r="M9" s="10" t="inlineStr"/>
      <c r="N9" s="10" t="inlineStr"/>
      <c r="O9" s="10" t="inlineStr"/>
      <c r="P9" s="10" t="inlineStr"/>
      <c r="Q9" s="10" t="inlineStr"/>
      <c r="R9" s="10" t="inlineStr"/>
      <c r="S9" s="10" t="inlineStr"/>
      <c r="T9" s="10" t="inlineStr">
        <is>
          <t>No</t>
        </is>
      </c>
      <c r="U9" s="10" t="inlineStr">
        <is>
          <t>Legitimate interest (B2B) - assess per campaign; PECR: corporate subscribers</t>
        </is>
      </c>
    </row>
    <row r="10">
      <c r="A10" s="5" t="inlineStr">
        <is>
          <t>WY-0010</t>
        </is>
      </c>
      <c r="B10" s="5" t="inlineStr">
        <is>
          <t>Abu Bakr Supermarket (Roundhay Road, Leeds)</t>
        </is>
      </c>
      <c r="C10" s="5" t="inlineStr">
        <is>
          <t>Leeds</t>
        </is>
      </c>
      <c r="D10" s="5" t="inlineStr">
        <is>
          <t>Independent Supermarket</t>
        </is>
      </c>
      <c r="E10" s="5" t="inlineStr">
        <is>
          <t>High</t>
        </is>
      </c>
      <c r="F10" s="5" t="inlineStr"/>
      <c r="G10" s="5" t="inlineStr"/>
      <c r="H10" s="5" t="inlineStr"/>
      <c r="I10" s="5" t="inlineStr"/>
      <c r="J10" s="5" t="inlineStr"/>
      <c r="K10" s="5" t="inlineStr">
        <is>
          <t>New</t>
        </is>
      </c>
      <c r="L10" s="5" t="inlineStr">
        <is>
          <t>2026-09-16</t>
        </is>
      </c>
      <c r="M10" s="5" t="inlineStr"/>
      <c r="N10" s="5" t="inlineStr"/>
      <c r="O10" s="5" t="inlineStr"/>
      <c r="P10" s="5" t="inlineStr"/>
      <c r="Q10" s="5" t="inlineStr"/>
      <c r="R10" s="5" t="inlineStr"/>
      <c r="S10" s="5" t="inlineStr"/>
      <c r="T10" s="5" t="inlineStr">
        <is>
          <t>No</t>
        </is>
      </c>
      <c r="U10" s="5" t="inlineStr">
        <is>
          <t>Legitimate interest (B2B) - assess per campaign; PECR: corporate subscribers</t>
        </is>
      </c>
    </row>
    <row r="11">
      <c r="A11" s="10" t="inlineStr">
        <is>
          <t>WY-0053</t>
        </is>
      </c>
      <c r="B11" s="10" t="inlineStr">
        <is>
          <t>Azeem's Vape Shop</t>
        </is>
      </c>
      <c r="C11" s="10" t="inlineStr">
        <is>
          <t>Keighley</t>
        </is>
      </c>
      <c r="D11" s="10" t="inlineStr">
        <is>
          <t>Vape Shop</t>
        </is>
      </c>
      <c r="E11" s="10" t="inlineStr">
        <is>
          <t>High</t>
        </is>
      </c>
      <c r="F11" s="10" t="inlineStr">
        <is>
          <t>01535 213920</t>
        </is>
      </c>
      <c r="G11" s="10" t="inlineStr">
        <is>
          <t>info@azeemsvapeshop.co.uk</t>
        </is>
      </c>
      <c r="H11" s="10" t="inlineStr"/>
      <c r="I11" s="10" t="inlineStr"/>
      <c r="J11" s="10" t="inlineStr"/>
      <c r="K11" s="10" t="inlineStr">
        <is>
          <t>New</t>
        </is>
      </c>
      <c r="L11" s="10" t="inlineStr">
        <is>
          <t>2026-09-16</t>
        </is>
      </c>
      <c r="M11" s="10" t="inlineStr"/>
      <c r="N11" s="10" t="inlineStr"/>
      <c r="O11" s="10" t="inlineStr"/>
      <c r="P11" s="10" t="inlineStr"/>
      <c r="Q11" s="10" t="inlineStr"/>
      <c r="R11" s="10" t="inlineStr"/>
      <c r="S11" s="10" t="inlineStr"/>
      <c r="T11" s="10" t="inlineStr">
        <is>
          <t>No</t>
        </is>
      </c>
      <c r="U11" s="10" t="inlineStr">
        <is>
          <t>Legitimate interest (B2B) - assess per campaign; PECR: corporate subscribers</t>
        </is>
      </c>
    </row>
    <row r="12">
      <c r="A12" s="5" t="inlineStr">
        <is>
          <t>WY-0059</t>
        </is>
      </c>
      <c r="B12" s="5" t="inlineStr">
        <is>
          <t>Barry's Cash &amp; Carry</t>
        </is>
      </c>
      <c r="C12" s="5" t="inlineStr">
        <is>
          <t>Halifax</t>
        </is>
      </c>
      <c r="D12" s="5" t="inlineStr">
        <is>
          <t>Cash &amp; Carry</t>
        </is>
      </c>
      <c r="E12" s="5" t="inlineStr">
        <is>
          <t>High</t>
        </is>
      </c>
      <c r="F12" s="5" t="inlineStr">
        <is>
          <t>01422 646060</t>
        </is>
      </c>
      <c r="G12" s="5" t="inlineStr">
        <is>
          <t>info@cutpricebarrys.co.uk</t>
        </is>
      </c>
      <c r="H12" s="5" t="inlineStr"/>
      <c r="I12" s="5" t="inlineStr"/>
      <c r="J12" s="5" t="inlineStr"/>
      <c r="K12" s="5" t="inlineStr">
        <is>
          <t>New</t>
        </is>
      </c>
      <c r="L12" s="5" t="inlineStr">
        <is>
          <t>2026-09-16</t>
        </is>
      </c>
      <c r="M12" s="5" t="inlineStr"/>
      <c r="N12" s="5" t="inlineStr"/>
      <c r="O12" s="5" t="inlineStr"/>
      <c r="P12" s="5" t="inlineStr"/>
      <c r="Q12" s="5" t="inlineStr"/>
      <c r="R12" s="5" t="inlineStr"/>
      <c r="S12" s="5" t="inlineStr"/>
      <c r="T12" s="5" t="inlineStr">
        <is>
          <t>No</t>
        </is>
      </c>
      <c r="U12" s="5" t="inlineStr">
        <is>
          <t>Legitimate interest (B2B) - assess per campaign; PECR: corporate subscribers</t>
        </is>
      </c>
    </row>
    <row r="13">
      <c r="A13" s="10" t="inlineStr">
        <is>
          <t>WY-0061</t>
        </is>
      </c>
      <c r="B13" s="10" t="inlineStr">
        <is>
          <t>Beer Ritz</t>
        </is>
      </c>
      <c r="C13" s="10" t="inlineStr">
        <is>
          <t>Leeds</t>
        </is>
      </c>
      <c r="D13" s="10" t="inlineStr">
        <is>
          <t>Off-Licence</t>
        </is>
      </c>
      <c r="E13" s="10" t="inlineStr">
        <is>
          <t>High</t>
        </is>
      </c>
      <c r="F13" s="10" t="inlineStr">
        <is>
          <t>0113 275 3464</t>
        </is>
      </c>
      <c r="G13" s="10" t="inlineStr"/>
      <c r="H13" s="10" t="inlineStr">
        <is>
          <t>sales@beerritz.co.uk</t>
        </is>
      </c>
      <c r="I13" s="10" t="inlineStr"/>
      <c r="J13" s="10" t="inlineStr"/>
      <c r="K13" s="10" t="inlineStr">
        <is>
          <t>New</t>
        </is>
      </c>
      <c r="L13" s="10" t="inlineStr">
        <is>
          <t>2026-09-16</t>
        </is>
      </c>
      <c r="M13" s="10" t="inlineStr"/>
      <c r="N13" s="10" t="inlineStr"/>
      <c r="O13" s="10" t="inlineStr"/>
      <c r="P13" s="10" t="inlineStr"/>
      <c r="Q13" s="10" t="inlineStr"/>
      <c r="R13" s="10" t="inlineStr"/>
      <c r="S13" s="10" t="inlineStr"/>
      <c r="T13" s="10" t="inlineStr">
        <is>
          <t>No</t>
        </is>
      </c>
      <c r="U13" s="10" t="inlineStr">
        <is>
          <t>Legitimate interest (B2B) - assess per campaign; PECR: corporate subscribers</t>
        </is>
      </c>
    </row>
    <row r="14">
      <c r="A14" s="5" t="inlineStr">
        <is>
          <t>WY-0063</t>
        </is>
      </c>
      <c r="B14" s="5" t="inlineStr">
        <is>
          <t>Best Choice Wholesale</t>
        </is>
      </c>
      <c r="C14" s="5" t="inlineStr">
        <is>
          <t>Leeds</t>
        </is>
      </c>
      <c r="D14" s="5" t="inlineStr">
        <is>
          <t>Cash &amp; Carry</t>
        </is>
      </c>
      <c r="E14" s="5" t="inlineStr">
        <is>
          <t>High</t>
        </is>
      </c>
      <c r="F14" s="5" t="inlineStr">
        <is>
          <t>0113 531 6345</t>
        </is>
      </c>
      <c r="G14" s="5" t="inlineStr">
        <is>
          <t>info@bestchoicewholesale.co.uk</t>
        </is>
      </c>
      <c r="H14" s="5" t="inlineStr"/>
      <c r="I14" s="5" t="inlineStr"/>
      <c r="J14" s="5" t="inlineStr"/>
      <c r="K14" s="5" t="inlineStr">
        <is>
          <t>New</t>
        </is>
      </c>
      <c r="L14" s="5" t="inlineStr">
        <is>
          <t>2026-09-16</t>
        </is>
      </c>
      <c r="M14" s="5" t="inlineStr"/>
      <c r="N14" s="5" t="inlineStr"/>
      <c r="O14" s="5" t="inlineStr"/>
      <c r="P14" s="5" t="inlineStr"/>
      <c r="Q14" s="5" t="inlineStr"/>
      <c r="R14" s="5" t="inlineStr"/>
      <c r="S14" s="5" t="inlineStr"/>
      <c r="T14" s="5" t="inlineStr">
        <is>
          <t>No</t>
        </is>
      </c>
      <c r="U14" s="5" t="inlineStr">
        <is>
          <t>Legitimate interest (B2B) - assess per campaign; PECR: corporate subscribers</t>
        </is>
      </c>
    </row>
    <row r="15">
      <c r="A15" s="10" t="inlineStr">
        <is>
          <t>WY-0012</t>
        </is>
      </c>
      <c r="B15" s="10" t="inlineStr">
        <is>
          <t>C.Gars Leeds (Dominique London)</t>
        </is>
      </c>
      <c r="C15" s="10" t="inlineStr">
        <is>
          <t>Leeds</t>
        </is>
      </c>
      <c r="D15" s="10" t="inlineStr">
        <is>
          <t>Tobacco Specialist</t>
        </is>
      </c>
      <c r="E15" s="10" t="inlineStr">
        <is>
          <t>High</t>
        </is>
      </c>
      <c r="F15" s="10" t="inlineStr">
        <is>
          <t>0113 244 5556</t>
        </is>
      </c>
      <c r="G15" s="10" t="inlineStr"/>
      <c r="H15" s="10" t="inlineStr"/>
      <c r="I15" s="10" t="inlineStr"/>
      <c r="J15" s="10" t="inlineStr"/>
      <c r="K15" s="10" t="inlineStr">
        <is>
          <t>New</t>
        </is>
      </c>
      <c r="L15" s="10" t="inlineStr">
        <is>
          <t>2026-09-16</t>
        </is>
      </c>
      <c r="M15" s="10" t="inlineStr"/>
      <c r="N15" s="10" t="inlineStr"/>
      <c r="O15" s="10" t="inlineStr"/>
      <c r="P15" s="10" t="inlineStr"/>
      <c r="Q15" s="10" t="inlineStr"/>
      <c r="R15" s="10" t="inlineStr"/>
      <c r="S15" s="10" t="inlineStr"/>
      <c r="T15" s="10" t="inlineStr">
        <is>
          <t>No</t>
        </is>
      </c>
      <c r="U15" s="10" t="inlineStr">
        <is>
          <t>Legitimate interest (B2B) - assess per campaign; PECR: corporate subscribers</t>
        </is>
      </c>
    </row>
    <row r="16">
      <c r="A16" s="5" t="inlineStr">
        <is>
          <t>WY-0011</t>
        </is>
      </c>
      <c r="B16" s="5" t="inlineStr">
        <is>
          <t>Cheapasmokes</t>
        </is>
      </c>
      <c r="C16" s="5" t="inlineStr">
        <is>
          <t>Halifax</t>
        </is>
      </c>
      <c r="D16" s="5" t="inlineStr">
        <is>
          <t>Tobacco Specialist</t>
        </is>
      </c>
      <c r="E16" s="5" t="inlineStr">
        <is>
          <t>High</t>
        </is>
      </c>
      <c r="F16" s="5" t="inlineStr">
        <is>
          <t>01422 355554</t>
        </is>
      </c>
      <c r="G16" s="5" t="inlineStr"/>
      <c r="H16" s="5" t="inlineStr">
        <is>
          <t>sales@cheapasmokes.com</t>
        </is>
      </c>
      <c r="I16" s="5" t="inlineStr"/>
      <c r="J16" s="5" t="inlineStr"/>
      <c r="K16" s="5" t="inlineStr">
        <is>
          <t>New</t>
        </is>
      </c>
      <c r="L16" s="5" t="inlineStr">
        <is>
          <t>2026-09-16</t>
        </is>
      </c>
      <c r="M16" s="5" t="inlineStr"/>
      <c r="N16" s="5" t="inlineStr"/>
      <c r="O16" s="5" t="inlineStr"/>
      <c r="P16" s="5" t="inlineStr"/>
      <c r="Q16" s="5" t="inlineStr"/>
      <c r="R16" s="5" t="inlineStr"/>
      <c r="S16" s="5" t="inlineStr"/>
      <c r="T16" s="5" t="inlineStr">
        <is>
          <t>No</t>
        </is>
      </c>
      <c r="U16" s="5" t="inlineStr">
        <is>
          <t>Legitimate interest (B2B) - assess per campaign; PECR: corporate subscribers</t>
        </is>
      </c>
    </row>
    <row r="17">
      <c r="A17" s="10" t="inlineStr">
        <is>
          <t>WY-0013</t>
        </is>
      </c>
      <c r="B17" s="10" t="inlineStr">
        <is>
          <t>Ecig N Vape South Elmsall</t>
        </is>
      </c>
      <c r="C17" s="10" t="inlineStr">
        <is>
          <t>South Elmsall</t>
        </is>
      </c>
      <c r="D17" s="10" t="inlineStr">
        <is>
          <t>Vape Shop</t>
        </is>
      </c>
      <c r="E17" s="10" t="inlineStr">
        <is>
          <t>High</t>
        </is>
      </c>
      <c r="F17" s="10" t="inlineStr">
        <is>
          <t>01977 647267</t>
        </is>
      </c>
      <c r="G17" s="10" t="inlineStr"/>
      <c r="H17" s="10" t="inlineStr"/>
      <c r="I17" s="10" t="inlineStr"/>
      <c r="J17" s="10" t="inlineStr"/>
      <c r="K17" s="10" t="inlineStr">
        <is>
          <t>New</t>
        </is>
      </c>
      <c r="L17" s="10" t="inlineStr">
        <is>
          <t>2026-09-16</t>
        </is>
      </c>
      <c r="M17" s="10" t="inlineStr"/>
      <c r="N17" s="10" t="inlineStr"/>
      <c r="O17" s="10" t="inlineStr"/>
      <c r="P17" s="10" t="inlineStr"/>
      <c r="Q17" s="10" t="inlineStr"/>
      <c r="R17" s="10" t="inlineStr"/>
      <c r="S17" s="10" t="inlineStr"/>
      <c r="T17" s="10" t="inlineStr">
        <is>
          <t>No</t>
        </is>
      </c>
      <c r="U17" s="10" t="inlineStr">
        <is>
          <t>Legitimate interest (B2B) - assess per campaign; PECR: corporate subscribers</t>
        </is>
      </c>
    </row>
    <row r="18">
      <c r="A18" s="5" t="inlineStr">
        <is>
          <t>WY-0093</t>
        </is>
      </c>
      <c r="B18" s="5" t="inlineStr">
        <is>
          <t>Halal Sweets Company</t>
        </is>
      </c>
      <c r="C18" s="5" t="inlineStr">
        <is>
          <t>Bradford</t>
        </is>
      </c>
      <c r="D18" s="5" t="inlineStr">
        <is>
          <t>Cash &amp; Carry</t>
        </is>
      </c>
      <c r="E18" s="5" t="inlineStr">
        <is>
          <t>High</t>
        </is>
      </c>
      <c r="F18" s="5" t="inlineStr"/>
      <c r="G18" s="5" t="inlineStr">
        <is>
          <t>support@halalsweetscompany.co.uk</t>
        </is>
      </c>
      <c r="H18" s="5" t="inlineStr"/>
      <c r="I18" s="5" t="inlineStr"/>
      <c r="J18" s="5" t="inlineStr"/>
      <c r="K18" s="5" t="inlineStr">
        <is>
          <t>New</t>
        </is>
      </c>
      <c r="L18" s="5" t="inlineStr">
        <is>
          <t>2026-09-16</t>
        </is>
      </c>
      <c r="M18" s="5" t="inlineStr"/>
      <c r="N18" s="5" t="inlineStr"/>
      <c r="O18" s="5" t="inlineStr"/>
      <c r="P18" s="5" t="inlineStr"/>
      <c r="Q18" s="5" t="inlineStr"/>
      <c r="R18" s="5" t="inlineStr"/>
      <c r="S18" s="5" t="inlineStr"/>
      <c r="T18" s="5" t="inlineStr">
        <is>
          <t>No</t>
        </is>
      </c>
      <c r="U18" s="5" t="inlineStr">
        <is>
          <t>Legitimate interest (B2B) - assess per campaign; PECR: corporate subscribers</t>
        </is>
      </c>
    </row>
    <row r="19">
      <c r="A19" s="10" t="inlineStr">
        <is>
          <t>WY-0015</t>
        </is>
      </c>
      <c r="B19" s="10" t="inlineStr">
        <is>
          <t>KPM Vapes</t>
        </is>
      </c>
      <c r="C19" s="10" t="inlineStr">
        <is>
          <t>Huddersfield</t>
        </is>
      </c>
      <c r="D19" s="10" t="inlineStr">
        <is>
          <t>Vape Shop</t>
        </is>
      </c>
      <c r="E19" s="10" t="inlineStr">
        <is>
          <t>High</t>
        </is>
      </c>
      <c r="F19" s="10" t="inlineStr">
        <is>
          <t>07463 530406</t>
        </is>
      </c>
      <c r="G19" s="10" t="inlineStr">
        <is>
          <t>kpmvapes@outlook.com</t>
        </is>
      </c>
      <c r="H19" s="10" t="inlineStr"/>
      <c r="I19" s="10" t="inlineStr"/>
      <c r="J19" s="10" t="inlineStr"/>
      <c r="K19" s="10" t="inlineStr">
        <is>
          <t>New</t>
        </is>
      </c>
      <c r="L19" s="10" t="inlineStr">
        <is>
          <t>2026-09-16</t>
        </is>
      </c>
      <c r="M19" s="10" t="inlineStr"/>
      <c r="N19" s="10" t="inlineStr"/>
      <c r="O19" s="10" t="inlineStr"/>
      <c r="P19" s="10" t="inlineStr"/>
      <c r="Q19" s="10" t="inlineStr"/>
      <c r="R19" s="10" t="inlineStr"/>
      <c r="S19" s="10" t="inlineStr"/>
      <c r="T19" s="10" t="inlineStr">
        <is>
          <t>No</t>
        </is>
      </c>
      <c r="U19" s="10" t="inlineStr">
        <is>
          <t>Legitimate interest (B2B) - assess per campaign; PECR: corporate subscribers</t>
        </is>
      </c>
    </row>
    <row r="20">
      <c r="A20" s="5" t="inlineStr">
        <is>
          <t>WY-0018</t>
        </is>
      </c>
      <c r="B20" s="5" t="inlineStr">
        <is>
          <t>Manchester Superstore Bradford</t>
        </is>
      </c>
      <c r="C20" s="5" t="inlineStr">
        <is>
          <t>Bradford</t>
        </is>
      </c>
      <c r="D20" s="5" t="inlineStr">
        <is>
          <t>Independent Supermarket</t>
        </is>
      </c>
      <c r="E20" s="5" t="inlineStr">
        <is>
          <t>High</t>
        </is>
      </c>
      <c r="F20" s="5" t="inlineStr">
        <is>
          <t>01274 668800</t>
        </is>
      </c>
      <c r="G20" s="5" t="inlineStr">
        <is>
          <t>mssbradford01@gmail.com</t>
        </is>
      </c>
      <c r="H20" s="5" t="inlineStr"/>
      <c r="I20" s="5" t="inlineStr"/>
      <c r="J20" s="5" t="inlineStr"/>
      <c r="K20" s="5" t="inlineStr">
        <is>
          <t>New</t>
        </is>
      </c>
      <c r="L20" s="5" t="inlineStr">
        <is>
          <t>2026-09-16</t>
        </is>
      </c>
      <c r="M20" s="5" t="inlineStr"/>
      <c r="N20" s="5" t="inlineStr"/>
      <c r="O20" s="5" t="inlineStr"/>
      <c r="P20" s="5" t="inlineStr"/>
      <c r="Q20" s="5" t="inlineStr"/>
      <c r="R20" s="5" t="inlineStr"/>
      <c r="S20" s="5" t="inlineStr"/>
      <c r="T20" s="5" t="inlineStr">
        <is>
          <t>No</t>
        </is>
      </c>
      <c r="U20" s="5" t="inlineStr">
        <is>
          <t>Legitimate interest (B2B) - assess per campaign; PECR: corporate subscribers</t>
        </is>
      </c>
    </row>
    <row r="21">
      <c r="A21" s="10" t="inlineStr">
        <is>
          <t>WY-0118</t>
        </is>
      </c>
      <c r="B21" s="10" t="inlineStr">
        <is>
          <t>Martinez Wines</t>
        </is>
      </c>
      <c r="C21" s="10" t="inlineStr">
        <is>
          <t>Ilkley</t>
        </is>
      </c>
      <c r="D21" s="10" t="inlineStr">
        <is>
          <t>Off-Licence</t>
        </is>
      </c>
      <c r="E21" s="10" t="inlineStr">
        <is>
          <t>High</t>
        </is>
      </c>
      <c r="F21" s="10" t="inlineStr">
        <is>
          <t>01943 600000</t>
        </is>
      </c>
      <c r="G21" s="10" t="inlineStr">
        <is>
          <t>shop@martinez.co.uk</t>
        </is>
      </c>
      <c r="H21" s="10" t="inlineStr"/>
      <c r="I21" s="10" t="inlineStr"/>
      <c r="J21" s="10" t="inlineStr"/>
      <c r="K21" s="10" t="inlineStr">
        <is>
          <t>New</t>
        </is>
      </c>
      <c r="L21" s="10" t="inlineStr">
        <is>
          <t>2026-09-16</t>
        </is>
      </c>
      <c r="M21" s="10" t="inlineStr"/>
      <c r="N21" s="10" t="inlineStr"/>
      <c r="O21" s="10" t="inlineStr"/>
      <c r="P21" s="10" t="inlineStr"/>
      <c r="Q21" s="10" t="inlineStr"/>
      <c r="R21" s="10" t="inlineStr"/>
      <c r="S21" s="10" t="inlineStr"/>
      <c r="T21" s="10" t="inlineStr">
        <is>
          <t>No</t>
        </is>
      </c>
      <c r="U21" s="10" t="inlineStr">
        <is>
          <t>Legitimate interest (B2B) - assess per campaign; PECR: corporate subscribers</t>
        </is>
      </c>
    </row>
    <row r="22">
      <c r="A22" s="5" t="inlineStr">
        <is>
          <t>WY-0005</t>
        </is>
      </c>
      <c r="B22" s="5" t="inlineStr">
        <is>
          <t>Parfetts Cash &amp; Carry (Halifax)</t>
        </is>
      </c>
      <c r="C22" s="5" t="inlineStr">
        <is>
          <t>Halifax</t>
        </is>
      </c>
      <c r="D22" s="5" t="inlineStr">
        <is>
          <t>Cash &amp; Carry</t>
        </is>
      </c>
      <c r="E22" s="5" t="inlineStr">
        <is>
          <t>High</t>
        </is>
      </c>
      <c r="F22" s="5" t="inlineStr">
        <is>
          <t>01422 363167</t>
        </is>
      </c>
      <c r="G22" s="5" t="inlineStr"/>
      <c r="H22" s="5" t="inlineStr"/>
      <c r="I22" s="5" t="inlineStr"/>
      <c r="J22" s="5" t="inlineStr"/>
      <c r="K22" s="5" t="inlineStr">
        <is>
          <t>New</t>
        </is>
      </c>
      <c r="L22" s="5" t="inlineStr">
        <is>
          <t>2026-09-16</t>
        </is>
      </c>
      <c r="M22" s="5" t="inlineStr"/>
      <c r="N22" s="5" t="inlineStr"/>
      <c r="O22" s="5" t="inlineStr"/>
      <c r="P22" s="5" t="inlineStr"/>
      <c r="Q22" s="5" t="inlineStr"/>
      <c r="R22" s="5" t="inlineStr"/>
      <c r="S22" s="5" t="inlineStr"/>
      <c r="T22" s="5" t="inlineStr">
        <is>
          <t>No</t>
        </is>
      </c>
      <c r="U22" s="5" t="inlineStr">
        <is>
          <t>Legitimate interest (B2B) - assess per campaign; PECR: corporate subscribers</t>
        </is>
      </c>
    </row>
    <row r="23">
      <c r="A23" s="10" t="inlineStr">
        <is>
          <t>WY-0139</t>
        </is>
      </c>
      <c r="B23" s="10" t="inlineStr">
        <is>
          <t>Ryans The Tobacconist</t>
        </is>
      </c>
      <c r="C23" s="10" t="inlineStr">
        <is>
          <t>Leeds</t>
        </is>
      </c>
      <c r="D23" s="10" t="inlineStr">
        <is>
          <t>Tobacco Specialist</t>
        </is>
      </c>
      <c r="E23" s="10" t="inlineStr">
        <is>
          <t>High</t>
        </is>
      </c>
      <c r="F23" s="10" t="inlineStr">
        <is>
          <t>0113 242 2585</t>
        </is>
      </c>
      <c r="G23" s="10" t="inlineStr">
        <is>
          <t>Ryans.2000@outlook.com</t>
        </is>
      </c>
      <c r="H23" s="10" t="inlineStr"/>
      <c r="I23" s="10" t="inlineStr"/>
      <c r="J23" s="10" t="inlineStr"/>
      <c r="K23" s="10" t="inlineStr">
        <is>
          <t>New</t>
        </is>
      </c>
      <c r="L23" s="10" t="inlineStr">
        <is>
          <t>2026-09-16</t>
        </is>
      </c>
      <c r="M23" s="10" t="inlineStr"/>
      <c r="N23" s="10" t="inlineStr"/>
      <c r="O23" s="10" t="inlineStr"/>
      <c r="P23" s="10" t="inlineStr"/>
      <c r="Q23" s="10" t="inlineStr"/>
      <c r="R23" s="10" t="inlineStr"/>
      <c r="S23" s="10" t="inlineStr"/>
      <c r="T23" s="10" t="inlineStr">
        <is>
          <t>No</t>
        </is>
      </c>
      <c r="U23" s="10" t="inlineStr">
        <is>
          <t>Legitimate interest (B2B) - assess per campaign; PECR: corporate subscribers</t>
        </is>
      </c>
    </row>
    <row r="24">
      <c r="A24" s="5" t="inlineStr">
        <is>
          <t>WY-0022</t>
        </is>
      </c>
      <c r="B24" s="5" t="inlineStr">
        <is>
          <t>SMKD</t>
        </is>
      </c>
      <c r="C24" s="5" t="inlineStr">
        <is>
          <t>Halifax</t>
        </is>
      </c>
      <c r="D24" s="5" t="inlineStr">
        <is>
          <t>Vape Shop</t>
        </is>
      </c>
      <c r="E24" s="5" t="inlineStr">
        <is>
          <t>High</t>
        </is>
      </c>
      <c r="F24" s="5" t="inlineStr"/>
      <c r="G24" s="5" t="inlineStr">
        <is>
          <t>info@smkd.com</t>
        </is>
      </c>
      <c r="H24" s="5" t="inlineStr"/>
      <c r="I24" s="5" t="inlineStr"/>
      <c r="J24" s="5" t="inlineStr"/>
      <c r="K24" s="5" t="inlineStr">
        <is>
          <t>New</t>
        </is>
      </c>
      <c r="L24" s="5" t="inlineStr">
        <is>
          <t>2026-09-16</t>
        </is>
      </c>
      <c r="M24" s="5" t="inlineStr"/>
      <c r="N24" s="5" t="inlineStr"/>
      <c r="O24" s="5" t="inlineStr"/>
      <c r="P24" s="5" t="inlineStr"/>
      <c r="Q24" s="5" t="inlineStr"/>
      <c r="R24" s="5" t="inlineStr"/>
      <c r="S24" s="5" t="inlineStr"/>
      <c r="T24" s="5" t="inlineStr">
        <is>
          <t>No</t>
        </is>
      </c>
      <c r="U24" s="5" t="inlineStr">
        <is>
          <t>Legitimate interest (B2B) - assess per campaign; PECR: corporate subscribers</t>
        </is>
      </c>
    </row>
    <row r="25">
      <c r="A25" s="10" t="inlineStr">
        <is>
          <t>WY-0023</t>
        </is>
      </c>
      <c r="B25" s="10" t="inlineStr">
        <is>
          <t>SMKD</t>
        </is>
      </c>
      <c r="C25" s="10" t="inlineStr">
        <is>
          <t>Hebden Bridge</t>
        </is>
      </c>
      <c r="D25" s="10" t="inlineStr">
        <is>
          <t>Vape Shop</t>
        </is>
      </c>
      <c r="E25" s="10" t="inlineStr">
        <is>
          <t>High</t>
        </is>
      </c>
      <c r="F25" s="10" t="inlineStr">
        <is>
          <t>01274 270303</t>
        </is>
      </c>
      <c r="G25" s="10" t="inlineStr">
        <is>
          <t>info@smkd.com</t>
        </is>
      </c>
      <c r="H25" s="10" t="inlineStr"/>
      <c r="I25" s="10" t="inlineStr"/>
      <c r="J25" s="10" t="inlineStr"/>
      <c r="K25" s="10" t="inlineStr">
        <is>
          <t>New</t>
        </is>
      </c>
      <c r="L25" s="10" t="inlineStr">
        <is>
          <t>2026-09-16</t>
        </is>
      </c>
      <c r="M25" s="10" t="inlineStr"/>
      <c r="N25" s="10" t="inlineStr"/>
      <c r="O25" s="10" t="inlineStr"/>
      <c r="P25" s="10" t="inlineStr"/>
      <c r="Q25" s="10" t="inlineStr"/>
      <c r="R25" s="10" t="inlineStr"/>
      <c r="S25" s="10" t="inlineStr"/>
      <c r="T25" s="10" t="inlineStr">
        <is>
          <t>No</t>
        </is>
      </c>
      <c r="U25" s="10" t="inlineStr">
        <is>
          <t>Legitimate interest (B2B) - assess per campaign; PECR: corporate subscribers</t>
        </is>
      </c>
    </row>
    <row r="26">
      <c r="A26" s="5" t="inlineStr">
        <is>
          <t>WY-0140</t>
        </is>
      </c>
      <c r="B26" s="5" t="inlineStr">
        <is>
          <t>SMKD</t>
        </is>
      </c>
      <c r="C26" s="5" t="inlineStr">
        <is>
          <t>Bradford</t>
        </is>
      </c>
      <c r="D26" s="5" t="inlineStr">
        <is>
          <t>Vape Shop</t>
        </is>
      </c>
      <c r="E26" s="5" t="inlineStr">
        <is>
          <t>High</t>
        </is>
      </c>
      <c r="F26" s="5" t="inlineStr">
        <is>
          <t>01274 270303</t>
        </is>
      </c>
      <c r="G26" s="5" t="inlineStr">
        <is>
          <t>info@smkd.com</t>
        </is>
      </c>
      <c r="H26" s="5" t="inlineStr"/>
      <c r="I26" s="5" t="inlineStr"/>
      <c r="J26" s="5" t="inlineStr"/>
      <c r="K26" s="5" t="inlineStr">
        <is>
          <t>New</t>
        </is>
      </c>
      <c r="L26" s="5" t="inlineStr">
        <is>
          <t>2026-09-16</t>
        </is>
      </c>
      <c r="M26" s="5" t="inlineStr"/>
      <c r="N26" s="5" t="inlineStr"/>
      <c r="O26" s="5" t="inlineStr"/>
      <c r="P26" s="5" t="inlineStr"/>
      <c r="Q26" s="5" t="inlineStr"/>
      <c r="R26" s="5" t="inlineStr"/>
      <c r="S26" s="5" t="inlineStr"/>
      <c r="T26" s="5" t="inlineStr">
        <is>
          <t>No</t>
        </is>
      </c>
      <c r="U26" s="5" t="inlineStr">
        <is>
          <t>Legitimate interest (B2B) - assess per campaign; PECR: corporate subscribers</t>
        </is>
      </c>
    </row>
    <row r="27">
      <c r="A27" s="10" t="inlineStr">
        <is>
          <t>WY-0024</t>
        </is>
      </c>
      <c r="B27" s="10" t="inlineStr">
        <is>
          <t>SMKD - E Cigarettes and Vape Shop (Wakefield)</t>
        </is>
      </c>
      <c r="C27" s="10" t="inlineStr">
        <is>
          <t>Wakefield</t>
        </is>
      </c>
      <c r="D27" s="10" t="inlineStr">
        <is>
          <t>Vape Shop</t>
        </is>
      </c>
      <c r="E27" s="10" t="inlineStr">
        <is>
          <t>High</t>
        </is>
      </c>
      <c r="F27" s="10" t="inlineStr">
        <is>
          <t>01924 728100</t>
        </is>
      </c>
      <c r="G27" s="10" t="inlineStr">
        <is>
          <t>info@smkd.com</t>
        </is>
      </c>
      <c r="H27" s="10" t="inlineStr"/>
      <c r="I27" s="10" t="inlineStr"/>
      <c r="J27" s="10" t="inlineStr"/>
      <c r="K27" s="10" t="inlineStr">
        <is>
          <t>New</t>
        </is>
      </c>
      <c r="L27" s="10" t="inlineStr">
        <is>
          <t>2026-09-16</t>
        </is>
      </c>
      <c r="M27" s="10" t="inlineStr"/>
      <c r="N27" s="10" t="inlineStr"/>
      <c r="O27" s="10" t="inlineStr"/>
      <c r="P27" s="10" t="inlineStr"/>
      <c r="Q27" s="10" t="inlineStr"/>
      <c r="R27" s="10" t="inlineStr"/>
      <c r="S27" s="10" t="inlineStr"/>
      <c r="T27" s="10" t="inlineStr">
        <is>
          <t>No</t>
        </is>
      </c>
      <c r="U27" s="10" t="inlineStr">
        <is>
          <t>Legitimate interest (B2B) - assess per campaign; PECR: corporate subscribers</t>
        </is>
      </c>
    </row>
    <row r="28">
      <c r="A28" s="5" t="inlineStr">
        <is>
          <t>WY-0026</t>
        </is>
      </c>
      <c r="B28" s="5" t="inlineStr">
        <is>
          <t>Sing Kee Foods (Sheepscar)</t>
        </is>
      </c>
      <c r="C28" s="5" t="inlineStr">
        <is>
          <t>Leeds</t>
        </is>
      </c>
      <c r="D28" s="5" t="inlineStr">
        <is>
          <t>Independent Supermarket</t>
        </is>
      </c>
      <c r="E28" s="5" t="inlineStr">
        <is>
          <t>High</t>
        </is>
      </c>
      <c r="F28" s="5" t="inlineStr">
        <is>
          <t>0113 898 0168</t>
        </is>
      </c>
      <c r="G28" s="5" t="inlineStr"/>
      <c r="H28" s="5" t="inlineStr">
        <is>
          <t>wholesale@singkeefoods.co.uk</t>
        </is>
      </c>
      <c r="I28" s="5" t="inlineStr"/>
      <c r="J28" s="5" t="inlineStr"/>
      <c r="K28" s="5" t="inlineStr">
        <is>
          <t>New</t>
        </is>
      </c>
      <c r="L28" s="5" t="inlineStr">
        <is>
          <t>2026-09-16</t>
        </is>
      </c>
      <c r="M28" s="5" t="inlineStr"/>
      <c r="N28" s="5" t="inlineStr"/>
      <c r="O28" s="5" t="inlineStr"/>
      <c r="P28" s="5" t="inlineStr"/>
      <c r="Q28" s="5" t="inlineStr"/>
      <c r="R28" s="5" t="inlineStr"/>
      <c r="S28" s="5" t="inlineStr"/>
      <c r="T28" s="5" t="inlineStr">
        <is>
          <t>No</t>
        </is>
      </c>
      <c r="U28" s="5" t="inlineStr">
        <is>
          <t>Legitimate interest (B2B) - assess per campaign; PECR: corporate subscribers</t>
        </is>
      </c>
    </row>
    <row r="29">
      <c r="A29" s="10" t="inlineStr">
        <is>
          <t>WY-0027</t>
        </is>
      </c>
      <c r="B29" s="10" t="inlineStr">
        <is>
          <t>Sing Kee Oriental Supermarket (Merrion Centre)</t>
        </is>
      </c>
      <c r="C29" s="10" t="inlineStr">
        <is>
          <t>Leeds</t>
        </is>
      </c>
      <c r="D29" s="10" t="inlineStr">
        <is>
          <t>Independent Supermarket</t>
        </is>
      </c>
      <c r="E29" s="10" t="inlineStr">
        <is>
          <t>High</t>
        </is>
      </c>
      <c r="F29" s="10" t="inlineStr"/>
      <c r="G29" s="10" t="inlineStr"/>
      <c r="H29" s="10" t="inlineStr"/>
      <c r="I29" s="10" t="inlineStr"/>
      <c r="J29" s="10" t="inlineStr"/>
      <c r="K29" s="10" t="inlineStr">
        <is>
          <t>New</t>
        </is>
      </c>
      <c r="L29" s="10" t="inlineStr">
        <is>
          <t>2026-09-16</t>
        </is>
      </c>
      <c r="M29" s="10" t="inlineStr"/>
      <c r="N29" s="10" t="inlineStr"/>
      <c r="O29" s="10" t="inlineStr"/>
      <c r="P29" s="10" t="inlineStr"/>
      <c r="Q29" s="10" t="inlineStr"/>
      <c r="R29" s="10" t="inlineStr"/>
      <c r="S29" s="10" t="inlineStr"/>
      <c r="T29" s="10" t="inlineStr">
        <is>
          <t>No</t>
        </is>
      </c>
      <c r="U29" s="10" t="inlineStr">
        <is>
          <t>Legitimate interest (B2B) - assess per campaign; PECR: corporate subscribers</t>
        </is>
      </c>
    </row>
    <row r="30">
      <c r="A30" s="5" t="inlineStr">
        <is>
          <t>WY-0148</t>
        </is>
      </c>
      <c r="B30" s="5" t="inlineStr">
        <is>
          <t>Smoke-King Tobacconist</t>
        </is>
      </c>
      <c r="C30" s="5" t="inlineStr">
        <is>
          <t>Otley</t>
        </is>
      </c>
      <c r="D30" s="5" t="inlineStr">
        <is>
          <t>Tobacco Specialist</t>
        </is>
      </c>
      <c r="E30" s="5" t="inlineStr">
        <is>
          <t>High</t>
        </is>
      </c>
      <c r="F30" s="5" t="inlineStr">
        <is>
          <t>0113 217 7723</t>
        </is>
      </c>
      <c r="G30" s="5" t="inlineStr">
        <is>
          <t>enquiries@smoke-king.co.uk</t>
        </is>
      </c>
      <c r="H30" s="5" t="inlineStr"/>
      <c r="I30" s="5" t="inlineStr"/>
      <c r="J30" s="5" t="inlineStr"/>
      <c r="K30" s="5" t="inlineStr">
        <is>
          <t>New</t>
        </is>
      </c>
      <c r="L30" s="5" t="inlineStr">
        <is>
          <t>2026-09-16</t>
        </is>
      </c>
      <c r="M30" s="5" t="inlineStr"/>
      <c r="N30" s="5" t="inlineStr"/>
      <c r="O30" s="5" t="inlineStr"/>
      <c r="P30" s="5" t="inlineStr"/>
      <c r="Q30" s="5" t="inlineStr"/>
      <c r="R30" s="5" t="inlineStr"/>
      <c r="S30" s="5" t="inlineStr"/>
      <c r="T30" s="5" t="inlineStr">
        <is>
          <t>No</t>
        </is>
      </c>
      <c r="U30" s="5" t="inlineStr">
        <is>
          <t>Legitimate interest (B2B) - assess per campaign; PECR: corporate subscribers</t>
        </is>
      </c>
    </row>
    <row r="31">
      <c r="A31" s="10" t="inlineStr">
        <is>
          <t>WY-0029</t>
        </is>
      </c>
      <c r="B31" s="10" t="inlineStr">
        <is>
          <t>TB Cash &amp; Carry (Bradford)</t>
        </is>
      </c>
      <c r="C31" s="10" t="inlineStr">
        <is>
          <t>Bradford</t>
        </is>
      </c>
      <c r="D31" s="10" t="inlineStr">
        <is>
          <t>Cash &amp; Carry</t>
        </is>
      </c>
      <c r="E31" s="10" t="inlineStr">
        <is>
          <t>High</t>
        </is>
      </c>
      <c r="F31" s="10" t="inlineStr">
        <is>
          <t>01274 740555</t>
        </is>
      </c>
      <c r="G31" s="10" t="inlineStr">
        <is>
          <t>info@tbcashandcarry.co.uk</t>
        </is>
      </c>
      <c r="H31" s="10" t="inlineStr"/>
      <c r="I31" s="10" t="inlineStr"/>
      <c r="J31" s="10" t="inlineStr"/>
      <c r="K31" s="10" t="inlineStr">
        <is>
          <t>New</t>
        </is>
      </c>
      <c r="L31" s="10" t="inlineStr">
        <is>
          <t>2026-09-16</t>
        </is>
      </c>
      <c r="M31" s="10" t="inlineStr"/>
      <c r="N31" s="10" t="inlineStr"/>
      <c r="O31" s="10" t="inlineStr"/>
      <c r="P31" s="10" t="inlineStr"/>
      <c r="Q31" s="10" t="inlineStr"/>
      <c r="R31" s="10" t="inlineStr"/>
      <c r="S31" s="10" t="inlineStr"/>
      <c r="T31" s="10" t="inlineStr">
        <is>
          <t>No</t>
        </is>
      </c>
      <c r="U31" s="10" t="inlineStr">
        <is>
          <t>Legitimate interest (B2B) - assess per campaign; PECR: corporate subscribers</t>
        </is>
      </c>
    </row>
    <row r="32">
      <c r="A32" s="5" t="inlineStr">
        <is>
          <t>WY-0030</t>
        </is>
      </c>
      <c r="B32" s="5" t="inlineStr">
        <is>
          <t>TB Cash &amp; Carry (Leeds)</t>
        </is>
      </c>
      <c r="C32" s="5" t="inlineStr">
        <is>
          <t>Leeds</t>
        </is>
      </c>
      <c r="D32" s="5" t="inlineStr">
        <is>
          <t>Cash &amp; Carry</t>
        </is>
      </c>
      <c r="E32" s="5" t="inlineStr">
        <is>
          <t>High</t>
        </is>
      </c>
      <c r="F32" s="5" t="inlineStr">
        <is>
          <t>0113 245 1454</t>
        </is>
      </c>
      <c r="G32" s="5" t="inlineStr">
        <is>
          <t>info@tbcashandcarry.co.uk</t>
        </is>
      </c>
      <c r="H32" s="5" t="inlineStr"/>
      <c r="I32" s="5" t="inlineStr"/>
      <c r="J32" s="5" t="inlineStr"/>
      <c r="K32" s="5" t="inlineStr">
        <is>
          <t>New</t>
        </is>
      </c>
      <c r="L32" s="5" t="inlineStr">
        <is>
          <t>2026-09-16</t>
        </is>
      </c>
      <c r="M32" s="5" t="inlineStr"/>
      <c r="N32" s="5" t="inlineStr"/>
      <c r="O32" s="5" t="inlineStr"/>
      <c r="P32" s="5" t="inlineStr"/>
      <c r="Q32" s="5" t="inlineStr"/>
      <c r="R32" s="5" t="inlineStr"/>
      <c r="S32" s="5" t="inlineStr"/>
      <c r="T32" s="5" t="inlineStr">
        <is>
          <t>No</t>
        </is>
      </c>
      <c r="U32" s="5" t="inlineStr">
        <is>
          <t>Legitimate interest (B2B) - assess per campaign; PECR: corporate subscribers</t>
        </is>
      </c>
    </row>
    <row r="33">
      <c r="A33" s="10" t="inlineStr">
        <is>
          <t>WY-0158</t>
        </is>
      </c>
      <c r="B33" s="10" t="inlineStr">
        <is>
          <t>Thali Outlet</t>
        </is>
      </c>
      <c r="C33" s="10" t="inlineStr">
        <is>
          <t>Leeds</t>
        </is>
      </c>
      <c r="D33" s="10" t="inlineStr">
        <is>
          <t>Cash &amp; Carry</t>
        </is>
      </c>
      <c r="E33" s="10" t="inlineStr">
        <is>
          <t>High</t>
        </is>
      </c>
      <c r="F33" s="10" t="inlineStr">
        <is>
          <t>0113 394 8000</t>
        </is>
      </c>
      <c r="G33" s="10" t="inlineStr">
        <is>
          <t>sales@thalioutlet.com</t>
        </is>
      </c>
      <c r="H33" s="10" t="inlineStr">
        <is>
          <t>sales@thalioutlet.com</t>
        </is>
      </c>
      <c r="I33" s="10" t="inlineStr"/>
      <c r="J33" s="10" t="inlineStr"/>
      <c r="K33" s="10" t="inlineStr">
        <is>
          <t>New</t>
        </is>
      </c>
      <c r="L33" s="10" t="inlineStr">
        <is>
          <t>2026-09-16</t>
        </is>
      </c>
      <c r="M33" s="10" t="inlineStr"/>
      <c r="N33" s="10" t="inlineStr"/>
      <c r="O33" s="10" t="inlineStr"/>
      <c r="P33" s="10" t="inlineStr"/>
      <c r="Q33" s="10" t="inlineStr"/>
      <c r="R33" s="10" t="inlineStr"/>
      <c r="S33" s="10" t="inlineStr"/>
      <c r="T33" s="10" t="inlineStr">
        <is>
          <t>No</t>
        </is>
      </c>
      <c r="U33" s="10" t="inlineStr">
        <is>
          <t>Legitimate interest (B2B) - assess per campaign; PECR: corporate subscribers</t>
        </is>
      </c>
    </row>
    <row r="34">
      <c r="A34" s="5" t="inlineStr">
        <is>
          <t>WY-0031</t>
        </is>
      </c>
      <c r="B34" s="5" t="inlineStr">
        <is>
          <t>The Vape Centre (Wetherby)</t>
        </is>
      </c>
      <c r="C34" s="5" t="inlineStr">
        <is>
          <t>Wetherby</t>
        </is>
      </c>
      <c r="D34" s="5" t="inlineStr">
        <is>
          <t>Vape Shop</t>
        </is>
      </c>
      <c r="E34" s="5" t="inlineStr">
        <is>
          <t>High</t>
        </is>
      </c>
      <c r="F34" s="5" t="inlineStr">
        <is>
          <t>07388 892397</t>
        </is>
      </c>
      <c r="G34" s="5" t="inlineStr"/>
      <c r="H34" s="5" t="inlineStr"/>
      <c r="I34" s="5" t="inlineStr"/>
      <c r="J34" s="5" t="inlineStr"/>
      <c r="K34" s="5" t="inlineStr">
        <is>
          <t>New</t>
        </is>
      </c>
      <c r="L34" s="5" t="inlineStr">
        <is>
          <t>2026-09-16</t>
        </is>
      </c>
      <c r="M34" s="5" t="inlineStr"/>
      <c r="N34" s="5" t="inlineStr"/>
      <c r="O34" s="5" t="inlineStr"/>
      <c r="P34" s="5" t="inlineStr"/>
      <c r="Q34" s="5" t="inlineStr"/>
      <c r="R34" s="5" t="inlineStr"/>
      <c r="S34" s="5" t="inlineStr"/>
      <c r="T34" s="5" t="inlineStr">
        <is>
          <t>No</t>
        </is>
      </c>
      <c r="U34" s="5" t="inlineStr">
        <is>
          <t>Legitimate interest (B2B) - assess per campaign; PECR: corporate subscribers</t>
        </is>
      </c>
    </row>
    <row r="35">
      <c r="A35" s="10" t="inlineStr">
        <is>
          <t>WY-0036</t>
        </is>
      </c>
      <c r="B35" s="10" t="inlineStr">
        <is>
          <t>Vaparama (Featherstone)</t>
        </is>
      </c>
      <c r="C35" s="10" t="inlineStr">
        <is>
          <t>Featherstone</t>
        </is>
      </c>
      <c r="D35" s="10" t="inlineStr">
        <is>
          <t>Vape Shop</t>
        </is>
      </c>
      <c r="E35" s="10" t="inlineStr">
        <is>
          <t>High</t>
        </is>
      </c>
      <c r="F35" s="10" t="inlineStr"/>
      <c r="G35" s="10" t="inlineStr"/>
      <c r="H35" s="10" t="inlineStr">
        <is>
          <t>shop@vaparama.co.uk</t>
        </is>
      </c>
      <c r="I35" s="10" t="inlineStr"/>
      <c r="J35" s="10" t="inlineStr"/>
      <c r="K35" s="10" t="inlineStr">
        <is>
          <t>New</t>
        </is>
      </c>
      <c r="L35" s="10" t="inlineStr">
        <is>
          <t>2026-09-16</t>
        </is>
      </c>
      <c r="M35" s="10" t="inlineStr"/>
      <c r="N35" s="10" t="inlineStr"/>
      <c r="O35" s="10" t="inlineStr"/>
      <c r="P35" s="10" t="inlineStr"/>
      <c r="Q35" s="10" t="inlineStr"/>
      <c r="R35" s="10" t="inlineStr"/>
      <c r="S35" s="10" t="inlineStr"/>
      <c r="T35" s="10" t="inlineStr">
        <is>
          <t>No</t>
        </is>
      </c>
      <c r="U35" s="10" t="inlineStr">
        <is>
          <t>Legitimate interest (B2B) - assess per campaign; PECR: corporate subscribers</t>
        </is>
      </c>
    </row>
    <row r="36">
      <c r="A36" s="5" t="inlineStr">
        <is>
          <t>WY-0037</t>
        </is>
      </c>
      <c r="B36" s="5" t="inlineStr">
        <is>
          <t>Vaparama (Pontefract)</t>
        </is>
      </c>
      <c r="C36" s="5" t="inlineStr">
        <is>
          <t>Pontefract</t>
        </is>
      </c>
      <c r="D36" s="5" t="inlineStr">
        <is>
          <t>Vape Shop</t>
        </is>
      </c>
      <c r="E36" s="5" t="inlineStr">
        <is>
          <t>High</t>
        </is>
      </c>
      <c r="F36" s="5" t="inlineStr">
        <is>
          <t>01977 277170</t>
        </is>
      </c>
      <c r="G36" s="5" t="inlineStr">
        <is>
          <t>shop@vaparama.co.uk</t>
        </is>
      </c>
      <c r="H36" s="5" t="inlineStr"/>
      <c r="I36" s="5" t="inlineStr"/>
      <c r="J36" s="5" t="inlineStr"/>
      <c r="K36" s="5" t="inlineStr">
        <is>
          <t>New</t>
        </is>
      </c>
      <c r="L36" s="5" t="inlineStr">
        <is>
          <t>2026-09-16</t>
        </is>
      </c>
      <c r="M36" s="5" t="inlineStr"/>
      <c r="N36" s="5" t="inlineStr"/>
      <c r="O36" s="5" t="inlineStr"/>
      <c r="P36" s="5" t="inlineStr"/>
      <c r="Q36" s="5" t="inlineStr"/>
      <c r="R36" s="5" t="inlineStr"/>
      <c r="S36" s="5" t="inlineStr"/>
      <c r="T36" s="5" t="inlineStr">
        <is>
          <t>No</t>
        </is>
      </c>
      <c r="U36" s="5" t="inlineStr">
        <is>
          <t>Legitimate interest (B2B) - assess per campaign; PECR: corporate subscribers</t>
        </is>
      </c>
    </row>
    <row r="37">
      <c r="A37" s="10" t="inlineStr">
        <is>
          <t>WY-0038</t>
        </is>
      </c>
      <c r="B37" s="10" t="inlineStr">
        <is>
          <t>Vaparama (Wakefield)</t>
        </is>
      </c>
      <c r="C37" s="10" t="inlineStr">
        <is>
          <t>Wakefield</t>
        </is>
      </c>
      <c r="D37" s="10" t="inlineStr">
        <is>
          <t>Vape Shop</t>
        </is>
      </c>
      <c r="E37" s="10" t="inlineStr">
        <is>
          <t>High</t>
        </is>
      </c>
      <c r="F37" s="10" t="inlineStr"/>
      <c r="G37" s="10" t="inlineStr"/>
      <c r="H37" s="10" t="inlineStr">
        <is>
          <t>shop@vaparama.co.uk</t>
        </is>
      </c>
      <c r="I37" s="10" t="inlineStr"/>
      <c r="J37" s="10" t="inlineStr"/>
      <c r="K37" s="10" t="inlineStr">
        <is>
          <t>New</t>
        </is>
      </c>
      <c r="L37" s="10" t="inlineStr">
        <is>
          <t>2026-09-16</t>
        </is>
      </c>
      <c r="M37" s="10" t="inlineStr"/>
      <c r="N37" s="10" t="inlineStr"/>
      <c r="O37" s="10" t="inlineStr"/>
      <c r="P37" s="10" t="inlineStr"/>
      <c r="Q37" s="10" t="inlineStr"/>
      <c r="R37" s="10" t="inlineStr"/>
      <c r="S37" s="10" t="inlineStr"/>
      <c r="T37" s="10" t="inlineStr">
        <is>
          <t>No</t>
        </is>
      </c>
      <c r="U37" s="10" t="inlineStr">
        <is>
          <t>Legitimate interest (B2B) - assess per campaign; PECR: corporate subscribers</t>
        </is>
      </c>
    </row>
    <row r="38">
      <c r="A38" s="5" t="inlineStr">
        <is>
          <t>WY-0180</t>
        </is>
      </c>
      <c r="B38" s="5" t="inlineStr">
        <is>
          <t>Vaperites</t>
        </is>
      </c>
      <c r="C38" s="5" t="inlineStr">
        <is>
          <t>Pontefract</t>
        </is>
      </c>
      <c r="D38" s="5" t="inlineStr">
        <is>
          <t>Vape Shop</t>
        </is>
      </c>
      <c r="E38" s="5" t="inlineStr">
        <is>
          <t>High</t>
        </is>
      </c>
      <c r="F38" s="5" t="inlineStr">
        <is>
          <t>01977 278484</t>
        </is>
      </c>
      <c r="G38" s="5" t="inlineStr">
        <is>
          <t>vaperite@gmail.com</t>
        </is>
      </c>
      <c r="H38" s="5" t="inlineStr"/>
      <c r="I38" s="5" t="inlineStr"/>
      <c r="J38" s="5" t="inlineStr"/>
      <c r="K38" s="5" t="inlineStr">
        <is>
          <t>New</t>
        </is>
      </c>
      <c r="L38" s="5" t="inlineStr">
        <is>
          <t>2026-09-16</t>
        </is>
      </c>
      <c r="M38" s="5" t="inlineStr"/>
      <c r="N38" s="5" t="inlineStr"/>
      <c r="O38" s="5" t="inlineStr"/>
      <c r="P38" s="5" t="inlineStr"/>
      <c r="Q38" s="5" t="inlineStr"/>
      <c r="R38" s="5" t="inlineStr"/>
      <c r="S38" s="5" t="inlineStr"/>
      <c r="T38" s="5" t="inlineStr">
        <is>
          <t>No</t>
        </is>
      </c>
      <c r="U38" s="5" t="inlineStr">
        <is>
          <t>Legitimate interest (B2B) - assess per campaign; PECR: corporate subscribers</t>
        </is>
      </c>
    </row>
    <row r="39">
      <c r="A39" s="10" t="inlineStr">
        <is>
          <t>WY-0039</t>
        </is>
      </c>
      <c r="B39" s="10" t="inlineStr">
        <is>
          <t>WOW Vape (Castleford)</t>
        </is>
      </c>
      <c r="C39" s="10" t="inlineStr">
        <is>
          <t>Castleford</t>
        </is>
      </c>
      <c r="D39" s="10" t="inlineStr">
        <is>
          <t>Vape Shop</t>
        </is>
      </c>
      <c r="E39" s="10" t="inlineStr">
        <is>
          <t>High</t>
        </is>
      </c>
      <c r="F39" s="10" t="inlineStr">
        <is>
          <t>01977 516062</t>
        </is>
      </c>
      <c r="G39" s="10" t="inlineStr"/>
      <c r="H39" s="10" t="inlineStr"/>
      <c r="I39" s="10" t="inlineStr"/>
      <c r="J39" s="10" t="inlineStr"/>
      <c r="K39" s="10" t="inlineStr">
        <is>
          <t>New</t>
        </is>
      </c>
      <c r="L39" s="10" t="inlineStr">
        <is>
          <t>2026-09-16</t>
        </is>
      </c>
      <c r="M39" s="10" t="inlineStr"/>
      <c r="N39" s="10" t="inlineStr"/>
      <c r="O39" s="10" t="inlineStr"/>
      <c r="P39" s="10" t="inlineStr"/>
      <c r="Q39" s="10" t="inlineStr"/>
      <c r="R39" s="10" t="inlineStr"/>
      <c r="S39" s="10" t="inlineStr"/>
      <c r="T39" s="10" t="inlineStr">
        <is>
          <t>No</t>
        </is>
      </c>
      <c r="U39" s="10" t="inlineStr">
        <is>
          <t>Legitimate interest (B2B) - assess per campaign; PECR: corporate subscribers</t>
        </is>
      </c>
    </row>
    <row r="40">
      <c r="A40" s="5" t="inlineStr">
        <is>
          <t>WY-0040</t>
        </is>
      </c>
      <c r="B40" s="5" t="inlineStr">
        <is>
          <t>WOW Vape (Wakefield)</t>
        </is>
      </c>
      <c r="C40" s="5" t="inlineStr">
        <is>
          <t>Wakefield</t>
        </is>
      </c>
      <c r="D40" s="5" t="inlineStr">
        <is>
          <t>Vape Shop</t>
        </is>
      </c>
      <c r="E40" s="5" t="inlineStr">
        <is>
          <t>High</t>
        </is>
      </c>
      <c r="F40" s="5" t="inlineStr"/>
      <c r="G40" s="5" t="inlineStr"/>
      <c r="H40" s="5" t="inlineStr"/>
      <c r="I40" s="5" t="inlineStr"/>
      <c r="J40" s="5" t="inlineStr"/>
      <c r="K40" s="5" t="inlineStr">
        <is>
          <t>New</t>
        </is>
      </c>
      <c r="L40" s="5" t="inlineStr">
        <is>
          <t>2026-09-16</t>
        </is>
      </c>
      <c r="M40" s="5" t="inlineStr"/>
      <c r="N40" s="5" t="inlineStr"/>
      <c r="O40" s="5" t="inlineStr"/>
      <c r="P40" s="5" t="inlineStr"/>
      <c r="Q40" s="5" t="inlineStr"/>
      <c r="R40" s="5" t="inlineStr"/>
      <c r="S40" s="5" t="inlineStr"/>
      <c r="T40" s="5" t="inlineStr">
        <is>
          <t>No</t>
        </is>
      </c>
      <c r="U40" s="5" t="inlineStr">
        <is>
          <t>Legitimate interest (B2B) - assess per campaign; PECR: corporate subscribers</t>
        </is>
      </c>
    </row>
    <row r="41">
      <c r="A41" s="10" t="inlineStr">
        <is>
          <t>WY-0041</t>
        </is>
      </c>
      <c r="B41" s="10" t="inlineStr">
        <is>
          <t>We Are Vapes</t>
        </is>
      </c>
      <c r="C41" s="10" t="inlineStr">
        <is>
          <t>Bradford</t>
        </is>
      </c>
      <c r="D41" s="10" t="inlineStr">
        <is>
          <t>Vape Shop</t>
        </is>
      </c>
      <c r="E41" s="10" t="inlineStr">
        <is>
          <t>High</t>
        </is>
      </c>
      <c r="F41" s="10" t="inlineStr">
        <is>
          <t>01274 270773</t>
        </is>
      </c>
      <c r="G41" s="10" t="inlineStr"/>
      <c r="H41" s="10" t="inlineStr"/>
      <c r="I41" s="10" t="inlineStr"/>
      <c r="J41" s="10" t="inlineStr"/>
      <c r="K41" s="10" t="inlineStr">
        <is>
          <t>New</t>
        </is>
      </c>
      <c r="L41" s="10" t="inlineStr">
        <is>
          <t>2026-09-16</t>
        </is>
      </c>
      <c r="M41" s="10" t="inlineStr"/>
      <c r="N41" s="10" t="inlineStr"/>
      <c r="O41" s="10" t="inlineStr"/>
      <c r="P41" s="10" t="inlineStr"/>
      <c r="Q41" s="10" t="inlineStr"/>
      <c r="R41" s="10" t="inlineStr"/>
      <c r="S41" s="10" t="inlineStr"/>
      <c r="T41" s="10" t="inlineStr">
        <is>
          <t>No</t>
        </is>
      </c>
      <c r="U41" s="10" t="inlineStr">
        <is>
          <t>Legitimate interest (B2B) - assess per campaign; PECR: corporate subscribers</t>
        </is>
      </c>
    </row>
    <row r="42">
      <c r="A42" s="5" t="inlineStr">
        <is>
          <t>WY-0042</t>
        </is>
      </c>
      <c r="B42" s="5" t="inlineStr">
        <is>
          <t>We Are Vapes</t>
        </is>
      </c>
      <c r="C42" s="5" t="inlineStr">
        <is>
          <t>Bradford</t>
        </is>
      </c>
      <c r="D42" s="5" t="inlineStr">
        <is>
          <t>Vape Shop</t>
        </is>
      </c>
      <c r="E42" s="5" t="inlineStr">
        <is>
          <t>High</t>
        </is>
      </c>
      <c r="F42" s="5" t="inlineStr">
        <is>
          <t>01274 634327</t>
        </is>
      </c>
      <c r="G42" s="5" t="inlineStr"/>
      <c r="H42" s="5" t="inlineStr"/>
      <c r="I42" s="5" t="inlineStr"/>
      <c r="J42" s="5" t="inlineStr"/>
      <c r="K42" s="5" t="inlineStr">
        <is>
          <t>New</t>
        </is>
      </c>
      <c r="L42" s="5" t="inlineStr">
        <is>
          <t>2026-09-16</t>
        </is>
      </c>
      <c r="M42" s="5" t="inlineStr"/>
      <c r="N42" s="5" t="inlineStr"/>
      <c r="O42" s="5" t="inlineStr"/>
      <c r="P42" s="5" t="inlineStr"/>
      <c r="Q42" s="5" t="inlineStr"/>
      <c r="R42" s="5" t="inlineStr"/>
      <c r="S42" s="5" t="inlineStr"/>
      <c r="T42" s="5" t="inlineStr">
        <is>
          <t>No</t>
        </is>
      </c>
      <c r="U42" s="5" t="inlineStr">
        <is>
          <t>Legitimate interest (B2B) - assess per campaign; PECR: corporate subscribers</t>
        </is>
      </c>
    </row>
    <row r="43">
      <c r="A43" s="10" t="inlineStr">
        <is>
          <t>WY-0043</t>
        </is>
      </c>
      <c r="B43" s="10" t="inlineStr">
        <is>
          <t>We Are Vapes</t>
        </is>
      </c>
      <c r="C43" s="10" t="inlineStr">
        <is>
          <t>Bradford</t>
        </is>
      </c>
      <c r="D43" s="10" t="inlineStr">
        <is>
          <t>Vape Shop</t>
        </is>
      </c>
      <c r="E43" s="10" t="inlineStr">
        <is>
          <t>High</t>
        </is>
      </c>
      <c r="F43" s="10" t="inlineStr"/>
      <c r="G43" s="10" t="inlineStr"/>
      <c r="H43" s="10" t="inlineStr"/>
      <c r="I43" s="10" t="inlineStr"/>
      <c r="J43" s="10" t="inlineStr"/>
      <c r="K43" s="10" t="inlineStr">
        <is>
          <t>New</t>
        </is>
      </c>
      <c r="L43" s="10" t="inlineStr">
        <is>
          <t>2026-09-16</t>
        </is>
      </c>
      <c r="M43" s="10" t="inlineStr"/>
      <c r="N43" s="10" t="inlineStr"/>
      <c r="O43" s="10" t="inlineStr"/>
      <c r="P43" s="10" t="inlineStr"/>
      <c r="Q43" s="10" t="inlineStr"/>
      <c r="R43" s="10" t="inlineStr"/>
      <c r="S43" s="10" t="inlineStr"/>
      <c r="T43" s="10" t="inlineStr">
        <is>
          <t>No</t>
        </is>
      </c>
      <c r="U43" s="10" t="inlineStr">
        <is>
          <t>Legitimate interest (B2B) - assess per campaign; PECR: corporate subscribers</t>
        </is>
      </c>
    </row>
    <row r="44">
      <c r="A44" s="5" t="inlineStr">
        <is>
          <t>WY-0044</t>
        </is>
      </c>
      <c r="B44" s="5" t="inlineStr">
        <is>
          <t>Worldwide Foods Bradford (Great Horton Road)</t>
        </is>
      </c>
      <c r="C44" s="5" t="inlineStr">
        <is>
          <t>Bradford</t>
        </is>
      </c>
      <c r="D44" s="5" t="inlineStr">
        <is>
          <t>Independent Supermarket</t>
        </is>
      </c>
      <c r="E44" s="5" t="inlineStr">
        <is>
          <t>High</t>
        </is>
      </c>
      <c r="F44" s="5" t="inlineStr">
        <is>
          <t>01274 572661</t>
        </is>
      </c>
      <c r="G44" s="5" t="inlineStr">
        <is>
          <t>info@worldwidefoods.co.uk</t>
        </is>
      </c>
      <c r="H44" s="5" t="inlineStr"/>
      <c r="I44" s="5" t="inlineStr"/>
      <c r="J44" s="5" t="inlineStr"/>
      <c r="K44" s="5" t="inlineStr">
        <is>
          <t>New</t>
        </is>
      </c>
      <c r="L44" s="5" t="inlineStr">
        <is>
          <t>2026-09-16</t>
        </is>
      </c>
      <c r="M44" s="5" t="inlineStr"/>
      <c r="N44" s="5" t="inlineStr"/>
      <c r="O44" s="5" t="inlineStr"/>
      <c r="P44" s="5" t="inlineStr"/>
      <c r="Q44" s="5" t="inlineStr"/>
      <c r="R44" s="5" t="inlineStr"/>
      <c r="S44" s="5" t="inlineStr"/>
      <c r="T44" s="5" t="inlineStr">
        <is>
          <t>No</t>
        </is>
      </c>
      <c r="U44" s="5" t="inlineStr">
        <is>
          <t>Legitimate interest (B2B) - assess per campaign; PECR: corporate subscribers</t>
        </is>
      </c>
    </row>
    <row r="45">
      <c r="A45" s="10" t="inlineStr">
        <is>
          <t>WY-0048</t>
        </is>
      </c>
      <c r="B45" s="10" t="inlineStr">
        <is>
          <t>AV &amp; JI Stores</t>
        </is>
      </c>
      <c r="C45" s="10" t="inlineStr">
        <is>
          <t>Sowerby Bridge</t>
        </is>
      </c>
      <c r="D45" s="10" t="inlineStr">
        <is>
          <t>Convenience Store</t>
        </is>
      </c>
      <c r="E45" s="10" t="inlineStr">
        <is>
          <t>Medium</t>
        </is>
      </c>
      <c r="F45" s="10" t="inlineStr"/>
      <c r="G45" s="10" t="inlineStr"/>
      <c r="H45" s="10" t="inlineStr"/>
      <c r="I45" s="10" t="inlineStr"/>
      <c r="J45" s="10" t="inlineStr"/>
      <c r="K45" s="10" t="inlineStr">
        <is>
          <t>New</t>
        </is>
      </c>
      <c r="L45" s="10" t="inlineStr">
        <is>
          <t>2026-09-16</t>
        </is>
      </c>
      <c r="M45" s="10" t="inlineStr"/>
      <c r="N45" s="10" t="inlineStr"/>
      <c r="O45" s="10" t="inlineStr"/>
      <c r="P45" s="10" t="inlineStr"/>
      <c r="Q45" s="10" t="inlineStr"/>
      <c r="R45" s="10" t="inlineStr"/>
      <c r="S45" s="10" t="inlineStr"/>
      <c r="T45" s="10" t="inlineStr">
        <is>
          <t>No</t>
        </is>
      </c>
      <c r="U45" s="10" t="inlineStr">
        <is>
          <t>Legitimate interest (B2B) - assess per campaign; PECR: corporate subscribers</t>
        </is>
      </c>
    </row>
    <row r="46">
      <c r="A46" s="5" t="inlineStr">
        <is>
          <t>WY-0049</t>
        </is>
      </c>
      <c r="B46" s="5" t="inlineStr">
        <is>
          <t>Al-Falah Supermarket</t>
        </is>
      </c>
      <c r="C46" s="5" t="inlineStr">
        <is>
          <t>Bradford</t>
        </is>
      </c>
      <c r="D46" s="5" t="inlineStr">
        <is>
          <t>Independent Supermarket</t>
        </is>
      </c>
      <c r="E46" s="5" t="inlineStr">
        <is>
          <t>Medium</t>
        </is>
      </c>
      <c r="F46" s="5" t="inlineStr"/>
      <c r="G46" s="5" t="inlineStr"/>
      <c r="H46" s="5" t="inlineStr"/>
      <c r="I46" s="5" t="inlineStr"/>
      <c r="J46" s="5" t="inlineStr"/>
      <c r="K46" s="5" t="inlineStr">
        <is>
          <t>New</t>
        </is>
      </c>
      <c r="L46" s="5" t="inlineStr">
        <is>
          <t>2026-09-16</t>
        </is>
      </c>
      <c r="M46" s="5" t="inlineStr"/>
      <c r="N46" s="5" t="inlineStr"/>
      <c r="O46" s="5" t="inlineStr"/>
      <c r="P46" s="5" t="inlineStr"/>
      <c r="Q46" s="5" t="inlineStr"/>
      <c r="R46" s="5" t="inlineStr"/>
      <c r="S46" s="5" t="inlineStr"/>
      <c r="T46" s="5" t="inlineStr">
        <is>
          <t>No</t>
        </is>
      </c>
      <c r="U46" s="5" t="inlineStr">
        <is>
          <t>Legitimate interest (B2B) - assess per campaign; PECR: corporate subscribers</t>
        </is>
      </c>
    </row>
    <row r="47">
      <c r="A47" s="10" t="inlineStr">
        <is>
          <t>WY-0051</t>
        </is>
      </c>
      <c r="B47" s="10" t="inlineStr">
        <is>
          <t>Armley Ridge Road Convenience Store &amp; Off-Licence</t>
        </is>
      </c>
      <c r="C47" s="10" t="inlineStr">
        <is>
          <t>Leeds</t>
        </is>
      </c>
      <c r="D47" s="10" t="inlineStr">
        <is>
          <t>Convenience Store</t>
        </is>
      </c>
      <c r="E47" s="10" t="inlineStr">
        <is>
          <t>Medium</t>
        </is>
      </c>
      <c r="F47" s="10" t="inlineStr"/>
      <c r="G47" s="10" t="inlineStr"/>
      <c r="H47" s="10" t="inlineStr"/>
      <c r="I47" s="10" t="inlineStr"/>
      <c r="J47" s="10" t="inlineStr"/>
      <c r="K47" s="10" t="inlineStr">
        <is>
          <t>New</t>
        </is>
      </c>
      <c r="L47" s="10" t="inlineStr">
        <is>
          <t>2026-09-16</t>
        </is>
      </c>
      <c r="M47" s="10" t="inlineStr"/>
      <c r="N47" s="10" t="inlineStr"/>
      <c r="O47" s="10" t="inlineStr"/>
      <c r="P47" s="10" t="inlineStr"/>
      <c r="Q47" s="10" t="inlineStr"/>
      <c r="R47" s="10" t="inlineStr"/>
      <c r="S47" s="10" t="inlineStr"/>
      <c r="T47" s="10" t="inlineStr">
        <is>
          <t>No</t>
        </is>
      </c>
      <c r="U47" s="10" t="inlineStr">
        <is>
          <t>Legitimate interest (B2B) - assess per campaign; PECR: corporate subscribers</t>
        </is>
      </c>
    </row>
    <row r="48">
      <c r="A48" s="5" t="inlineStr">
        <is>
          <t>WY-0054</t>
        </is>
      </c>
      <c r="B48" s="5" t="inlineStr">
        <is>
          <t>Azeem's Vape Shop</t>
        </is>
      </c>
      <c r="C48" s="5" t="inlineStr">
        <is>
          <t>Todmorden</t>
        </is>
      </c>
      <c r="D48" s="5" t="inlineStr">
        <is>
          <t>Vape Shop</t>
        </is>
      </c>
      <c r="E48" s="5" t="inlineStr">
        <is>
          <t>Medium</t>
        </is>
      </c>
      <c r="F48" s="5" t="inlineStr"/>
      <c r="G48" s="5" t="inlineStr"/>
      <c r="H48" s="5" t="inlineStr"/>
      <c r="I48" s="5" t="inlineStr"/>
      <c r="J48" s="5" t="inlineStr"/>
      <c r="K48" s="5" t="inlineStr">
        <is>
          <t>New</t>
        </is>
      </c>
      <c r="L48" s="5" t="inlineStr">
        <is>
          <t>2026-09-16</t>
        </is>
      </c>
      <c r="M48" s="5" t="inlineStr"/>
      <c r="N48" s="5" t="inlineStr"/>
      <c r="O48" s="5" t="inlineStr"/>
      <c r="P48" s="5" t="inlineStr"/>
      <c r="Q48" s="5" t="inlineStr"/>
      <c r="R48" s="5" t="inlineStr"/>
      <c r="S48" s="5" t="inlineStr"/>
      <c r="T48" s="5" t="inlineStr">
        <is>
          <t>No</t>
        </is>
      </c>
      <c r="U48" s="5" t="inlineStr">
        <is>
          <t>Legitimate interest (B2B) - assess per campaign; PECR: corporate subscribers</t>
        </is>
      </c>
    </row>
    <row r="49">
      <c r="A49" s="10" t="inlineStr">
        <is>
          <t>WY-0055</t>
        </is>
      </c>
      <c r="B49" s="10" t="inlineStr">
        <is>
          <t>BGC Wholesale</t>
        </is>
      </c>
      <c r="C49" s="10" t="inlineStr">
        <is>
          <t>Bradford</t>
        </is>
      </c>
      <c r="D49" s="10" t="inlineStr">
        <is>
          <t>Cash &amp; Carry</t>
        </is>
      </c>
      <c r="E49" s="10" t="inlineStr">
        <is>
          <t>Medium</t>
        </is>
      </c>
      <c r="F49" s="10" t="inlineStr">
        <is>
          <t>01274 651059</t>
        </is>
      </c>
      <c r="G49" s="10" t="inlineStr"/>
      <c r="H49" s="10" t="inlineStr"/>
      <c r="I49" s="10" t="inlineStr"/>
      <c r="J49" s="10" t="inlineStr"/>
      <c r="K49" s="10" t="inlineStr">
        <is>
          <t>New</t>
        </is>
      </c>
      <c r="L49" s="10" t="inlineStr">
        <is>
          <t>2026-09-16</t>
        </is>
      </c>
      <c r="M49" s="10" t="inlineStr"/>
      <c r="N49" s="10" t="inlineStr"/>
      <c r="O49" s="10" t="inlineStr"/>
      <c r="P49" s="10" t="inlineStr"/>
      <c r="Q49" s="10" t="inlineStr"/>
      <c r="R49" s="10" t="inlineStr"/>
      <c r="S49" s="10" t="inlineStr"/>
      <c r="T49" s="10" t="inlineStr">
        <is>
          <t>No</t>
        </is>
      </c>
      <c r="U49" s="10" t="inlineStr">
        <is>
          <t>Legitimate interest (B2B) - assess per campaign; PECR: corporate subscribers</t>
        </is>
      </c>
    </row>
    <row r="50">
      <c r="A50" s="5" t="inlineStr">
        <is>
          <t>WY-0034</t>
        </is>
      </c>
      <c r="B50" s="5" t="inlineStr">
        <is>
          <t>BP Gledhow Service Station (Valli Forecourts)</t>
        </is>
      </c>
      <c r="C50" s="5" t="inlineStr">
        <is>
          <t>Leeds</t>
        </is>
      </c>
      <c r="D50" s="5" t="inlineStr">
        <is>
          <t>Petrol Station / Forecourt</t>
        </is>
      </c>
      <c r="E50" s="5" t="inlineStr">
        <is>
          <t>Medium</t>
        </is>
      </c>
      <c r="F50" s="5" t="inlineStr"/>
      <c r="G50" s="5" t="inlineStr"/>
      <c r="H50" s="5" t="inlineStr"/>
      <c r="I50" s="5" t="inlineStr"/>
      <c r="J50" s="5" t="inlineStr"/>
      <c r="K50" s="5" t="inlineStr">
        <is>
          <t>New</t>
        </is>
      </c>
      <c r="L50" s="5" t="inlineStr">
        <is>
          <t>2026-09-16</t>
        </is>
      </c>
      <c r="M50" s="5" t="inlineStr"/>
      <c r="N50" s="5" t="inlineStr"/>
      <c r="O50" s="5" t="inlineStr"/>
      <c r="P50" s="5" t="inlineStr"/>
      <c r="Q50" s="5" t="inlineStr"/>
      <c r="R50" s="5" t="inlineStr"/>
      <c r="S50" s="5" t="inlineStr"/>
      <c r="T50" s="5" t="inlineStr">
        <is>
          <t>No</t>
        </is>
      </c>
      <c r="U50" s="5" t="inlineStr">
        <is>
          <t>Legitimate interest (B2B) - assess per campaign; PECR: corporate subscribers</t>
        </is>
      </c>
    </row>
    <row r="51">
      <c r="A51" s="10" t="inlineStr">
        <is>
          <t>WY-0060</t>
        </is>
      </c>
      <c r="B51" s="10" t="inlineStr">
        <is>
          <t>Batley Bargain Centre</t>
        </is>
      </c>
      <c r="C51" s="10" t="inlineStr">
        <is>
          <t>Batley</t>
        </is>
      </c>
      <c r="D51" s="10" t="inlineStr">
        <is>
          <t>Other Relevant Retail</t>
        </is>
      </c>
      <c r="E51" s="10" t="inlineStr">
        <is>
          <t>Medium</t>
        </is>
      </c>
      <c r="F51" s="10" t="inlineStr">
        <is>
          <t>01924 475600</t>
        </is>
      </c>
      <c r="G51" s="10" t="inlineStr">
        <is>
          <t>javorange@yahoo.co.uk</t>
        </is>
      </c>
      <c r="H51" s="10" t="inlineStr"/>
      <c r="I51" s="10" t="inlineStr"/>
      <c r="J51" s="10" t="inlineStr"/>
      <c r="K51" s="10" t="inlineStr">
        <is>
          <t>New</t>
        </is>
      </c>
      <c r="L51" s="10" t="inlineStr">
        <is>
          <t>2026-09-16</t>
        </is>
      </c>
      <c r="M51" s="10" t="inlineStr"/>
      <c r="N51" s="10" t="inlineStr"/>
      <c r="O51" s="10" t="inlineStr"/>
      <c r="P51" s="10" t="inlineStr"/>
      <c r="Q51" s="10" t="inlineStr"/>
      <c r="R51" s="10" t="inlineStr"/>
      <c r="S51" s="10" t="inlineStr"/>
      <c r="T51" s="10" t="inlineStr">
        <is>
          <t>No</t>
        </is>
      </c>
      <c r="U51" s="10" t="inlineStr">
        <is>
          <t>Legitimate interest (B2B) - assess per campaign; PECR: corporate subscribers</t>
        </is>
      </c>
    </row>
    <row r="52">
      <c r="A52" s="5" t="inlineStr">
        <is>
          <t>WY-0062</t>
        </is>
      </c>
      <c r="B52" s="5" t="inlineStr">
        <is>
          <t>Bespoke Shisha</t>
        </is>
      </c>
      <c r="C52" s="5" t="inlineStr">
        <is>
          <t>Dewsbury</t>
        </is>
      </c>
      <c r="D52" s="5" t="inlineStr">
        <is>
          <t>Smoke / Shisha Shop</t>
        </is>
      </c>
      <c r="E52" s="5" t="inlineStr">
        <is>
          <t>Medium</t>
        </is>
      </c>
      <c r="F52" s="5" t="inlineStr"/>
      <c r="G52" s="5" t="inlineStr"/>
      <c r="H52" s="5" t="inlineStr"/>
      <c r="I52" s="5" t="inlineStr"/>
      <c r="J52" s="5" t="inlineStr"/>
      <c r="K52" s="5" t="inlineStr">
        <is>
          <t>New</t>
        </is>
      </c>
      <c r="L52" s="5" t="inlineStr">
        <is>
          <t>2026-09-16</t>
        </is>
      </c>
      <c r="M52" s="5" t="inlineStr"/>
      <c r="N52" s="5" t="inlineStr"/>
      <c r="O52" s="5" t="inlineStr"/>
      <c r="P52" s="5" t="inlineStr"/>
      <c r="Q52" s="5" t="inlineStr"/>
      <c r="R52" s="5" t="inlineStr"/>
      <c r="S52" s="5" t="inlineStr"/>
      <c r="T52" s="5" t="inlineStr">
        <is>
          <t>No</t>
        </is>
      </c>
      <c r="U52" s="5" t="inlineStr">
        <is>
          <t>Legitimate interest (B2B) - assess per campaign; PECR: corporate subscribers</t>
        </is>
      </c>
    </row>
    <row r="53">
      <c r="A53" s="10" t="inlineStr">
        <is>
          <t>WY-0064</t>
        </is>
      </c>
      <c r="B53" s="10" t="inlineStr">
        <is>
          <t>Big D Vapes</t>
        </is>
      </c>
      <c r="C53" s="10" t="inlineStr">
        <is>
          <t>Slaithwaite</t>
        </is>
      </c>
      <c r="D53" s="10" t="inlineStr">
        <is>
          <t>Vape Shop</t>
        </is>
      </c>
      <c r="E53" s="10" t="inlineStr">
        <is>
          <t>Medium</t>
        </is>
      </c>
      <c r="F53" s="10" t="inlineStr">
        <is>
          <t>01484 843253</t>
        </is>
      </c>
      <c r="G53" s="10" t="inlineStr"/>
      <c r="H53" s="10" t="inlineStr"/>
      <c r="I53" s="10" t="inlineStr"/>
      <c r="J53" s="10" t="inlineStr"/>
      <c r="K53" s="10" t="inlineStr">
        <is>
          <t>New</t>
        </is>
      </c>
      <c r="L53" s="10" t="inlineStr">
        <is>
          <t>2026-09-16</t>
        </is>
      </c>
      <c r="M53" s="10" t="inlineStr"/>
      <c r="N53" s="10" t="inlineStr"/>
      <c r="O53" s="10" t="inlineStr"/>
      <c r="P53" s="10" t="inlineStr"/>
      <c r="Q53" s="10" t="inlineStr"/>
      <c r="R53" s="10" t="inlineStr"/>
      <c r="S53" s="10" t="inlineStr"/>
      <c r="T53" s="10" t="inlineStr">
        <is>
          <t>No</t>
        </is>
      </c>
      <c r="U53" s="10" t="inlineStr">
        <is>
          <t>Legitimate interest (B2B) - assess per campaign; PECR: corporate subscribers</t>
        </is>
      </c>
    </row>
    <row r="54">
      <c r="A54" s="5" t="inlineStr">
        <is>
          <t>WY-0065</t>
        </is>
      </c>
      <c r="B54" s="5" t="inlineStr">
        <is>
          <t>Bingley Vape Shop</t>
        </is>
      </c>
      <c r="C54" s="5" t="inlineStr">
        <is>
          <t>Bingley</t>
        </is>
      </c>
      <c r="D54" s="5" t="inlineStr">
        <is>
          <t>Vape Shop</t>
        </is>
      </c>
      <c r="E54" s="5" t="inlineStr">
        <is>
          <t>Medium</t>
        </is>
      </c>
      <c r="F54" s="5" t="inlineStr">
        <is>
          <t>01535 213290</t>
        </is>
      </c>
      <c r="G54" s="5" t="inlineStr"/>
      <c r="H54" s="5" t="inlineStr"/>
      <c r="I54" s="5" t="inlineStr"/>
      <c r="J54" s="5" t="inlineStr"/>
      <c r="K54" s="5" t="inlineStr">
        <is>
          <t>New</t>
        </is>
      </c>
      <c r="L54" s="5" t="inlineStr">
        <is>
          <t>2026-09-16</t>
        </is>
      </c>
      <c r="M54" s="5" t="inlineStr"/>
      <c r="N54" s="5" t="inlineStr"/>
      <c r="O54" s="5" t="inlineStr"/>
      <c r="P54" s="5" t="inlineStr"/>
      <c r="Q54" s="5" t="inlineStr"/>
      <c r="R54" s="5" t="inlineStr"/>
      <c r="S54" s="5" t="inlineStr"/>
      <c r="T54" s="5" t="inlineStr">
        <is>
          <t>No</t>
        </is>
      </c>
      <c r="U54" s="5" t="inlineStr">
        <is>
          <t>Legitimate interest (B2B) - assess per campaign; PECR: corporate subscribers</t>
        </is>
      </c>
    </row>
    <row r="55">
      <c r="A55" s="10" t="inlineStr">
        <is>
          <t>WY-0067</t>
        </is>
      </c>
      <c r="B55" s="10" t="inlineStr">
        <is>
          <t>Booze Express</t>
        </is>
      </c>
      <c r="C55" s="10" t="inlineStr">
        <is>
          <t>Halifax</t>
        </is>
      </c>
      <c r="D55" s="10" t="inlineStr">
        <is>
          <t>Off-Licence</t>
        </is>
      </c>
      <c r="E55" s="10" t="inlineStr">
        <is>
          <t>Medium</t>
        </is>
      </c>
      <c r="F55" s="10" t="inlineStr"/>
      <c r="G55" s="10" t="inlineStr"/>
      <c r="H55" s="10" t="inlineStr"/>
      <c r="I55" s="10" t="inlineStr"/>
      <c r="J55" s="10" t="inlineStr"/>
      <c r="K55" s="10" t="inlineStr">
        <is>
          <t>New</t>
        </is>
      </c>
      <c r="L55" s="10" t="inlineStr">
        <is>
          <t>2026-09-16</t>
        </is>
      </c>
      <c r="M55" s="10" t="inlineStr"/>
      <c r="N55" s="10" t="inlineStr"/>
      <c r="O55" s="10" t="inlineStr"/>
      <c r="P55" s="10" t="inlineStr"/>
      <c r="Q55" s="10" t="inlineStr"/>
      <c r="R55" s="10" t="inlineStr"/>
      <c r="S55" s="10" t="inlineStr"/>
      <c r="T55" s="10" t="inlineStr">
        <is>
          <t>No</t>
        </is>
      </c>
      <c r="U55" s="10" t="inlineStr">
        <is>
          <t>Legitimate interest (B2B) - assess per campaign; PECR: corporate subscribers</t>
        </is>
      </c>
    </row>
    <row r="56">
      <c r="A56" s="5" t="inlineStr">
        <is>
          <t>WY-0071</t>
        </is>
      </c>
      <c r="B56" s="5" t="inlineStr">
        <is>
          <t>C Booth and Son</t>
        </is>
      </c>
      <c r="C56" s="5" t="inlineStr">
        <is>
          <t>Huddersfield</t>
        </is>
      </c>
      <c r="D56" s="5" t="inlineStr">
        <is>
          <t>Tobacco Specialist</t>
        </is>
      </c>
      <c r="E56" s="5" t="inlineStr">
        <is>
          <t>Medium</t>
        </is>
      </c>
      <c r="F56" s="5" t="inlineStr"/>
      <c r="G56" s="5" t="inlineStr"/>
      <c r="H56" s="5" t="inlineStr"/>
      <c r="I56" s="5" t="inlineStr"/>
      <c r="J56" s="5" t="inlineStr"/>
      <c r="K56" s="5" t="inlineStr">
        <is>
          <t>New</t>
        </is>
      </c>
      <c r="L56" s="5" t="inlineStr">
        <is>
          <t>2026-09-16</t>
        </is>
      </c>
      <c r="M56" s="5" t="inlineStr"/>
      <c r="N56" s="5" t="inlineStr"/>
      <c r="O56" s="5" t="inlineStr"/>
      <c r="P56" s="5" t="inlineStr"/>
      <c r="Q56" s="5" t="inlineStr"/>
      <c r="R56" s="5" t="inlineStr"/>
      <c r="S56" s="5" t="inlineStr"/>
      <c r="T56" s="5" t="inlineStr">
        <is>
          <t>No</t>
        </is>
      </c>
      <c r="U56" s="5" t="inlineStr">
        <is>
          <t>Legitimate interest (B2B) - assess per campaign; PECR: corporate subscribers</t>
        </is>
      </c>
    </row>
    <row r="57">
      <c r="A57" s="10" t="inlineStr">
        <is>
          <t>WY-0073</t>
        </is>
      </c>
      <c r="B57" s="10" t="inlineStr">
        <is>
          <t>Caspar's Bottle Shop</t>
        </is>
      </c>
      <c r="C57" s="10" t="inlineStr">
        <is>
          <t>Leeds</t>
        </is>
      </c>
      <c r="D57" s="10" t="inlineStr">
        <is>
          <t>Off-Licence</t>
        </is>
      </c>
      <c r="E57" s="10" t="inlineStr">
        <is>
          <t>Medium</t>
        </is>
      </c>
      <c r="F57" s="10" t="inlineStr">
        <is>
          <t>0113 237 4554</t>
        </is>
      </c>
      <c r="G57" s="10" t="inlineStr"/>
      <c r="H57" s="10" t="inlineStr"/>
      <c r="I57" s="10" t="inlineStr"/>
      <c r="J57" s="10" t="inlineStr"/>
      <c r="K57" s="10" t="inlineStr">
        <is>
          <t>New</t>
        </is>
      </c>
      <c r="L57" s="10" t="inlineStr">
        <is>
          <t>2026-09-16</t>
        </is>
      </c>
      <c r="M57" s="10" t="inlineStr"/>
      <c r="N57" s="10" t="inlineStr"/>
      <c r="O57" s="10" t="inlineStr"/>
      <c r="P57" s="10" t="inlineStr"/>
      <c r="Q57" s="10" t="inlineStr"/>
      <c r="R57" s="10" t="inlineStr"/>
      <c r="S57" s="10" t="inlineStr"/>
      <c r="T57" s="10" t="inlineStr">
        <is>
          <t>No</t>
        </is>
      </c>
      <c r="U57" s="10" t="inlineStr">
        <is>
          <t>Legitimate interest (B2B) - assess per campaign; PECR: corporate subscribers</t>
        </is>
      </c>
    </row>
    <row r="58">
      <c r="A58" s="5" t="inlineStr">
        <is>
          <t>WY-0016</t>
        </is>
      </c>
      <c r="B58" s="5" t="inlineStr">
        <is>
          <t>Chidswell Service Station (Karan Retail)</t>
        </is>
      </c>
      <c r="C58" s="5" t="inlineStr">
        <is>
          <t>Dewsbury</t>
        </is>
      </c>
      <c r="D58" s="5" t="inlineStr">
        <is>
          <t>Petrol Station / Forecourt</t>
        </is>
      </c>
      <c r="E58" s="5" t="inlineStr">
        <is>
          <t>Medium</t>
        </is>
      </c>
      <c r="F58" s="5" t="inlineStr"/>
      <c r="G58" s="5" t="inlineStr"/>
      <c r="H58" s="5" t="inlineStr"/>
      <c r="I58" s="5" t="inlineStr"/>
      <c r="J58" s="5" t="inlineStr"/>
      <c r="K58" s="5" t="inlineStr">
        <is>
          <t>New</t>
        </is>
      </c>
      <c r="L58" s="5" t="inlineStr">
        <is>
          <t>2026-09-16</t>
        </is>
      </c>
      <c r="M58" s="5" t="inlineStr"/>
      <c r="N58" s="5" t="inlineStr"/>
      <c r="O58" s="5" t="inlineStr"/>
      <c r="P58" s="5" t="inlineStr"/>
      <c r="Q58" s="5" t="inlineStr"/>
      <c r="R58" s="5" t="inlineStr"/>
      <c r="S58" s="5" t="inlineStr"/>
      <c r="T58" s="5" t="inlineStr">
        <is>
          <t>No</t>
        </is>
      </c>
      <c r="U58" s="5" t="inlineStr">
        <is>
          <t>Legitimate interest (B2B) - assess per campaign; PECR: corporate subscribers</t>
        </is>
      </c>
    </row>
    <row r="59">
      <c r="A59" s="10" t="inlineStr">
        <is>
          <t>WY-0076</t>
        </is>
      </c>
      <c r="B59" s="10" t="inlineStr">
        <is>
          <t>Costcutter Wibsey</t>
        </is>
      </c>
      <c r="C59" s="10" t="inlineStr">
        <is>
          <t>Bradford</t>
        </is>
      </c>
      <c r="D59" s="10" t="inlineStr">
        <is>
          <t>Convenience Store</t>
        </is>
      </c>
      <c r="E59" s="10" t="inlineStr">
        <is>
          <t>Medium</t>
        </is>
      </c>
      <c r="F59" s="10" t="inlineStr">
        <is>
          <t>01274 723454</t>
        </is>
      </c>
      <c r="G59" s="10" t="inlineStr"/>
      <c r="H59" s="10" t="inlineStr"/>
      <c r="I59" s="10" t="inlineStr"/>
      <c r="J59" s="10" t="inlineStr"/>
      <c r="K59" s="10" t="inlineStr">
        <is>
          <t>New</t>
        </is>
      </c>
      <c r="L59" s="10" t="inlineStr">
        <is>
          <t>2026-09-16</t>
        </is>
      </c>
      <c r="M59" s="10" t="inlineStr"/>
      <c r="N59" s="10" t="inlineStr"/>
      <c r="O59" s="10" t="inlineStr"/>
      <c r="P59" s="10" t="inlineStr"/>
      <c r="Q59" s="10" t="inlineStr"/>
      <c r="R59" s="10" t="inlineStr"/>
      <c r="S59" s="10" t="inlineStr"/>
      <c r="T59" s="10" t="inlineStr">
        <is>
          <t>No</t>
        </is>
      </c>
      <c r="U59" s="10" t="inlineStr">
        <is>
          <t>Legitimate interest (B2B) - assess per campaign; PECR: corporate subscribers</t>
        </is>
      </c>
    </row>
    <row r="60">
      <c r="A60" s="5" t="inlineStr">
        <is>
          <t>WY-0077</t>
        </is>
      </c>
      <c r="B60" s="5" t="inlineStr">
        <is>
          <t>Cote Hill Filling Station</t>
        </is>
      </c>
      <c r="C60" s="5" t="inlineStr">
        <is>
          <t>Halifax</t>
        </is>
      </c>
      <c r="D60" s="5" t="inlineStr">
        <is>
          <t>Petrol Station / Forecourt</t>
        </is>
      </c>
      <c r="E60" s="5" t="inlineStr">
        <is>
          <t>Medium</t>
        </is>
      </c>
      <c r="F60" s="5" t="inlineStr">
        <is>
          <t>01422 835350</t>
        </is>
      </c>
      <c r="G60" s="5" t="inlineStr">
        <is>
          <t>cotehillhalifax@gmail.com</t>
        </is>
      </c>
      <c r="H60" s="5" t="inlineStr"/>
      <c r="I60" s="5" t="inlineStr"/>
      <c r="J60" s="5" t="inlineStr"/>
      <c r="K60" s="5" t="inlineStr">
        <is>
          <t>New</t>
        </is>
      </c>
      <c r="L60" s="5" t="inlineStr">
        <is>
          <t>2026-09-16</t>
        </is>
      </c>
      <c r="M60" s="5" t="inlineStr"/>
      <c r="N60" s="5" t="inlineStr"/>
      <c r="O60" s="5" t="inlineStr"/>
      <c r="P60" s="5" t="inlineStr"/>
      <c r="Q60" s="5" t="inlineStr"/>
      <c r="R60" s="5" t="inlineStr"/>
      <c r="S60" s="5" t="inlineStr"/>
      <c r="T60" s="5" t="inlineStr">
        <is>
          <t>No</t>
        </is>
      </c>
      <c r="U60" s="5" t="inlineStr">
        <is>
          <t>Legitimate interest (B2B) - assess per campaign; PECR: corporate subscribers</t>
        </is>
      </c>
    </row>
    <row r="61">
      <c r="A61" s="10" t="inlineStr">
        <is>
          <t>WY-0078</t>
        </is>
      </c>
      <c r="B61" s="10" t="inlineStr">
        <is>
          <t>Crazycloudzzz</t>
        </is>
      </c>
      <c r="C61" s="10" t="inlineStr">
        <is>
          <t>Halifax</t>
        </is>
      </c>
      <c r="D61" s="10" t="inlineStr">
        <is>
          <t>Vape Shop</t>
        </is>
      </c>
      <c r="E61" s="10" t="inlineStr">
        <is>
          <t>Medium</t>
        </is>
      </c>
      <c r="F61" s="10" t="inlineStr"/>
      <c r="G61" s="10" t="inlineStr"/>
      <c r="H61" s="10" t="inlineStr"/>
      <c r="I61" s="10" t="inlineStr"/>
      <c r="J61" s="10" t="inlineStr"/>
      <c r="K61" s="10" t="inlineStr">
        <is>
          <t>New</t>
        </is>
      </c>
      <c r="L61" s="10" t="inlineStr">
        <is>
          <t>2026-09-16</t>
        </is>
      </c>
      <c r="M61" s="10" t="inlineStr"/>
      <c r="N61" s="10" t="inlineStr"/>
      <c r="O61" s="10" t="inlineStr"/>
      <c r="P61" s="10" t="inlineStr"/>
      <c r="Q61" s="10" t="inlineStr"/>
      <c r="R61" s="10" t="inlineStr"/>
      <c r="S61" s="10" t="inlineStr"/>
      <c r="T61" s="10" t="inlineStr">
        <is>
          <t>No</t>
        </is>
      </c>
      <c r="U61" s="10" t="inlineStr">
        <is>
          <t>Legitimate interest (B2B) - assess per campaign; PECR: corporate subscribers</t>
        </is>
      </c>
    </row>
    <row r="62">
      <c r="A62" s="5" t="inlineStr">
        <is>
          <t>WY-0025</t>
        </is>
      </c>
      <c r="B62" s="5" t="inlineStr">
        <is>
          <t>Dewsbury Service Station (Savile Petroleum)</t>
        </is>
      </c>
      <c r="C62" s="5" t="inlineStr">
        <is>
          <t>Dewsbury</t>
        </is>
      </c>
      <c r="D62" s="5" t="inlineStr">
        <is>
          <t>Petrol Station / Forecourt</t>
        </is>
      </c>
      <c r="E62" s="5" t="inlineStr">
        <is>
          <t>Medium</t>
        </is>
      </c>
      <c r="F62" s="5" t="inlineStr"/>
      <c r="G62" s="5" t="inlineStr"/>
      <c r="H62" s="5" t="inlineStr"/>
      <c r="I62" s="5" t="inlineStr"/>
      <c r="J62" s="5" t="inlineStr"/>
      <c r="K62" s="5" t="inlineStr">
        <is>
          <t>New</t>
        </is>
      </c>
      <c r="L62" s="5" t="inlineStr">
        <is>
          <t>2026-09-16</t>
        </is>
      </c>
      <c r="M62" s="5" t="inlineStr"/>
      <c r="N62" s="5" t="inlineStr"/>
      <c r="O62" s="5" t="inlineStr"/>
      <c r="P62" s="5" t="inlineStr"/>
      <c r="Q62" s="5" t="inlineStr"/>
      <c r="R62" s="5" t="inlineStr"/>
      <c r="S62" s="5" t="inlineStr"/>
      <c r="T62" s="5" t="inlineStr">
        <is>
          <t>No</t>
        </is>
      </c>
      <c r="U62" s="5" t="inlineStr">
        <is>
          <t>Legitimate interest (B2B) - assess per campaign; PECR: corporate subscribers</t>
        </is>
      </c>
    </row>
    <row r="63">
      <c r="A63" s="10" t="inlineStr">
        <is>
          <t>WY-0081</t>
        </is>
      </c>
      <c r="B63" s="10" t="inlineStr">
        <is>
          <t>ECigarette Outlet</t>
        </is>
      </c>
      <c r="C63" s="10" t="inlineStr">
        <is>
          <t>Shipley</t>
        </is>
      </c>
      <c r="D63" s="10" t="inlineStr">
        <is>
          <t>Vape Shop</t>
        </is>
      </c>
      <c r="E63" s="10" t="inlineStr">
        <is>
          <t>Medium</t>
        </is>
      </c>
      <c r="F63" s="10" t="inlineStr"/>
      <c r="G63" s="10" t="inlineStr"/>
      <c r="H63" s="10" t="inlineStr"/>
      <c r="I63" s="10" t="inlineStr"/>
      <c r="J63" s="10" t="inlineStr"/>
      <c r="K63" s="10" t="inlineStr">
        <is>
          <t>New</t>
        </is>
      </c>
      <c r="L63" s="10" t="inlineStr">
        <is>
          <t>2026-09-16</t>
        </is>
      </c>
      <c r="M63" s="10" t="inlineStr"/>
      <c r="N63" s="10" t="inlineStr"/>
      <c r="O63" s="10" t="inlineStr"/>
      <c r="P63" s="10" t="inlineStr"/>
      <c r="Q63" s="10" t="inlineStr"/>
      <c r="R63" s="10" t="inlineStr"/>
      <c r="S63" s="10" t="inlineStr"/>
      <c r="T63" s="10" t="inlineStr">
        <is>
          <t>No</t>
        </is>
      </c>
      <c r="U63" s="10" t="inlineStr">
        <is>
          <t>Legitimate interest (B2B) - assess per campaign; PECR: corporate subscribers</t>
        </is>
      </c>
    </row>
    <row r="64">
      <c r="A64" s="5" t="inlineStr">
        <is>
          <t>WY-0082</t>
        </is>
      </c>
      <c r="B64" s="5" t="inlineStr">
        <is>
          <t>Ecig N Vape</t>
        </is>
      </c>
      <c r="C64" s="5" t="inlineStr">
        <is>
          <t>Heckmondwike</t>
        </is>
      </c>
      <c r="D64" s="5" t="inlineStr">
        <is>
          <t>Vape Shop</t>
        </is>
      </c>
      <c r="E64" s="5" t="inlineStr">
        <is>
          <t>Medium</t>
        </is>
      </c>
      <c r="F64" s="5" t="inlineStr">
        <is>
          <t>01924 402342</t>
        </is>
      </c>
      <c r="G64" s="5" t="inlineStr"/>
      <c r="H64" s="5" t="inlineStr"/>
      <c r="I64" s="5" t="inlineStr"/>
      <c r="J64" s="5" t="inlineStr"/>
      <c r="K64" s="5" t="inlineStr">
        <is>
          <t>New</t>
        </is>
      </c>
      <c r="L64" s="5" t="inlineStr">
        <is>
          <t>2026-09-16</t>
        </is>
      </c>
      <c r="M64" s="5" t="inlineStr"/>
      <c r="N64" s="5" t="inlineStr"/>
      <c r="O64" s="5" t="inlineStr"/>
      <c r="P64" s="5" t="inlineStr"/>
      <c r="Q64" s="5" t="inlineStr"/>
      <c r="R64" s="5" t="inlineStr"/>
      <c r="S64" s="5" t="inlineStr"/>
      <c r="T64" s="5" t="inlineStr">
        <is>
          <t>No</t>
        </is>
      </c>
      <c r="U64" s="5" t="inlineStr">
        <is>
          <t>Legitimate interest (B2B) - assess per campaign; PECR: corporate subscribers</t>
        </is>
      </c>
    </row>
    <row r="65">
      <c r="A65" s="10" t="inlineStr">
        <is>
          <t>WY-0083</t>
        </is>
      </c>
      <c r="B65" s="10" t="inlineStr">
        <is>
          <t>Emporium Vapez</t>
        </is>
      </c>
      <c r="C65" s="10" t="inlineStr">
        <is>
          <t>Dewsbury</t>
        </is>
      </c>
      <c r="D65" s="10" t="inlineStr">
        <is>
          <t>Vape Shop</t>
        </is>
      </c>
      <c r="E65" s="10" t="inlineStr">
        <is>
          <t>Medium</t>
        </is>
      </c>
      <c r="F65" s="10" t="inlineStr">
        <is>
          <t>07375 706970</t>
        </is>
      </c>
      <c r="G65" s="10" t="inlineStr"/>
      <c r="H65" s="10" t="inlineStr"/>
      <c r="I65" s="10" t="inlineStr"/>
      <c r="J65" s="10" t="inlineStr"/>
      <c r="K65" s="10" t="inlineStr">
        <is>
          <t>New</t>
        </is>
      </c>
      <c r="L65" s="10" t="inlineStr">
        <is>
          <t>2026-09-16</t>
        </is>
      </c>
      <c r="M65" s="10" t="inlineStr"/>
      <c r="N65" s="10" t="inlineStr"/>
      <c r="O65" s="10" t="inlineStr"/>
      <c r="P65" s="10" t="inlineStr"/>
      <c r="Q65" s="10" t="inlineStr"/>
      <c r="R65" s="10" t="inlineStr"/>
      <c r="S65" s="10" t="inlineStr"/>
      <c r="T65" s="10" t="inlineStr">
        <is>
          <t>No</t>
        </is>
      </c>
      <c r="U65" s="10" t="inlineStr">
        <is>
          <t>Legitimate interest (B2B) - assess per campaign; PECR: corporate subscribers</t>
        </is>
      </c>
    </row>
    <row r="66">
      <c r="A66" s="5" t="inlineStr">
        <is>
          <t>WY-0084</t>
        </is>
      </c>
      <c r="B66" s="5" t="inlineStr">
        <is>
          <t>FilFoods Filipino Store</t>
        </is>
      </c>
      <c r="C66" s="5" t="inlineStr">
        <is>
          <t>Leeds</t>
        </is>
      </c>
      <c r="D66" s="5" t="inlineStr">
        <is>
          <t>Independent Supermarket</t>
        </is>
      </c>
      <c r="E66" s="5" t="inlineStr">
        <is>
          <t>Medium</t>
        </is>
      </c>
      <c r="F66" s="5" t="inlineStr">
        <is>
          <t>0113 440 1031</t>
        </is>
      </c>
      <c r="G66" s="5" t="inlineStr"/>
      <c r="H66" s="5" t="inlineStr"/>
      <c r="I66" s="5" t="inlineStr"/>
      <c r="J66" s="5" t="inlineStr"/>
      <c r="K66" s="5" t="inlineStr">
        <is>
          <t>New</t>
        </is>
      </c>
      <c r="L66" s="5" t="inlineStr">
        <is>
          <t>2026-09-16</t>
        </is>
      </c>
      <c r="M66" s="5" t="inlineStr"/>
      <c r="N66" s="5" t="inlineStr"/>
      <c r="O66" s="5" t="inlineStr"/>
      <c r="P66" s="5" t="inlineStr"/>
      <c r="Q66" s="5" t="inlineStr"/>
      <c r="R66" s="5" t="inlineStr"/>
      <c r="S66" s="5" t="inlineStr"/>
      <c r="T66" s="5" t="inlineStr">
        <is>
          <t>No</t>
        </is>
      </c>
      <c r="U66" s="5" t="inlineStr">
        <is>
          <t>Legitimate interest (B2B) - assess per campaign; PECR: corporate subscribers</t>
        </is>
      </c>
    </row>
    <row r="67">
      <c r="A67" s="10" t="inlineStr">
        <is>
          <t>WY-0085</t>
        </is>
      </c>
      <c r="B67" s="10" t="inlineStr">
        <is>
          <t>Forever Vapes</t>
        </is>
      </c>
      <c r="C67" s="10" t="inlineStr">
        <is>
          <t>Heckmondwike</t>
        </is>
      </c>
      <c r="D67" s="10" t="inlineStr">
        <is>
          <t>Vape Shop</t>
        </is>
      </c>
      <c r="E67" s="10" t="inlineStr">
        <is>
          <t>Medium</t>
        </is>
      </c>
      <c r="F67" s="10" t="inlineStr"/>
      <c r="G67" s="10" t="inlineStr"/>
      <c r="H67" s="10" t="inlineStr"/>
      <c r="I67" s="10" t="inlineStr"/>
      <c r="J67" s="10" t="inlineStr"/>
      <c r="K67" s="10" t="inlineStr">
        <is>
          <t>New</t>
        </is>
      </c>
      <c r="L67" s="10" t="inlineStr">
        <is>
          <t>2026-09-16</t>
        </is>
      </c>
      <c r="M67" s="10" t="inlineStr"/>
      <c r="N67" s="10" t="inlineStr"/>
      <c r="O67" s="10" t="inlineStr"/>
      <c r="P67" s="10" t="inlineStr"/>
      <c r="Q67" s="10" t="inlineStr"/>
      <c r="R67" s="10" t="inlineStr"/>
      <c r="S67" s="10" t="inlineStr"/>
      <c r="T67" s="10" t="inlineStr">
        <is>
          <t>No</t>
        </is>
      </c>
      <c r="U67" s="10" t="inlineStr">
        <is>
          <t>Legitimate interest (B2B) - assess per campaign; PECR: corporate subscribers</t>
        </is>
      </c>
    </row>
    <row r="68">
      <c r="A68" s="5" t="inlineStr">
        <is>
          <t>WY-0086</t>
        </is>
      </c>
      <c r="B68" s="5" t="inlineStr">
        <is>
          <t>FreshCo Wakefield</t>
        </is>
      </c>
      <c r="C68" s="5" t="inlineStr">
        <is>
          <t>Wakefield</t>
        </is>
      </c>
      <c r="D68" s="5" t="inlineStr">
        <is>
          <t>Independent Supermarket</t>
        </is>
      </c>
      <c r="E68" s="5" t="inlineStr">
        <is>
          <t>Medium</t>
        </is>
      </c>
      <c r="F68" s="5" t="inlineStr">
        <is>
          <t>01924 781869</t>
        </is>
      </c>
      <c r="G68" s="5" t="inlineStr">
        <is>
          <t>Hoa1@hotmail.co.uk</t>
        </is>
      </c>
      <c r="H68" s="5" t="inlineStr"/>
      <c r="I68" s="5" t="inlineStr">
        <is>
          <t>Aras Ali</t>
        </is>
      </c>
      <c r="J68" s="5" t="inlineStr">
        <is>
          <t>Owner</t>
        </is>
      </c>
      <c r="K68" s="5" t="inlineStr">
        <is>
          <t>New</t>
        </is>
      </c>
      <c r="L68" s="5" t="inlineStr">
        <is>
          <t>2026-09-16</t>
        </is>
      </c>
      <c r="M68" s="5" t="inlineStr"/>
      <c r="N68" s="5" t="inlineStr"/>
      <c r="O68" s="5" t="inlineStr"/>
      <c r="P68" s="5" t="inlineStr"/>
      <c r="Q68" s="5" t="inlineStr"/>
      <c r="R68" s="5" t="inlineStr"/>
      <c r="S68" s="5" t="inlineStr"/>
      <c r="T68" s="5" t="inlineStr">
        <is>
          <t>No</t>
        </is>
      </c>
      <c r="U68" s="5" t="inlineStr">
        <is>
          <t>Legitimate interest (B2B) - assess per campaign; PECR: corporate subscribers</t>
        </is>
      </c>
    </row>
    <row r="69">
      <c r="A69" s="10" t="inlineStr">
        <is>
          <t>WY-0014</t>
        </is>
      </c>
      <c r="B69" s="10" t="inlineStr">
        <is>
          <t>GT News (White Rose Shopping Centre)</t>
        </is>
      </c>
      <c r="C69" s="10" t="inlineStr">
        <is>
          <t>Leeds</t>
        </is>
      </c>
      <c r="D69" s="10" t="inlineStr">
        <is>
          <t>Newsagent</t>
        </is>
      </c>
      <c r="E69" s="10" t="inlineStr">
        <is>
          <t>Medium</t>
        </is>
      </c>
      <c r="F69" s="10" t="inlineStr">
        <is>
          <t>0113 228 6446</t>
        </is>
      </c>
      <c r="G69" s="10" t="inlineStr"/>
      <c r="H69" s="10" t="inlineStr"/>
      <c r="I69" s="10" t="inlineStr"/>
      <c r="J69" s="10" t="inlineStr"/>
      <c r="K69" s="10" t="inlineStr">
        <is>
          <t>New</t>
        </is>
      </c>
      <c r="L69" s="10" t="inlineStr">
        <is>
          <t>2026-09-16</t>
        </is>
      </c>
      <c r="M69" s="10" t="inlineStr"/>
      <c r="N69" s="10" t="inlineStr"/>
      <c r="O69" s="10" t="inlineStr"/>
      <c r="P69" s="10" t="inlineStr"/>
      <c r="Q69" s="10" t="inlineStr"/>
      <c r="R69" s="10" t="inlineStr"/>
      <c r="S69" s="10" t="inlineStr"/>
      <c r="T69" s="10" t="inlineStr">
        <is>
          <t>No</t>
        </is>
      </c>
      <c r="U69" s="10" t="inlineStr">
        <is>
          <t>Legitimate interest (B2B) - assess per campaign; PECR: corporate subscribers</t>
        </is>
      </c>
    </row>
    <row r="70">
      <c r="A70" s="5" t="inlineStr">
        <is>
          <t>WY-0088</t>
        </is>
      </c>
      <c r="B70" s="5" t="inlineStr">
        <is>
          <t>Get Plugged</t>
        </is>
      </c>
      <c r="C70" s="5" t="inlineStr">
        <is>
          <t>Huddersfield</t>
        </is>
      </c>
      <c r="D70" s="5" t="inlineStr">
        <is>
          <t>Vape Shop</t>
        </is>
      </c>
      <c r="E70" s="5" t="inlineStr">
        <is>
          <t>Medium</t>
        </is>
      </c>
      <c r="F70" s="5" t="inlineStr"/>
      <c r="G70" s="5" t="inlineStr"/>
      <c r="H70" s="5" t="inlineStr"/>
      <c r="I70" s="5" t="inlineStr"/>
      <c r="J70" s="5" t="inlineStr"/>
      <c r="K70" s="5" t="inlineStr">
        <is>
          <t>New</t>
        </is>
      </c>
      <c r="L70" s="5" t="inlineStr">
        <is>
          <t>2026-09-16</t>
        </is>
      </c>
      <c r="M70" s="5" t="inlineStr"/>
      <c r="N70" s="5" t="inlineStr"/>
      <c r="O70" s="5" t="inlineStr"/>
      <c r="P70" s="5" t="inlineStr"/>
      <c r="Q70" s="5" t="inlineStr"/>
      <c r="R70" s="5" t="inlineStr"/>
      <c r="S70" s="5" t="inlineStr"/>
      <c r="T70" s="5" t="inlineStr">
        <is>
          <t>No</t>
        </is>
      </c>
      <c r="U70" s="5" t="inlineStr">
        <is>
          <t>Legitimate interest (B2B) - assess per campaign; PECR: corporate subscribers</t>
        </is>
      </c>
    </row>
    <row r="71">
      <c r="A71" s="10" t="inlineStr">
        <is>
          <t>WY-0028</t>
        </is>
      </c>
      <c r="B71" s="10" t="inlineStr">
        <is>
          <t>Glasshoughton Service Station</t>
        </is>
      </c>
      <c r="C71" s="10" t="inlineStr">
        <is>
          <t>Castleford</t>
        </is>
      </c>
      <c r="D71" s="10" t="inlineStr">
        <is>
          <t>Petrol Station / Forecourt</t>
        </is>
      </c>
      <c r="E71" s="10" t="inlineStr">
        <is>
          <t>Medium</t>
        </is>
      </c>
      <c r="F71" s="10" t="inlineStr">
        <is>
          <t>01977 278353</t>
        </is>
      </c>
      <c r="G71" s="10" t="inlineStr"/>
      <c r="H71" s="10" t="inlineStr"/>
      <c r="I71" s="10" t="inlineStr"/>
      <c r="J71" s="10" t="inlineStr"/>
      <c r="K71" s="10" t="inlineStr">
        <is>
          <t>New</t>
        </is>
      </c>
      <c r="L71" s="10" t="inlineStr">
        <is>
          <t>2026-09-16</t>
        </is>
      </c>
      <c r="M71" s="10" t="inlineStr"/>
      <c r="N71" s="10" t="inlineStr"/>
      <c r="O71" s="10" t="inlineStr"/>
      <c r="P71" s="10" t="inlineStr"/>
      <c r="Q71" s="10" t="inlineStr"/>
      <c r="R71" s="10" t="inlineStr"/>
      <c r="S71" s="10" t="inlineStr"/>
      <c r="T71" s="10" t="inlineStr">
        <is>
          <t>No</t>
        </is>
      </c>
      <c r="U71" s="10" t="inlineStr">
        <is>
          <t>Legitimate interest (B2B) - assess per campaign; PECR: corporate subscribers</t>
        </is>
      </c>
    </row>
    <row r="72">
      <c r="A72" s="5" t="inlineStr">
        <is>
          <t>WY-0097</t>
        </is>
      </c>
      <c r="B72" s="5" t="inlineStr">
        <is>
          <t>House of Vapour</t>
        </is>
      </c>
      <c r="C72" s="5" t="inlineStr">
        <is>
          <t>South Elmsall</t>
        </is>
      </c>
      <c r="D72" s="5" t="inlineStr">
        <is>
          <t>Vape Shop</t>
        </is>
      </c>
      <c r="E72" s="5" t="inlineStr">
        <is>
          <t>Medium</t>
        </is>
      </c>
      <c r="F72" s="5" t="inlineStr">
        <is>
          <t>01977 647969</t>
        </is>
      </c>
      <c r="G72" s="5" t="inlineStr"/>
      <c r="H72" s="5" t="inlineStr"/>
      <c r="I72" s="5" t="inlineStr"/>
      <c r="J72" s="5" t="inlineStr"/>
      <c r="K72" s="5" t="inlineStr">
        <is>
          <t>New</t>
        </is>
      </c>
      <c r="L72" s="5" t="inlineStr">
        <is>
          <t>2026-09-16</t>
        </is>
      </c>
      <c r="M72" s="5" t="inlineStr"/>
      <c r="N72" s="5" t="inlineStr"/>
      <c r="O72" s="5" t="inlineStr"/>
      <c r="P72" s="5" t="inlineStr"/>
      <c r="Q72" s="5" t="inlineStr"/>
      <c r="R72" s="5" t="inlineStr"/>
      <c r="S72" s="5" t="inlineStr"/>
      <c r="T72" s="5" t="inlineStr">
        <is>
          <t>No</t>
        </is>
      </c>
      <c r="U72" s="5" t="inlineStr">
        <is>
          <t>Legitimate interest (B2B) - assess per campaign; PECR: corporate subscribers</t>
        </is>
      </c>
    </row>
    <row r="73">
      <c r="A73" s="10" t="inlineStr">
        <is>
          <t>WY-0100</t>
        </is>
      </c>
      <c r="B73" s="10" t="inlineStr">
        <is>
          <t>Javid Supermarket</t>
        </is>
      </c>
      <c r="C73" s="10" t="inlineStr">
        <is>
          <t>Huddersfield</t>
        </is>
      </c>
      <c r="D73" s="10" t="inlineStr">
        <is>
          <t>Independent Supermarket</t>
        </is>
      </c>
      <c r="E73" s="10" t="inlineStr">
        <is>
          <t>Medium</t>
        </is>
      </c>
      <c r="F73" s="10" t="inlineStr">
        <is>
          <t>01484 517411</t>
        </is>
      </c>
      <c r="G73" s="10" t="inlineStr">
        <is>
          <t>contact@javidsupermarket.co.uk</t>
        </is>
      </c>
      <c r="H73" s="10" t="inlineStr"/>
      <c r="I73" s="10" t="inlineStr"/>
      <c r="J73" s="10" t="inlineStr"/>
      <c r="K73" s="10" t="inlineStr">
        <is>
          <t>New</t>
        </is>
      </c>
      <c r="L73" s="10" t="inlineStr">
        <is>
          <t>2026-09-16</t>
        </is>
      </c>
      <c r="M73" s="10" t="inlineStr"/>
      <c r="N73" s="10" t="inlineStr"/>
      <c r="O73" s="10" t="inlineStr"/>
      <c r="P73" s="10" t="inlineStr"/>
      <c r="Q73" s="10" t="inlineStr"/>
      <c r="R73" s="10" t="inlineStr"/>
      <c r="S73" s="10" t="inlineStr"/>
      <c r="T73" s="10" t="inlineStr">
        <is>
          <t>No</t>
        </is>
      </c>
      <c r="U73" s="10" t="inlineStr">
        <is>
          <t>Legitimate interest (B2B) - assess per campaign; PECR: corporate subscribers</t>
        </is>
      </c>
    </row>
    <row r="74">
      <c r="A74" s="5" t="inlineStr">
        <is>
          <t>WY-0102</t>
        </is>
      </c>
      <c r="B74" s="5" t="inlineStr">
        <is>
          <t>Kasa Beeston Convenience Store</t>
        </is>
      </c>
      <c r="C74" s="5" t="inlineStr">
        <is>
          <t>Leeds</t>
        </is>
      </c>
      <c r="D74" s="5" t="inlineStr">
        <is>
          <t>Convenience Store</t>
        </is>
      </c>
      <c r="E74" s="5" t="inlineStr">
        <is>
          <t>Medium</t>
        </is>
      </c>
      <c r="F74" s="5" t="inlineStr">
        <is>
          <t>0113 277 5757</t>
        </is>
      </c>
      <c r="G74" s="5" t="inlineStr">
        <is>
          <t>info@kasabeeston.com</t>
        </is>
      </c>
      <c r="H74" s="5" t="inlineStr"/>
      <c r="I74" s="5" t="inlineStr"/>
      <c r="J74" s="5" t="inlineStr"/>
      <c r="K74" s="5" t="inlineStr">
        <is>
          <t>New</t>
        </is>
      </c>
      <c r="L74" s="5" t="inlineStr">
        <is>
          <t>2026-09-16</t>
        </is>
      </c>
      <c r="M74" s="5" t="inlineStr"/>
      <c r="N74" s="5" t="inlineStr"/>
      <c r="O74" s="5" t="inlineStr"/>
      <c r="P74" s="5" t="inlineStr"/>
      <c r="Q74" s="5" t="inlineStr"/>
      <c r="R74" s="5" t="inlineStr"/>
      <c r="S74" s="5" t="inlineStr"/>
      <c r="T74" s="5" t="inlineStr">
        <is>
          <t>No</t>
        </is>
      </c>
      <c r="U74" s="5" t="inlineStr">
        <is>
          <t>Legitimate interest (B2B) - assess per campaign; PECR: corporate subscribers</t>
        </is>
      </c>
    </row>
    <row r="75">
      <c r="A75" s="10" t="inlineStr">
        <is>
          <t>WY-0108</t>
        </is>
      </c>
      <c r="B75" s="10" t="inlineStr">
        <is>
          <t>Latitude Wine &amp; Liquor Merchant</t>
        </is>
      </c>
      <c r="C75" s="10" t="inlineStr">
        <is>
          <t>Leeds</t>
        </is>
      </c>
      <c r="D75" s="10" t="inlineStr">
        <is>
          <t>Off-Licence</t>
        </is>
      </c>
      <c r="E75" s="10" t="inlineStr">
        <is>
          <t>Medium</t>
        </is>
      </c>
      <c r="F75" s="10" t="inlineStr">
        <is>
          <t>0113 245 3393</t>
        </is>
      </c>
      <c r="G75" s="10" t="inlineStr"/>
      <c r="H75" s="10" t="inlineStr">
        <is>
          <t>sales@latitudewine.co.uk</t>
        </is>
      </c>
      <c r="I75" s="10" t="inlineStr"/>
      <c r="J75" s="10" t="inlineStr"/>
      <c r="K75" s="10" t="inlineStr">
        <is>
          <t>New</t>
        </is>
      </c>
      <c r="L75" s="10" t="inlineStr">
        <is>
          <t>2026-09-16</t>
        </is>
      </c>
      <c r="M75" s="10" t="inlineStr"/>
      <c r="N75" s="10" t="inlineStr"/>
      <c r="O75" s="10" t="inlineStr"/>
      <c r="P75" s="10" t="inlineStr"/>
      <c r="Q75" s="10" t="inlineStr"/>
      <c r="R75" s="10" t="inlineStr"/>
      <c r="S75" s="10" t="inlineStr"/>
      <c r="T75" s="10" t="inlineStr">
        <is>
          <t>No</t>
        </is>
      </c>
      <c r="U75" s="10" t="inlineStr">
        <is>
          <t>Legitimate interest (B2B) - assess per campaign; PECR: corporate subscribers</t>
        </is>
      </c>
    </row>
    <row r="76">
      <c r="A76" s="5" t="inlineStr">
        <is>
          <t>WY-0109</t>
        </is>
      </c>
      <c r="B76" s="5" t="inlineStr">
        <is>
          <t>Leeds Shisha Wholesale</t>
        </is>
      </c>
      <c r="C76" s="5" t="inlineStr">
        <is>
          <t>Leeds</t>
        </is>
      </c>
      <c r="D76" s="5" t="inlineStr">
        <is>
          <t>Smoke / Shisha Shop</t>
        </is>
      </c>
      <c r="E76" s="5" t="inlineStr">
        <is>
          <t>Medium</t>
        </is>
      </c>
      <c r="F76" s="5" t="inlineStr"/>
      <c r="G76" s="5" t="inlineStr"/>
      <c r="H76" s="5" t="inlineStr"/>
      <c r="I76" s="5" t="inlineStr"/>
      <c r="J76" s="5" t="inlineStr"/>
      <c r="K76" s="5" t="inlineStr">
        <is>
          <t>New</t>
        </is>
      </c>
      <c r="L76" s="5" t="inlineStr">
        <is>
          <t>2026-09-16</t>
        </is>
      </c>
      <c r="M76" s="5" t="inlineStr"/>
      <c r="N76" s="5" t="inlineStr"/>
      <c r="O76" s="5" t="inlineStr"/>
      <c r="P76" s="5" t="inlineStr"/>
      <c r="Q76" s="5" t="inlineStr"/>
      <c r="R76" s="5" t="inlineStr"/>
      <c r="S76" s="5" t="inlineStr"/>
      <c r="T76" s="5" t="inlineStr">
        <is>
          <t>No</t>
        </is>
      </c>
      <c r="U76" s="5" t="inlineStr">
        <is>
          <t>Legitimate interest (B2B) - assess per campaign; PECR: corporate subscribers</t>
        </is>
      </c>
    </row>
    <row r="77">
      <c r="A77" s="10" t="inlineStr">
        <is>
          <t>WY-0110</t>
        </is>
      </c>
      <c r="B77" s="10" t="inlineStr">
        <is>
          <t>Liquid Mafia The King of Vapes</t>
        </is>
      </c>
      <c r="C77" s="10" t="inlineStr">
        <is>
          <t>Dewsbury</t>
        </is>
      </c>
      <c r="D77" s="10" t="inlineStr">
        <is>
          <t>Vape Shop</t>
        </is>
      </c>
      <c r="E77" s="10" t="inlineStr">
        <is>
          <t>Medium</t>
        </is>
      </c>
      <c r="F77" s="10" t="inlineStr">
        <is>
          <t>07512 340800</t>
        </is>
      </c>
      <c r="G77" s="10" t="inlineStr"/>
      <c r="H77" s="10" t="inlineStr"/>
      <c r="I77" s="10" t="inlineStr"/>
      <c r="J77" s="10" t="inlineStr"/>
      <c r="K77" s="10" t="inlineStr">
        <is>
          <t>New</t>
        </is>
      </c>
      <c r="L77" s="10" t="inlineStr">
        <is>
          <t>2026-09-16</t>
        </is>
      </c>
      <c r="M77" s="10" t="inlineStr"/>
      <c r="N77" s="10" t="inlineStr"/>
      <c r="O77" s="10" t="inlineStr"/>
      <c r="P77" s="10" t="inlineStr"/>
      <c r="Q77" s="10" t="inlineStr"/>
      <c r="R77" s="10" t="inlineStr"/>
      <c r="S77" s="10" t="inlineStr"/>
      <c r="T77" s="10" t="inlineStr">
        <is>
          <t>No</t>
        </is>
      </c>
      <c r="U77" s="10" t="inlineStr">
        <is>
          <t>Legitimate interest (B2B) - assess per campaign; PECR: corporate subscribers</t>
        </is>
      </c>
    </row>
    <row r="78">
      <c r="A78" s="5" t="inlineStr">
        <is>
          <t>WY-0113</t>
        </is>
      </c>
      <c r="B78" s="5" t="inlineStr">
        <is>
          <t>Londis Normanton (313 Castleford Road)</t>
        </is>
      </c>
      <c r="C78" s="5" t="inlineStr">
        <is>
          <t>Normanton</t>
        </is>
      </c>
      <c r="D78" s="5" t="inlineStr">
        <is>
          <t>Convenience Store</t>
        </is>
      </c>
      <c r="E78" s="5" t="inlineStr">
        <is>
          <t>Medium</t>
        </is>
      </c>
      <c r="F78" s="5" t="inlineStr">
        <is>
          <t>01924 892113</t>
        </is>
      </c>
      <c r="G78" s="5" t="inlineStr"/>
      <c r="H78" s="5" t="inlineStr"/>
      <c r="I78" s="5" t="inlineStr"/>
      <c r="J78" s="5" t="inlineStr"/>
      <c r="K78" s="5" t="inlineStr">
        <is>
          <t>New</t>
        </is>
      </c>
      <c r="L78" s="5" t="inlineStr">
        <is>
          <t>2026-09-16</t>
        </is>
      </c>
      <c r="M78" s="5" t="inlineStr"/>
      <c r="N78" s="5" t="inlineStr"/>
      <c r="O78" s="5" t="inlineStr"/>
      <c r="P78" s="5" t="inlineStr"/>
      <c r="Q78" s="5" t="inlineStr"/>
      <c r="R78" s="5" t="inlineStr"/>
      <c r="S78" s="5" t="inlineStr"/>
      <c r="T78" s="5" t="inlineStr">
        <is>
          <t>No</t>
        </is>
      </c>
      <c r="U78" s="5" t="inlineStr">
        <is>
          <t>Legitimate interest (B2B) - assess per campaign; PECR: corporate subscribers</t>
        </is>
      </c>
    </row>
    <row r="79">
      <c r="A79" s="10" t="inlineStr">
        <is>
          <t>WY-0114</t>
        </is>
      </c>
      <c r="B79" s="10" t="inlineStr">
        <is>
          <t>Londis Normanton (Castleford Road, WF6 2DW)</t>
        </is>
      </c>
      <c r="C79" s="10" t="inlineStr">
        <is>
          <t>Normanton</t>
        </is>
      </c>
      <c r="D79" s="10" t="inlineStr">
        <is>
          <t>Convenience Store</t>
        </is>
      </c>
      <c r="E79" s="10" t="inlineStr">
        <is>
          <t>Medium</t>
        </is>
      </c>
      <c r="F79" s="10" t="inlineStr">
        <is>
          <t>01924 890438</t>
        </is>
      </c>
      <c r="G79" s="10" t="inlineStr"/>
      <c r="H79" s="10" t="inlineStr"/>
      <c r="I79" s="10" t="inlineStr"/>
      <c r="J79" s="10" t="inlineStr"/>
      <c r="K79" s="10" t="inlineStr">
        <is>
          <t>New</t>
        </is>
      </c>
      <c r="L79" s="10" t="inlineStr">
        <is>
          <t>2026-09-16</t>
        </is>
      </c>
      <c r="M79" s="10" t="inlineStr"/>
      <c r="N79" s="10" t="inlineStr"/>
      <c r="O79" s="10" t="inlineStr"/>
      <c r="P79" s="10" t="inlineStr"/>
      <c r="Q79" s="10" t="inlineStr"/>
      <c r="R79" s="10" t="inlineStr"/>
      <c r="S79" s="10" t="inlineStr"/>
      <c r="T79" s="10" t="inlineStr">
        <is>
          <t>No</t>
        </is>
      </c>
      <c r="U79" s="10" t="inlineStr">
        <is>
          <t>Legitimate interest (B2B) - assess per campaign; PECR: corporate subscribers</t>
        </is>
      </c>
    </row>
    <row r="80">
      <c r="A80" s="5" t="inlineStr">
        <is>
          <t>WY-0115</t>
        </is>
      </c>
      <c r="B80" s="5" t="inlineStr">
        <is>
          <t>Londis Ravensthorpe</t>
        </is>
      </c>
      <c r="C80" s="5" t="inlineStr">
        <is>
          <t>Dewsbury</t>
        </is>
      </c>
      <c r="D80" s="5" t="inlineStr">
        <is>
          <t>Convenience Store</t>
        </is>
      </c>
      <c r="E80" s="5" t="inlineStr">
        <is>
          <t>Medium</t>
        </is>
      </c>
      <c r="F80" s="5" t="inlineStr">
        <is>
          <t>01924 461300</t>
        </is>
      </c>
      <c r="G80" s="5" t="inlineStr"/>
      <c r="H80" s="5" t="inlineStr"/>
      <c r="I80" s="5" t="inlineStr"/>
      <c r="J80" s="5" t="inlineStr"/>
      <c r="K80" s="5" t="inlineStr">
        <is>
          <t>New</t>
        </is>
      </c>
      <c r="L80" s="5" t="inlineStr">
        <is>
          <t>2026-09-16</t>
        </is>
      </c>
      <c r="M80" s="5" t="inlineStr"/>
      <c r="N80" s="5" t="inlineStr"/>
      <c r="O80" s="5" t="inlineStr"/>
      <c r="P80" s="5" t="inlineStr"/>
      <c r="Q80" s="5" t="inlineStr"/>
      <c r="R80" s="5" t="inlineStr"/>
      <c r="S80" s="5" t="inlineStr"/>
      <c r="T80" s="5" t="inlineStr">
        <is>
          <t>No</t>
        </is>
      </c>
      <c r="U80" s="5" t="inlineStr">
        <is>
          <t>Legitimate interest (B2B) - assess per campaign; PECR: corporate subscribers</t>
        </is>
      </c>
    </row>
    <row r="81">
      <c r="A81" s="10" t="inlineStr">
        <is>
          <t>WY-0116</t>
        </is>
      </c>
      <c r="B81" s="10" t="inlineStr">
        <is>
          <t>Low Lane Convenience Store (Premier)</t>
        </is>
      </c>
      <c r="C81" s="10" t="inlineStr">
        <is>
          <t>Batley</t>
        </is>
      </c>
      <c r="D81" s="10" t="inlineStr">
        <is>
          <t>Convenience Store</t>
        </is>
      </c>
      <c r="E81" s="10" t="inlineStr">
        <is>
          <t>Medium</t>
        </is>
      </c>
      <c r="F81" s="10" t="inlineStr"/>
      <c r="G81" s="10" t="inlineStr"/>
      <c r="H81" s="10" t="inlineStr"/>
      <c r="I81" s="10" t="inlineStr"/>
      <c r="J81" s="10" t="inlineStr"/>
      <c r="K81" s="10" t="inlineStr">
        <is>
          <t>New</t>
        </is>
      </c>
      <c r="L81" s="10" t="inlineStr">
        <is>
          <t>2026-09-16</t>
        </is>
      </c>
      <c r="M81" s="10" t="inlineStr"/>
      <c r="N81" s="10" t="inlineStr"/>
      <c r="O81" s="10" t="inlineStr"/>
      <c r="P81" s="10" t="inlineStr"/>
      <c r="Q81" s="10" t="inlineStr"/>
      <c r="R81" s="10" t="inlineStr"/>
      <c r="S81" s="10" t="inlineStr"/>
      <c r="T81" s="10" t="inlineStr">
        <is>
          <t>No</t>
        </is>
      </c>
      <c r="U81" s="10" t="inlineStr">
        <is>
          <t>Legitimate interest (B2B) - assess per campaign; PECR: corporate subscribers</t>
        </is>
      </c>
    </row>
    <row r="82">
      <c r="A82" s="5" t="inlineStr">
        <is>
          <t>WY-0017</t>
        </is>
      </c>
      <c r="B82" s="5" t="inlineStr">
        <is>
          <t>Manchester Superstore (Wakefield)</t>
        </is>
      </c>
      <c r="C82" s="5" t="inlineStr">
        <is>
          <t>Wakefield</t>
        </is>
      </c>
      <c r="D82" s="5" t="inlineStr">
        <is>
          <t>Independent Supermarket</t>
        </is>
      </c>
      <c r="E82" s="5" t="inlineStr">
        <is>
          <t>Medium</t>
        </is>
      </c>
      <c r="F82" s="5" t="inlineStr">
        <is>
          <t>01924 369105</t>
        </is>
      </c>
      <c r="G82" s="5" t="inlineStr"/>
      <c r="H82" s="5" t="inlineStr"/>
      <c r="I82" s="5" t="inlineStr"/>
      <c r="J82" s="5" t="inlineStr"/>
      <c r="K82" s="5" t="inlineStr">
        <is>
          <t>New</t>
        </is>
      </c>
      <c r="L82" s="5" t="inlineStr">
        <is>
          <t>2026-09-16</t>
        </is>
      </c>
      <c r="M82" s="5" t="inlineStr"/>
      <c r="N82" s="5" t="inlineStr"/>
      <c r="O82" s="5" t="inlineStr"/>
      <c r="P82" s="5" t="inlineStr"/>
      <c r="Q82" s="5" t="inlineStr"/>
      <c r="R82" s="5" t="inlineStr"/>
      <c r="S82" s="5" t="inlineStr"/>
      <c r="T82" s="5" t="inlineStr">
        <is>
          <t>No</t>
        </is>
      </c>
      <c r="U82" s="5" t="inlineStr">
        <is>
          <t>Legitimate interest (B2B) - assess per campaign; PECR: corporate subscribers</t>
        </is>
      </c>
    </row>
    <row r="83">
      <c r="A83" s="10" t="inlineStr">
        <is>
          <t>WY-0121</t>
        </is>
      </c>
      <c r="B83" s="10" t="inlineStr">
        <is>
          <t>Mister Motivaper</t>
        </is>
      </c>
      <c r="C83" s="10" t="inlineStr">
        <is>
          <t>Pontefract</t>
        </is>
      </c>
      <c r="D83" s="10" t="inlineStr">
        <is>
          <t>Vape Shop</t>
        </is>
      </c>
      <c r="E83" s="10" t="inlineStr">
        <is>
          <t>Medium</t>
        </is>
      </c>
      <c r="F83" s="10" t="inlineStr">
        <is>
          <t>01274 987430</t>
        </is>
      </c>
      <c r="G83" s="10" t="inlineStr"/>
      <c r="H83" s="10" t="inlineStr"/>
      <c r="I83" s="10" t="inlineStr"/>
      <c r="J83" s="10" t="inlineStr"/>
      <c r="K83" s="10" t="inlineStr">
        <is>
          <t>New</t>
        </is>
      </c>
      <c r="L83" s="10" t="inlineStr">
        <is>
          <t>2026-09-16</t>
        </is>
      </c>
      <c r="M83" s="10" t="inlineStr"/>
      <c r="N83" s="10" t="inlineStr"/>
      <c r="O83" s="10" t="inlineStr"/>
      <c r="P83" s="10" t="inlineStr"/>
      <c r="Q83" s="10" t="inlineStr"/>
      <c r="R83" s="10" t="inlineStr"/>
      <c r="S83" s="10" t="inlineStr"/>
      <c r="T83" s="10" t="inlineStr">
        <is>
          <t>No</t>
        </is>
      </c>
      <c r="U83" s="10" t="inlineStr">
        <is>
          <t>Legitimate interest (B2B) - assess per campaign; PECR: corporate subscribers</t>
        </is>
      </c>
    </row>
    <row r="84">
      <c r="A84" s="5" t="inlineStr">
        <is>
          <t>WY-0123</t>
        </is>
      </c>
      <c r="B84" s="5" t="inlineStr">
        <is>
          <t>Mount Vapes</t>
        </is>
      </c>
      <c r="C84" s="5" t="inlineStr">
        <is>
          <t>Halifax</t>
        </is>
      </c>
      <c r="D84" s="5" t="inlineStr">
        <is>
          <t>Vape Shop</t>
        </is>
      </c>
      <c r="E84" s="5" t="inlineStr">
        <is>
          <t>Medium</t>
        </is>
      </c>
      <c r="F84" s="5" t="inlineStr">
        <is>
          <t>07843 846154</t>
        </is>
      </c>
      <c r="G84" s="5" t="inlineStr"/>
      <c r="H84" s="5" t="inlineStr"/>
      <c r="I84" s="5" t="inlineStr"/>
      <c r="J84" s="5" t="inlineStr"/>
      <c r="K84" s="5" t="inlineStr">
        <is>
          <t>New</t>
        </is>
      </c>
      <c r="L84" s="5" t="inlineStr">
        <is>
          <t>2026-09-16</t>
        </is>
      </c>
      <c r="M84" s="5" t="inlineStr"/>
      <c r="N84" s="5" t="inlineStr"/>
      <c r="O84" s="5" t="inlineStr"/>
      <c r="P84" s="5" t="inlineStr"/>
      <c r="Q84" s="5" t="inlineStr"/>
      <c r="R84" s="5" t="inlineStr"/>
      <c r="S84" s="5" t="inlineStr"/>
      <c r="T84" s="5" t="inlineStr">
        <is>
          <t>No</t>
        </is>
      </c>
      <c r="U84" s="5" t="inlineStr">
        <is>
          <t>Legitimate interest (B2B) - assess per campaign; PECR: corporate subscribers</t>
        </is>
      </c>
    </row>
    <row r="85">
      <c r="A85" s="10" t="inlineStr">
        <is>
          <t>WY-0019</t>
        </is>
      </c>
      <c r="B85" s="10" t="inlineStr">
        <is>
          <t>Mullaco (Batley)</t>
        </is>
      </c>
      <c r="C85" s="10" t="inlineStr">
        <is>
          <t>Batley</t>
        </is>
      </c>
      <c r="D85" s="10" t="inlineStr">
        <is>
          <t>Independent Supermarket</t>
        </is>
      </c>
      <c r="E85" s="10" t="inlineStr">
        <is>
          <t>Medium</t>
        </is>
      </c>
      <c r="F85" s="10" t="inlineStr">
        <is>
          <t>01924 939128</t>
        </is>
      </c>
      <c r="G85" s="10" t="inlineStr"/>
      <c r="H85" s="10" t="inlineStr"/>
      <c r="I85" s="10" t="inlineStr"/>
      <c r="J85" s="10" t="inlineStr"/>
      <c r="K85" s="10" t="inlineStr">
        <is>
          <t>New</t>
        </is>
      </c>
      <c r="L85" s="10" t="inlineStr">
        <is>
          <t>2026-09-16</t>
        </is>
      </c>
      <c r="M85" s="10" t="inlineStr"/>
      <c r="N85" s="10" t="inlineStr"/>
      <c r="O85" s="10" t="inlineStr"/>
      <c r="P85" s="10" t="inlineStr"/>
      <c r="Q85" s="10" t="inlineStr"/>
      <c r="R85" s="10" t="inlineStr"/>
      <c r="S85" s="10" t="inlineStr"/>
      <c r="T85" s="10" t="inlineStr">
        <is>
          <t>No</t>
        </is>
      </c>
      <c r="U85" s="10" t="inlineStr">
        <is>
          <t>Legitimate interest (B2B) - assess per campaign; PECR: corporate subscribers</t>
        </is>
      </c>
    </row>
    <row r="86">
      <c r="A86" s="5" t="inlineStr">
        <is>
          <t>WY-0020</t>
        </is>
      </c>
      <c r="B86" s="5" t="inlineStr">
        <is>
          <t>Mullaco Minimarket (Dewsbury)</t>
        </is>
      </c>
      <c r="C86" s="5" t="inlineStr">
        <is>
          <t>Dewsbury</t>
        </is>
      </c>
      <c r="D86" s="5" t="inlineStr">
        <is>
          <t>Convenience Store</t>
        </is>
      </c>
      <c r="E86" s="5" t="inlineStr">
        <is>
          <t>Medium</t>
        </is>
      </c>
      <c r="F86" s="5" t="inlineStr"/>
      <c r="G86" s="5" t="inlineStr"/>
      <c r="H86" s="5" t="inlineStr"/>
      <c r="I86" s="5" t="inlineStr"/>
      <c r="J86" s="5" t="inlineStr"/>
      <c r="K86" s="5" t="inlineStr">
        <is>
          <t>New</t>
        </is>
      </c>
      <c r="L86" s="5" t="inlineStr">
        <is>
          <t>2026-09-16</t>
        </is>
      </c>
      <c r="M86" s="5" t="inlineStr"/>
      <c r="N86" s="5" t="inlineStr"/>
      <c r="O86" s="5" t="inlineStr"/>
      <c r="P86" s="5" t="inlineStr"/>
      <c r="Q86" s="5" t="inlineStr"/>
      <c r="R86" s="5" t="inlineStr"/>
      <c r="S86" s="5" t="inlineStr"/>
      <c r="T86" s="5" t="inlineStr">
        <is>
          <t>No</t>
        </is>
      </c>
      <c r="U86" s="5" t="inlineStr">
        <is>
          <t>Legitimate interest (B2B) - assess per campaign; PECR: corporate subscribers</t>
        </is>
      </c>
    </row>
    <row r="87">
      <c r="A87" s="10" t="inlineStr">
        <is>
          <t>WY-0021</t>
        </is>
      </c>
      <c r="B87" s="10" t="inlineStr">
        <is>
          <t>Mullaco Supermarket (Dewsbury)</t>
        </is>
      </c>
      <c r="C87" s="10" t="inlineStr">
        <is>
          <t>Dewsbury</t>
        </is>
      </c>
      <c r="D87" s="10" t="inlineStr">
        <is>
          <t>Independent Supermarket</t>
        </is>
      </c>
      <c r="E87" s="10" t="inlineStr">
        <is>
          <t>Medium</t>
        </is>
      </c>
      <c r="F87" s="10" t="inlineStr">
        <is>
          <t>01924 465909</t>
        </is>
      </c>
      <c r="G87" s="10" t="inlineStr"/>
      <c r="H87" s="10" t="inlineStr"/>
      <c r="I87" s="10" t="inlineStr"/>
      <c r="J87" s="10" t="inlineStr"/>
      <c r="K87" s="10" t="inlineStr">
        <is>
          <t>New</t>
        </is>
      </c>
      <c r="L87" s="10" t="inlineStr">
        <is>
          <t>2026-09-16</t>
        </is>
      </c>
      <c r="M87" s="10" t="inlineStr"/>
      <c r="N87" s="10" t="inlineStr"/>
      <c r="O87" s="10" t="inlineStr"/>
      <c r="P87" s="10" t="inlineStr"/>
      <c r="Q87" s="10" t="inlineStr"/>
      <c r="R87" s="10" t="inlineStr"/>
      <c r="S87" s="10" t="inlineStr"/>
      <c r="T87" s="10" t="inlineStr">
        <is>
          <t>No</t>
        </is>
      </c>
      <c r="U87" s="10" t="inlineStr">
        <is>
          <t>Legitimate interest (B2B) - assess per campaign; PECR: corporate subscribers</t>
        </is>
      </c>
    </row>
    <row r="88">
      <c r="A88" s="5" t="inlineStr">
        <is>
          <t>WY-0125</t>
        </is>
      </c>
      <c r="B88" s="5" t="inlineStr">
        <is>
          <t>Nisa Local Knottingley</t>
        </is>
      </c>
      <c r="C88" s="5" t="inlineStr">
        <is>
          <t>Knottingley</t>
        </is>
      </c>
      <c r="D88" s="5" t="inlineStr">
        <is>
          <t>Convenience Store</t>
        </is>
      </c>
      <c r="E88" s="5" t="inlineStr">
        <is>
          <t>Medium</t>
        </is>
      </c>
      <c r="F88" s="5" t="inlineStr">
        <is>
          <t>01977 607202</t>
        </is>
      </c>
      <c r="G88" s="5" t="inlineStr"/>
      <c r="H88" s="5" t="inlineStr"/>
      <c r="I88" s="5" t="inlineStr"/>
      <c r="J88" s="5" t="inlineStr"/>
      <c r="K88" s="5" t="inlineStr">
        <is>
          <t>New</t>
        </is>
      </c>
      <c r="L88" s="5" t="inlineStr">
        <is>
          <t>2026-09-16</t>
        </is>
      </c>
      <c r="M88" s="5" t="inlineStr"/>
      <c r="N88" s="5" t="inlineStr"/>
      <c r="O88" s="5" t="inlineStr"/>
      <c r="P88" s="5" t="inlineStr"/>
      <c r="Q88" s="5" t="inlineStr"/>
      <c r="R88" s="5" t="inlineStr"/>
      <c r="S88" s="5" t="inlineStr"/>
      <c r="T88" s="5" t="inlineStr">
        <is>
          <t>No</t>
        </is>
      </c>
      <c r="U88" s="5" t="inlineStr">
        <is>
          <t>Legitimate interest (B2B) - assess per campaign; PECR: corporate subscribers</t>
        </is>
      </c>
    </row>
    <row r="89">
      <c r="A89" s="10" t="inlineStr">
        <is>
          <t>WY-0127</t>
        </is>
      </c>
      <c r="B89" s="10" t="inlineStr">
        <is>
          <t>Notay Convenience Store (Premier)</t>
        </is>
      </c>
      <c r="C89" s="10" t="inlineStr">
        <is>
          <t>Batley</t>
        </is>
      </c>
      <c r="D89" s="10" t="inlineStr">
        <is>
          <t>Convenience Store</t>
        </is>
      </c>
      <c r="E89" s="10" t="inlineStr">
        <is>
          <t>Medium</t>
        </is>
      </c>
      <c r="F89" s="10" t="inlineStr">
        <is>
          <t>01924 471483</t>
        </is>
      </c>
      <c r="G89" s="10" t="inlineStr"/>
      <c r="H89" s="10" t="inlineStr"/>
      <c r="I89" s="10" t="inlineStr"/>
      <c r="J89" s="10" t="inlineStr"/>
      <c r="K89" s="10" t="inlineStr">
        <is>
          <t>New</t>
        </is>
      </c>
      <c r="L89" s="10" t="inlineStr">
        <is>
          <t>2026-09-16</t>
        </is>
      </c>
      <c r="M89" s="10" t="inlineStr"/>
      <c r="N89" s="10" t="inlineStr"/>
      <c r="O89" s="10" t="inlineStr"/>
      <c r="P89" s="10" t="inlineStr"/>
      <c r="Q89" s="10" t="inlineStr"/>
      <c r="R89" s="10" t="inlineStr"/>
      <c r="S89" s="10" t="inlineStr"/>
      <c r="T89" s="10" t="inlineStr">
        <is>
          <t>No</t>
        </is>
      </c>
      <c r="U89" s="10" t="inlineStr">
        <is>
          <t>Legitimate interest (B2B) - assess per campaign; PECR: corporate subscribers</t>
        </is>
      </c>
    </row>
    <row r="90">
      <c r="A90" s="5" t="inlineStr">
        <is>
          <t>WY-0130</t>
        </is>
      </c>
      <c r="B90" s="5" t="inlineStr">
        <is>
          <t>Pakeezah Superstore</t>
        </is>
      </c>
      <c r="C90" s="5" t="inlineStr">
        <is>
          <t>Bradford</t>
        </is>
      </c>
      <c r="D90" s="5" t="inlineStr">
        <is>
          <t>Independent Supermarket</t>
        </is>
      </c>
      <c r="E90" s="5" t="inlineStr">
        <is>
          <t>Medium</t>
        </is>
      </c>
      <c r="F90" s="5" t="inlineStr">
        <is>
          <t>01274 739500</t>
        </is>
      </c>
      <c r="G90" s="5" t="inlineStr">
        <is>
          <t>info@pakeezah.com</t>
        </is>
      </c>
      <c r="H90" s="5" t="inlineStr"/>
      <c r="I90" s="5" t="inlineStr"/>
      <c r="J90" s="5" t="inlineStr"/>
      <c r="K90" s="5" t="inlineStr">
        <is>
          <t>New</t>
        </is>
      </c>
      <c r="L90" s="5" t="inlineStr">
        <is>
          <t>2026-09-16</t>
        </is>
      </c>
      <c r="M90" s="5" t="inlineStr"/>
      <c r="N90" s="5" t="inlineStr"/>
      <c r="O90" s="5" t="inlineStr"/>
      <c r="P90" s="5" t="inlineStr"/>
      <c r="Q90" s="5" t="inlineStr"/>
      <c r="R90" s="5" t="inlineStr"/>
      <c r="S90" s="5" t="inlineStr"/>
      <c r="T90" s="5" t="inlineStr">
        <is>
          <t>No</t>
        </is>
      </c>
      <c r="U90" s="5" t="inlineStr">
        <is>
          <t>Legitimate interest (B2B) - assess per campaign; PECR: corporate subscribers</t>
        </is>
      </c>
    </row>
    <row r="91">
      <c r="A91" s="10" t="inlineStr">
        <is>
          <t>WY-0131</t>
        </is>
      </c>
      <c r="B91" s="10" t="inlineStr">
        <is>
          <t>Phantom Vape Store</t>
        </is>
      </c>
      <c r="C91" s="10" t="inlineStr">
        <is>
          <t>Dewsbury</t>
        </is>
      </c>
      <c r="D91" s="10" t="inlineStr">
        <is>
          <t>Vape Shop</t>
        </is>
      </c>
      <c r="E91" s="10" t="inlineStr">
        <is>
          <t>Medium</t>
        </is>
      </c>
      <c r="F91" s="10" t="inlineStr"/>
      <c r="G91" s="10" t="inlineStr"/>
      <c r="H91" s="10" t="inlineStr"/>
      <c r="I91" s="10" t="inlineStr"/>
      <c r="J91" s="10" t="inlineStr"/>
      <c r="K91" s="10" t="inlineStr">
        <is>
          <t>New</t>
        </is>
      </c>
      <c r="L91" s="10" t="inlineStr">
        <is>
          <t>2026-09-16</t>
        </is>
      </c>
      <c r="M91" s="10" t="inlineStr"/>
      <c r="N91" s="10" t="inlineStr"/>
      <c r="O91" s="10" t="inlineStr"/>
      <c r="P91" s="10" t="inlineStr"/>
      <c r="Q91" s="10" t="inlineStr"/>
      <c r="R91" s="10" t="inlineStr"/>
      <c r="S91" s="10" t="inlineStr"/>
      <c r="T91" s="10" t="inlineStr">
        <is>
          <t>No</t>
        </is>
      </c>
      <c r="U91" s="10" t="inlineStr">
        <is>
          <t>Legitimate interest (B2B) - assess per campaign; PECR: corporate subscribers</t>
        </is>
      </c>
    </row>
    <row r="92">
      <c r="A92" s="5" t="inlineStr">
        <is>
          <t>WY-0132</t>
        </is>
      </c>
      <c r="B92" s="5" t="inlineStr">
        <is>
          <t>Phoenix Filling Station</t>
        </is>
      </c>
      <c r="C92" s="5" t="inlineStr">
        <is>
          <t>Bradford</t>
        </is>
      </c>
      <c r="D92" s="5" t="inlineStr">
        <is>
          <t>Petrol Station / Forecourt</t>
        </is>
      </c>
      <c r="E92" s="5" t="inlineStr">
        <is>
          <t>Medium</t>
        </is>
      </c>
      <c r="F92" s="5" t="inlineStr">
        <is>
          <t>01274 721896</t>
        </is>
      </c>
      <c r="G92" s="5" t="inlineStr"/>
      <c r="H92" s="5" t="inlineStr"/>
      <c r="I92" s="5" t="inlineStr"/>
      <c r="J92" s="5" t="inlineStr"/>
      <c r="K92" s="5" t="inlineStr">
        <is>
          <t>New</t>
        </is>
      </c>
      <c r="L92" s="5" t="inlineStr">
        <is>
          <t>2026-09-16</t>
        </is>
      </c>
      <c r="M92" s="5" t="inlineStr"/>
      <c r="N92" s="5" t="inlineStr"/>
      <c r="O92" s="5" t="inlineStr"/>
      <c r="P92" s="5" t="inlineStr"/>
      <c r="Q92" s="5" t="inlineStr"/>
      <c r="R92" s="5" t="inlineStr"/>
      <c r="S92" s="5" t="inlineStr"/>
      <c r="T92" s="5" t="inlineStr">
        <is>
          <t>No</t>
        </is>
      </c>
      <c r="U92" s="5" t="inlineStr">
        <is>
          <t>Legitimate interest (B2B) - assess per campaign; PECR: corporate subscribers</t>
        </is>
      </c>
    </row>
    <row r="93">
      <c r="A93" s="10" t="inlineStr">
        <is>
          <t>WY-0135</t>
        </is>
      </c>
      <c r="B93" s="10" t="inlineStr">
        <is>
          <t>Premier Wholesale Cash &amp; Carry</t>
        </is>
      </c>
      <c r="C93" s="10" t="inlineStr">
        <is>
          <t>Huddersfield</t>
        </is>
      </c>
      <c r="D93" s="10" t="inlineStr">
        <is>
          <t>Cash &amp; Carry</t>
        </is>
      </c>
      <c r="E93" s="10" t="inlineStr">
        <is>
          <t>Medium</t>
        </is>
      </c>
      <c r="F93" s="10" t="inlineStr"/>
      <c r="G93" s="10" t="inlineStr"/>
      <c r="H93" s="10" t="inlineStr"/>
      <c r="I93" s="10" t="inlineStr"/>
      <c r="J93" s="10" t="inlineStr"/>
      <c r="K93" s="10" t="inlineStr">
        <is>
          <t>New</t>
        </is>
      </c>
      <c r="L93" s="10" t="inlineStr">
        <is>
          <t>2026-09-16</t>
        </is>
      </c>
      <c r="M93" s="10" t="inlineStr"/>
      <c r="N93" s="10" t="inlineStr"/>
      <c r="O93" s="10" t="inlineStr"/>
      <c r="P93" s="10" t="inlineStr"/>
      <c r="Q93" s="10" t="inlineStr"/>
      <c r="R93" s="10" t="inlineStr"/>
      <c r="S93" s="10" t="inlineStr"/>
      <c r="T93" s="10" t="inlineStr">
        <is>
          <t>No</t>
        </is>
      </c>
      <c r="U93" s="10" t="inlineStr">
        <is>
          <t>Legitimate interest (B2B) - assess per campaign; PECR: corporate subscribers</t>
        </is>
      </c>
    </row>
    <row r="94">
      <c r="A94" s="5" t="inlineStr">
        <is>
          <t>WY-0138</t>
        </is>
      </c>
      <c r="B94" s="5" t="inlineStr">
        <is>
          <t>Revo Vapes</t>
        </is>
      </c>
      <c r="C94" s="5" t="inlineStr">
        <is>
          <t>Morley</t>
        </is>
      </c>
      <c r="D94" s="5" t="inlineStr">
        <is>
          <t>Vape Shop</t>
        </is>
      </c>
      <c r="E94" s="5" t="inlineStr">
        <is>
          <t>Medium</t>
        </is>
      </c>
      <c r="F94" s="5" t="inlineStr"/>
      <c r="G94" s="5" t="inlineStr"/>
      <c r="H94" s="5" t="inlineStr"/>
      <c r="I94" s="5" t="inlineStr"/>
      <c r="J94" s="5" t="inlineStr"/>
      <c r="K94" s="5" t="inlineStr">
        <is>
          <t>New</t>
        </is>
      </c>
      <c r="L94" s="5" t="inlineStr">
        <is>
          <t>2026-09-16</t>
        </is>
      </c>
      <c r="M94" s="5" t="inlineStr"/>
      <c r="N94" s="5" t="inlineStr"/>
      <c r="O94" s="5" t="inlineStr"/>
      <c r="P94" s="5" t="inlineStr"/>
      <c r="Q94" s="5" t="inlineStr"/>
      <c r="R94" s="5" t="inlineStr"/>
      <c r="S94" s="5" t="inlineStr"/>
      <c r="T94" s="5" t="inlineStr">
        <is>
          <t>No</t>
        </is>
      </c>
      <c r="U94" s="5" t="inlineStr">
        <is>
          <t>Legitimate interest (B2B) - assess per campaign; PECR: corporate subscribers</t>
        </is>
      </c>
    </row>
    <row r="95">
      <c r="A95" s="10" t="inlineStr">
        <is>
          <t>WY-0141</t>
        </is>
      </c>
      <c r="B95" s="10" t="inlineStr">
        <is>
          <t>SPAR Huddersfield Road</t>
        </is>
      </c>
      <c r="C95" s="10" t="inlineStr">
        <is>
          <t>Elland</t>
        </is>
      </c>
      <c r="D95" s="10" t="inlineStr">
        <is>
          <t>Convenience Store</t>
        </is>
      </c>
      <c r="E95" s="10" t="inlineStr">
        <is>
          <t>Medium</t>
        </is>
      </c>
      <c r="F95" s="10" t="inlineStr">
        <is>
          <t>01422 648232</t>
        </is>
      </c>
      <c r="G95" s="10" t="inlineStr"/>
      <c r="H95" s="10" t="inlineStr"/>
      <c r="I95" s="10" t="inlineStr"/>
      <c r="J95" s="10" t="inlineStr"/>
      <c r="K95" s="10" t="inlineStr">
        <is>
          <t>New</t>
        </is>
      </c>
      <c r="L95" s="10" t="inlineStr">
        <is>
          <t>2026-09-16</t>
        </is>
      </c>
      <c r="M95" s="10" t="inlineStr"/>
      <c r="N95" s="10" t="inlineStr"/>
      <c r="O95" s="10" t="inlineStr"/>
      <c r="P95" s="10" t="inlineStr"/>
      <c r="Q95" s="10" t="inlineStr"/>
      <c r="R95" s="10" t="inlineStr"/>
      <c r="S95" s="10" t="inlineStr"/>
      <c r="T95" s="10" t="inlineStr">
        <is>
          <t>No</t>
        </is>
      </c>
      <c r="U95" s="10" t="inlineStr">
        <is>
          <t>Legitimate interest (B2B) - assess per campaign; PECR: corporate subscribers</t>
        </is>
      </c>
    </row>
    <row r="96">
      <c r="A96" s="5" t="inlineStr">
        <is>
          <t>WY-0142</t>
        </is>
      </c>
      <c r="B96" s="5" t="inlineStr">
        <is>
          <t>SPAR Outwood</t>
        </is>
      </c>
      <c r="C96" s="5" t="inlineStr">
        <is>
          <t>Wakefield</t>
        </is>
      </c>
      <c r="D96" s="5" t="inlineStr">
        <is>
          <t>Convenience Store</t>
        </is>
      </c>
      <c r="E96" s="5" t="inlineStr">
        <is>
          <t>Medium</t>
        </is>
      </c>
      <c r="F96" s="5" t="inlineStr">
        <is>
          <t>01924 822641</t>
        </is>
      </c>
      <c r="G96" s="5" t="inlineStr"/>
      <c r="H96" s="5" t="inlineStr"/>
      <c r="I96" s="5" t="inlineStr"/>
      <c r="J96" s="5" t="inlineStr"/>
      <c r="K96" s="5" t="inlineStr">
        <is>
          <t>New</t>
        </is>
      </c>
      <c r="L96" s="5" t="inlineStr">
        <is>
          <t>2026-09-16</t>
        </is>
      </c>
      <c r="M96" s="5" t="inlineStr"/>
      <c r="N96" s="5" t="inlineStr"/>
      <c r="O96" s="5" t="inlineStr"/>
      <c r="P96" s="5" t="inlineStr"/>
      <c r="Q96" s="5" t="inlineStr"/>
      <c r="R96" s="5" t="inlineStr"/>
      <c r="S96" s="5" t="inlineStr"/>
      <c r="T96" s="5" t="inlineStr">
        <is>
          <t>No</t>
        </is>
      </c>
      <c r="U96" s="5" t="inlineStr">
        <is>
          <t>Legitimate interest (B2B) - assess per campaign; PECR: corporate subscribers</t>
        </is>
      </c>
    </row>
    <row r="97">
      <c r="A97" s="10" t="inlineStr">
        <is>
          <t>WY-0143</t>
        </is>
      </c>
      <c r="B97" s="10" t="inlineStr">
        <is>
          <t>SaveCo Cash &amp; Carry Bradford</t>
        </is>
      </c>
      <c r="C97" s="10" t="inlineStr">
        <is>
          <t>Bradford</t>
        </is>
      </c>
      <c r="D97" s="10" t="inlineStr">
        <is>
          <t>Cash &amp; Carry</t>
        </is>
      </c>
      <c r="E97" s="10" t="inlineStr">
        <is>
          <t>Medium</t>
        </is>
      </c>
      <c r="F97" s="10" t="inlineStr">
        <is>
          <t>01274 665555</t>
        </is>
      </c>
      <c r="G97" s="10" t="inlineStr"/>
      <c r="H97" s="10" t="inlineStr"/>
      <c r="I97" s="10" t="inlineStr"/>
      <c r="J97" s="10" t="inlineStr"/>
      <c r="K97" s="10" t="inlineStr">
        <is>
          <t>New</t>
        </is>
      </c>
      <c r="L97" s="10" t="inlineStr">
        <is>
          <t>2026-09-16</t>
        </is>
      </c>
      <c r="M97" s="10" t="inlineStr"/>
      <c r="N97" s="10" t="inlineStr"/>
      <c r="O97" s="10" t="inlineStr"/>
      <c r="P97" s="10" t="inlineStr"/>
      <c r="Q97" s="10" t="inlineStr"/>
      <c r="R97" s="10" t="inlineStr"/>
      <c r="S97" s="10" t="inlineStr"/>
      <c r="T97" s="10" t="inlineStr">
        <is>
          <t>No</t>
        </is>
      </c>
      <c r="U97" s="10" t="inlineStr">
        <is>
          <t>Legitimate interest (B2B) - assess per campaign; PECR: corporate subscribers</t>
        </is>
      </c>
    </row>
    <row r="98">
      <c r="A98" s="5" t="inlineStr">
        <is>
          <t>WY-0145</t>
        </is>
      </c>
      <c r="B98" s="5" t="inlineStr">
        <is>
          <t>Shans Supermarket</t>
        </is>
      </c>
      <c r="C98" s="5" t="inlineStr">
        <is>
          <t>Keighley</t>
        </is>
      </c>
      <c r="D98" s="5" t="inlineStr">
        <is>
          <t>Independent Supermarket</t>
        </is>
      </c>
      <c r="E98" s="5" t="inlineStr">
        <is>
          <t>Medium</t>
        </is>
      </c>
      <c r="F98" s="5" t="inlineStr">
        <is>
          <t>01535 667889</t>
        </is>
      </c>
      <c r="G98" s="5" t="inlineStr"/>
      <c r="H98" s="5" t="inlineStr"/>
      <c r="I98" s="5" t="inlineStr"/>
      <c r="J98" s="5" t="inlineStr"/>
      <c r="K98" s="5" t="inlineStr">
        <is>
          <t>New</t>
        </is>
      </c>
      <c r="L98" s="5" t="inlineStr">
        <is>
          <t>2026-09-16</t>
        </is>
      </c>
      <c r="M98" s="5" t="inlineStr"/>
      <c r="N98" s="5" t="inlineStr"/>
      <c r="O98" s="5" t="inlineStr"/>
      <c r="P98" s="5" t="inlineStr"/>
      <c r="Q98" s="5" t="inlineStr"/>
      <c r="R98" s="5" t="inlineStr"/>
      <c r="S98" s="5" t="inlineStr"/>
      <c r="T98" s="5" t="inlineStr">
        <is>
          <t>No</t>
        </is>
      </c>
      <c r="U98" s="5" t="inlineStr">
        <is>
          <t>Legitimate interest (B2B) - assess per campaign; PECR: corporate subscribers</t>
        </is>
      </c>
    </row>
    <row r="99">
      <c r="A99" s="10" t="inlineStr">
        <is>
          <t>WY-0147</t>
        </is>
      </c>
      <c r="B99" s="10" t="inlineStr">
        <is>
          <t>Shoesmiths Tobacconist</t>
        </is>
      </c>
      <c r="C99" s="10" t="inlineStr">
        <is>
          <t>Halifax</t>
        </is>
      </c>
      <c r="D99" s="10" t="inlineStr">
        <is>
          <t>Tobacco Specialist</t>
        </is>
      </c>
      <c r="E99" s="10" t="inlineStr">
        <is>
          <t>Medium</t>
        </is>
      </c>
      <c r="F99" s="10" t="inlineStr"/>
      <c r="G99" s="10" t="inlineStr"/>
      <c r="H99" s="10" t="inlineStr"/>
      <c r="I99" s="10" t="inlineStr"/>
      <c r="J99" s="10" t="inlineStr"/>
      <c r="K99" s="10" t="inlineStr">
        <is>
          <t>New</t>
        </is>
      </c>
      <c r="L99" s="10" t="inlineStr">
        <is>
          <t>2026-09-16</t>
        </is>
      </c>
      <c r="M99" s="10" t="inlineStr"/>
      <c r="N99" s="10" t="inlineStr"/>
      <c r="O99" s="10" t="inlineStr"/>
      <c r="P99" s="10" t="inlineStr"/>
      <c r="Q99" s="10" t="inlineStr"/>
      <c r="R99" s="10" t="inlineStr"/>
      <c r="S99" s="10" t="inlineStr"/>
      <c r="T99" s="10" t="inlineStr">
        <is>
          <t>No</t>
        </is>
      </c>
      <c r="U99" s="10" t="inlineStr">
        <is>
          <t>Legitimate interest (B2B) - assess per campaign; PECR: corporate subscribers</t>
        </is>
      </c>
    </row>
    <row r="100">
      <c r="A100" s="5" t="inlineStr">
        <is>
          <t>WY-0149</t>
        </is>
      </c>
      <c r="B100" s="5" t="inlineStr">
        <is>
          <t>Smokers D'Lite</t>
        </is>
      </c>
      <c r="C100" s="5" t="inlineStr">
        <is>
          <t>Leeds</t>
        </is>
      </c>
      <c r="D100" s="5" t="inlineStr">
        <is>
          <t>Vape Shop</t>
        </is>
      </c>
      <c r="E100" s="5" t="inlineStr">
        <is>
          <t>Medium</t>
        </is>
      </c>
      <c r="F100" s="5" t="inlineStr"/>
      <c r="G100" s="5" t="inlineStr"/>
      <c r="H100" s="5" t="inlineStr"/>
      <c r="I100" s="5" t="inlineStr"/>
      <c r="J100" s="5" t="inlineStr"/>
      <c r="K100" s="5" t="inlineStr">
        <is>
          <t>New</t>
        </is>
      </c>
      <c r="L100" s="5" t="inlineStr">
        <is>
          <t>2026-09-16</t>
        </is>
      </c>
      <c r="M100" s="5" t="inlineStr"/>
      <c r="N100" s="5" t="inlineStr"/>
      <c r="O100" s="5" t="inlineStr"/>
      <c r="P100" s="5" t="inlineStr"/>
      <c r="Q100" s="5" t="inlineStr"/>
      <c r="R100" s="5" t="inlineStr"/>
      <c r="S100" s="5" t="inlineStr"/>
      <c r="T100" s="5" t="inlineStr">
        <is>
          <t>No</t>
        </is>
      </c>
      <c r="U100" s="5" t="inlineStr">
        <is>
          <t>Legitimate interest (B2B) - assess per campaign; PECR: corporate subscribers</t>
        </is>
      </c>
    </row>
    <row r="101">
      <c r="A101" s="10" t="inlineStr">
        <is>
          <t>WY-0150</t>
        </is>
      </c>
      <c r="B101" s="10" t="inlineStr">
        <is>
          <t>Somers of Keighley</t>
        </is>
      </c>
      <c r="C101" s="10" t="inlineStr">
        <is>
          <t>Keighley</t>
        </is>
      </c>
      <c r="D101" s="10" t="inlineStr">
        <is>
          <t>Tobacco Specialist</t>
        </is>
      </c>
      <c r="E101" s="10" t="inlineStr">
        <is>
          <t>Medium</t>
        </is>
      </c>
      <c r="F101" s="10" t="inlineStr">
        <is>
          <t>01535 604678</t>
        </is>
      </c>
      <c r="G101" s="10" t="inlineStr"/>
      <c r="H101" s="10" t="inlineStr"/>
      <c r="I101" s="10" t="inlineStr"/>
      <c r="J101" s="10" t="inlineStr"/>
      <c r="K101" s="10" t="inlineStr">
        <is>
          <t>New</t>
        </is>
      </c>
      <c r="L101" s="10" t="inlineStr">
        <is>
          <t>2026-09-16</t>
        </is>
      </c>
      <c r="M101" s="10" t="inlineStr"/>
      <c r="N101" s="10" t="inlineStr"/>
      <c r="O101" s="10" t="inlineStr"/>
      <c r="P101" s="10" t="inlineStr"/>
      <c r="Q101" s="10" t="inlineStr"/>
      <c r="R101" s="10" t="inlineStr"/>
      <c r="S101" s="10" t="inlineStr"/>
      <c r="T101" s="10" t="inlineStr">
        <is>
          <t>No</t>
        </is>
      </c>
      <c r="U101" s="10" t="inlineStr">
        <is>
          <t>Legitimate interest (B2B) - assess per campaign; PECR: corporate subscribers</t>
        </is>
      </c>
    </row>
    <row r="102">
      <c r="A102" s="5" t="inlineStr">
        <is>
          <t>WY-0156</t>
        </is>
      </c>
      <c r="B102" s="5" t="inlineStr">
        <is>
          <t>Suki's Cash &amp; Carry</t>
        </is>
      </c>
      <c r="C102" s="5" t="inlineStr">
        <is>
          <t>Bradford</t>
        </is>
      </c>
      <c r="D102" s="5" t="inlineStr">
        <is>
          <t>Cash &amp; Carry</t>
        </is>
      </c>
      <c r="E102" s="5" t="inlineStr">
        <is>
          <t>Medium</t>
        </is>
      </c>
      <c r="F102" s="5" t="inlineStr">
        <is>
          <t>01274 736093</t>
        </is>
      </c>
      <c r="G102" s="5" t="inlineStr"/>
      <c r="H102" s="5" t="inlineStr"/>
      <c r="I102" s="5" t="inlineStr"/>
      <c r="J102" s="5" t="inlineStr"/>
      <c r="K102" s="5" t="inlineStr">
        <is>
          <t>New</t>
        </is>
      </c>
      <c r="L102" s="5" t="inlineStr">
        <is>
          <t>2026-09-16</t>
        </is>
      </c>
      <c r="M102" s="5" t="inlineStr"/>
      <c r="N102" s="5" t="inlineStr"/>
      <c r="O102" s="5" t="inlineStr"/>
      <c r="P102" s="5" t="inlineStr"/>
      <c r="Q102" s="5" t="inlineStr"/>
      <c r="R102" s="5" t="inlineStr"/>
      <c r="S102" s="5" t="inlineStr"/>
      <c r="T102" s="5" t="inlineStr">
        <is>
          <t>No</t>
        </is>
      </c>
      <c r="U102" s="5" t="inlineStr">
        <is>
          <t>Legitimate interest (B2B) - assess per campaign; PECR: corporate subscribers</t>
        </is>
      </c>
    </row>
    <row r="103">
      <c r="A103" s="10" t="inlineStr">
        <is>
          <t>WY-0157</t>
        </is>
      </c>
      <c r="B103" s="10" t="inlineStr">
        <is>
          <t>Sup Mirfield</t>
        </is>
      </c>
      <c r="C103" s="10" t="inlineStr">
        <is>
          <t>Mirfield</t>
        </is>
      </c>
      <c r="D103" s="10" t="inlineStr">
        <is>
          <t>Convenience Store</t>
        </is>
      </c>
      <c r="E103" s="10" t="inlineStr">
        <is>
          <t>Medium</t>
        </is>
      </c>
      <c r="F103" s="10" t="inlineStr">
        <is>
          <t>07387 294049</t>
        </is>
      </c>
      <c r="G103" s="10" t="inlineStr"/>
      <c r="H103" s="10" t="inlineStr"/>
      <c r="I103" s="10" t="inlineStr"/>
      <c r="J103" s="10" t="inlineStr"/>
      <c r="K103" s="10" t="inlineStr">
        <is>
          <t>New</t>
        </is>
      </c>
      <c r="L103" s="10" t="inlineStr">
        <is>
          <t>2026-09-16</t>
        </is>
      </c>
      <c r="M103" s="10" t="inlineStr"/>
      <c r="N103" s="10" t="inlineStr"/>
      <c r="O103" s="10" t="inlineStr"/>
      <c r="P103" s="10" t="inlineStr"/>
      <c r="Q103" s="10" t="inlineStr"/>
      <c r="R103" s="10" t="inlineStr"/>
      <c r="S103" s="10" t="inlineStr"/>
      <c r="T103" s="10" t="inlineStr">
        <is>
          <t>No</t>
        </is>
      </c>
      <c r="U103" s="10" t="inlineStr">
        <is>
          <t>Legitimate interest (B2B) - assess per campaign; PECR: corporate subscribers</t>
        </is>
      </c>
    </row>
    <row r="104">
      <c r="A104" s="5" t="inlineStr">
        <is>
          <t>WY-0160</t>
        </is>
      </c>
      <c r="B104" s="5" t="inlineStr">
        <is>
          <t>The Shisha Shop Bradford</t>
        </is>
      </c>
      <c r="C104" s="5" t="inlineStr">
        <is>
          <t>Bradford</t>
        </is>
      </c>
      <c r="D104" s="5" t="inlineStr">
        <is>
          <t>Smoke / Shisha Shop</t>
        </is>
      </c>
      <c r="E104" s="5" t="inlineStr">
        <is>
          <t>Medium</t>
        </is>
      </c>
      <c r="F104" s="5" t="inlineStr">
        <is>
          <t>07466 392838</t>
        </is>
      </c>
      <c r="G104" s="5" t="inlineStr"/>
      <c r="H104" s="5" t="inlineStr"/>
      <c r="I104" s="5" t="inlineStr"/>
      <c r="J104" s="5" t="inlineStr"/>
      <c r="K104" s="5" t="inlineStr">
        <is>
          <t>New</t>
        </is>
      </c>
      <c r="L104" s="5" t="inlineStr">
        <is>
          <t>2026-09-16</t>
        </is>
      </c>
      <c r="M104" s="5" t="inlineStr"/>
      <c r="N104" s="5" t="inlineStr"/>
      <c r="O104" s="5" t="inlineStr"/>
      <c r="P104" s="5" t="inlineStr"/>
      <c r="Q104" s="5" t="inlineStr"/>
      <c r="R104" s="5" t="inlineStr"/>
      <c r="S104" s="5" t="inlineStr"/>
      <c r="T104" s="5" t="inlineStr">
        <is>
          <t>No</t>
        </is>
      </c>
      <c r="U104" s="5" t="inlineStr">
        <is>
          <t>Legitimate interest (B2B) - assess per campaign; PECR: corporate subscribers</t>
        </is>
      </c>
    </row>
    <row r="105">
      <c r="A105" s="10" t="inlineStr">
        <is>
          <t>WY-0161</t>
        </is>
      </c>
      <c r="B105" s="10" t="inlineStr">
        <is>
          <t>The Vape Hub</t>
        </is>
      </c>
      <c r="C105" s="10" t="inlineStr">
        <is>
          <t>Bradford</t>
        </is>
      </c>
      <c r="D105" s="10" t="inlineStr">
        <is>
          <t>Vape Shop</t>
        </is>
      </c>
      <c r="E105" s="10" t="inlineStr">
        <is>
          <t>Medium</t>
        </is>
      </c>
      <c r="F105" s="10" t="inlineStr">
        <is>
          <t>01274 785496</t>
        </is>
      </c>
      <c r="G105" s="10" t="inlineStr"/>
      <c r="H105" s="10" t="inlineStr"/>
      <c r="I105" s="10" t="inlineStr"/>
      <c r="J105" s="10" t="inlineStr"/>
      <c r="K105" s="10" t="inlineStr">
        <is>
          <t>New</t>
        </is>
      </c>
      <c r="L105" s="10" t="inlineStr">
        <is>
          <t>2026-09-16</t>
        </is>
      </c>
      <c r="M105" s="10" t="inlineStr"/>
      <c r="N105" s="10" t="inlineStr"/>
      <c r="O105" s="10" t="inlineStr"/>
      <c r="P105" s="10" t="inlineStr"/>
      <c r="Q105" s="10" t="inlineStr"/>
      <c r="R105" s="10" t="inlineStr"/>
      <c r="S105" s="10" t="inlineStr"/>
      <c r="T105" s="10" t="inlineStr">
        <is>
          <t>No</t>
        </is>
      </c>
      <c r="U105" s="10" t="inlineStr">
        <is>
          <t>Legitimate interest (B2B) - assess per campaign; PECR: corporate subscribers</t>
        </is>
      </c>
    </row>
    <row r="106">
      <c r="A106" s="5" t="inlineStr">
        <is>
          <t>WY-0162</t>
        </is>
      </c>
      <c r="B106" s="5" t="inlineStr">
        <is>
          <t>The Vape Shop Wakefield</t>
        </is>
      </c>
      <c r="C106" s="5" t="inlineStr">
        <is>
          <t>Wakefield</t>
        </is>
      </c>
      <c r="D106" s="5" t="inlineStr">
        <is>
          <t>Vape Shop</t>
        </is>
      </c>
      <c r="E106" s="5" t="inlineStr">
        <is>
          <t>Medium</t>
        </is>
      </c>
      <c r="F106" s="5" t="inlineStr"/>
      <c r="G106" s="5" t="inlineStr"/>
      <c r="H106" s="5" t="inlineStr"/>
      <c r="I106" s="5" t="inlineStr"/>
      <c r="J106" s="5" t="inlineStr"/>
      <c r="K106" s="5" t="inlineStr">
        <is>
          <t>New</t>
        </is>
      </c>
      <c r="L106" s="5" t="inlineStr">
        <is>
          <t>2026-09-16</t>
        </is>
      </c>
      <c r="M106" s="5" t="inlineStr"/>
      <c r="N106" s="5" t="inlineStr"/>
      <c r="O106" s="5" t="inlineStr"/>
      <c r="P106" s="5" t="inlineStr"/>
      <c r="Q106" s="5" t="inlineStr"/>
      <c r="R106" s="5" t="inlineStr"/>
      <c r="S106" s="5" t="inlineStr"/>
      <c r="T106" s="5" t="inlineStr">
        <is>
          <t>No</t>
        </is>
      </c>
      <c r="U106" s="5" t="inlineStr">
        <is>
          <t>Legitimate interest (B2B) - assess per campaign; PECR: corporate subscribers</t>
        </is>
      </c>
    </row>
    <row r="107">
      <c r="A107" s="10" t="inlineStr">
        <is>
          <t>WY-0163</t>
        </is>
      </c>
      <c r="B107" s="10" t="inlineStr">
        <is>
          <t>The Vintage Vapour Co</t>
        </is>
      </c>
      <c r="C107" s="10" t="inlineStr">
        <is>
          <t>Ossett</t>
        </is>
      </c>
      <c r="D107" s="10" t="inlineStr">
        <is>
          <t>Vape Shop</t>
        </is>
      </c>
      <c r="E107" s="10" t="inlineStr">
        <is>
          <t>Medium</t>
        </is>
      </c>
      <c r="F107" s="10" t="inlineStr"/>
      <c r="G107" s="10" t="inlineStr"/>
      <c r="H107" s="10" t="inlineStr"/>
      <c r="I107" s="10" t="inlineStr"/>
      <c r="J107" s="10" t="inlineStr"/>
      <c r="K107" s="10" t="inlineStr">
        <is>
          <t>New</t>
        </is>
      </c>
      <c r="L107" s="10" t="inlineStr">
        <is>
          <t>2026-09-16</t>
        </is>
      </c>
      <c r="M107" s="10" t="inlineStr"/>
      <c r="N107" s="10" t="inlineStr"/>
      <c r="O107" s="10" t="inlineStr"/>
      <c r="P107" s="10" t="inlineStr"/>
      <c r="Q107" s="10" t="inlineStr"/>
      <c r="R107" s="10" t="inlineStr"/>
      <c r="S107" s="10" t="inlineStr"/>
      <c r="T107" s="10" t="inlineStr">
        <is>
          <t>No</t>
        </is>
      </c>
      <c r="U107" s="10" t="inlineStr">
        <is>
          <t>Legitimate interest (B2B) - assess per campaign; PECR: corporate subscribers</t>
        </is>
      </c>
    </row>
    <row r="108">
      <c r="A108" s="5" t="inlineStr">
        <is>
          <t>WY-0166</t>
        </is>
      </c>
      <c r="B108" s="5" t="inlineStr">
        <is>
          <t>Told Vape Co</t>
        </is>
      </c>
      <c r="C108" s="5" t="inlineStr">
        <is>
          <t>Horbury</t>
        </is>
      </c>
      <c r="D108" s="5" t="inlineStr">
        <is>
          <t>Vape Shop</t>
        </is>
      </c>
      <c r="E108" s="5" t="inlineStr">
        <is>
          <t>Medium</t>
        </is>
      </c>
      <c r="F108" s="5" t="inlineStr"/>
      <c r="G108" s="5" t="inlineStr"/>
      <c r="H108" s="5" t="inlineStr"/>
      <c r="I108" s="5" t="inlineStr"/>
      <c r="J108" s="5" t="inlineStr"/>
      <c r="K108" s="5" t="inlineStr">
        <is>
          <t>New</t>
        </is>
      </c>
      <c r="L108" s="5" t="inlineStr">
        <is>
          <t>2026-09-16</t>
        </is>
      </c>
      <c r="M108" s="5" t="inlineStr"/>
      <c r="N108" s="5" t="inlineStr"/>
      <c r="O108" s="5" t="inlineStr"/>
      <c r="P108" s="5" t="inlineStr"/>
      <c r="Q108" s="5" t="inlineStr"/>
      <c r="R108" s="5" t="inlineStr"/>
      <c r="S108" s="5" t="inlineStr"/>
      <c r="T108" s="5" t="inlineStr">
        <is>
          <t>No</t>
        </is>
      </c>
      <c r="U108" s="5" t="inlineStr">
        <is>
          <t>Legitimate interest (B2B) - assess per campaign; PECR: corporate subscribers</t>
        </is>
      </c>
    </row>
    <row r="109">
      <c r="A109" s="10" t="inlineStr">
        <is>
          <t>WY-0032</t>
        </is>
      </c>
      <c r="B109" s="10" t="inlineStr">
        <is>
          <t>Totally Wicked</t>
        </is>
      </c>
      <c r="C109" s="10" t="inlineStr">
        <is>
          <t>Brighouse</t>
        </is>
      </c>
      <c r="D109" s="10" t="inlineStr">
        <is>
          <t>Vape Shop</t>
        </is>
      </c>
      <c r="E109" s="10" t="inlineStr">
        <is>
          <t>Medium</t>
        </is>
      </c>
      <c r="F109" s="10" t="inlineStr">
        <is>
          <t>01484 769431</t>
        </is>
      </c>
      <c r="G109" s="10" t="inlineStr"/>
      <c r="H109" s="10" t="inlineStr"/>
      <c r="I109" s="10" t="inlineStr"/>
      <c r="J109" s="10" t="inlineStr"/>
      <c r="K109" s="10" t="inlineStr">
        <is>
          <t>New</t>
        </is>
      </c>
      <c r="L109" s="10" t="inlineStr">
        <is>
          <t>2026-09-16</t>
        </is>
      </c>
      <c r="M109" s="10" t="inlineStr"/>
      <c r="N109" s="10" t="inlineStr"/>
      <c r="O109" s="10" t="inlineStr"/>
      <c r="P109" s="10" t="inlineStr"/>
      <c r="Q109" s="10" t="inlineStr"/>
      <c r="R109" s="10" t="inlineStr"/>
      <c r="S109" s="10" t="inlineStr"/>
      <c r="T109" s="10" t="inlineStr">
        <is>
          <t>No</t>
        </is>
      </c>
      <c r="U109" s="10" t="inlineStr">
        <is>
          <t>Legitimate interest (B2B) - assess per campaign; PECR: corporate subscribers</t>
        </is>
      </c>
    </row>
    <row r="110">
      <c r="A110" s="5" t="inlineStr">
        <is>
          <t>WY-0033</t>
        </is>
      </c>
      <c r="B110" s="5" t="inlineStr">
        <is>
          <t>Totally Wicked</t>
        </is>
      </c>
      <c r="C110" s="5" t="inlineStr">
        <is>
          <t>Halifax</t>
        </is>
      </c>
      <c r="D110" s="5" t="inlineStr">
        <is>
          <t>Vape Shop</t>
        </is>
      </c>
      <c r="E110" s="5" t="inlineStr">
        <is>
          <t>Medium</t>
        </is>
      </c>
      <c r="F110" s="5" t="inlineStr">
        <is>
          <t>01422 320223</t>
        </is>
      </c>
      <c r="G110" s="5" t="inlineStr"/>
      <c r="H110" s="5" t="inlineStr"/>
      <c r="I110" s="5" t="inlineStr"/>
      <c r="J110" s="5" t="inlineStr"/>
      <c r="K110" s="5" t="inlineStr">
        <is>
          <t>New</t>
        </is>
      </c>
      <c r="L110" s="5" t="inlineStr">
        <is>
          <t>2026-09-16</t>
        </is>
      </c>
      <c r="M110" s="5" t="inlineStr"/>
      <c r="N110" s="5" t="inlineStr"/>
      <c r="O110" s="5" t="inlineStr"/>
      <c r="P110" s="5" t="inlineStr"/>
      <c r="Q110" s="5" t="inlineStr"/>
      <c r="R110" s="5" t="inlineStr"/>
      <c r="S110" s="5" t="inlineStr"/>
      <c r="T110" s="5" t="inlineStr">
        <is>
          <t>No</t>
        </is>
      </c>
      <c r="U110" s="5" t="inlineStr">
        <is>
          <t>Legitimate interest (B2B) - assess per campaign; PECR: corporate subscribers</t>
        </is>
      </c>
    </row>
    <row r="111">
      <c r="A111" s="10" t="inlineStr">
        <is>
          <t>WY-0170</t>
        </is>
      </c>
      <c r="B111" s="10" t="inlineStr">
        <is>
          <t>Umrah Supermarket</t>
        </is>
      </c>
      <c r="C111" s="10" t="inlineStr">
        <is>
          <t>Huddersfield</t>
        </is>
      </c>
      <c r="D111" s="10" t="inlineStr">
        <is>
          <t>Independent Supermarket</t>
        </is>
      </c>
      <c r="E111" s="10" t="inlineStr">
        <is>
          <t>Medium</t>
        </is>
      </c>
      <c r="F111" s="10" t="inlineStr"/>
      <c r="G111" s="10" t="inlineStr"/>
      <c r="H111" s="10" t="inlineStr"/>
      <c r="I111" s="10" t="inlineStr"/>
      <c r="J111" s="10" t="inlineStr"/>
      <c r="K111" s="10" t="inlineStr">
        <is>
          <t>New</t>
        </is>
      </c>
      <c r="L111" s="10" t="inlineStr">
        <is>
          <t>2026-09-16</t>
        </is>
      </c>
      <c r="M111" s="10" t="inlineStr"/>
      <c r="N111" s="10" t="inlineStr"/>
      <c r="O111" s="10" t="inlineStr"/>
      <c r="P111" s="10" t="inlineStr"/>
      <c r="Q111" s="10" t="inlineStr"/>
      <c r="R111" s="10" t="inlineStr"/>
      <c r="S111" s="10" t="inlineStr"/>
      <c r="T111" s="10" t="inlineStr">
        <is>
          <t>No</t>
        </is>
      </c>
      <c r="U111" s="10" t="inlineStr">
        <is>
          <t>Legitimate interest (B2B) - assess per campaign; PECR: corporate subscribers</t>
        </is>
      </c>
    </row>
    <row r="112">
      <c r="A112" s="5" t="inlineStr">
        <is>
          <t>WY-0171</t>
        </is>
      </c>
      <c r="B112" s="5" t="inlineStr">
        <is>
          <t>VAPE (Heckmondwike)</t>
        </is>
      </c>
      <c r="C112" s="5" t="inlineStr">
        <is>
          <t>Heckmondwike</t>
        </is>
      </c>
      <c r="D112" s="5" t="inlineStr">
        <is>
          <t>Vape Shop</t>
        </is>
      </c>
      <c r="E112" s="5" t="inlineStr">
        <is>
          <t>Medium</t>
        </is>
      </c>
      <c r="F112" s="5" t="inlineStr">
        <is>
          <t>01924 650140</t>
        </is>
      </c>
      <c r="G112" s="5" t="inlineStr"/>
      <c r="H112" s="5" t="inlineStr"/>
      <c r="I112" s="5" t="inlineStr"/>
      <c r="J112" s="5" t="inlineStr"/>
      <c r="K112" s="5" t="inlineStr">
        <is>
          <t>New</t>
        </is>
      </c>
      <c r="L112" s="5" t="inlineStr">
        <is>
          <t>2026-09-16</t>
        </is>
      </c>
      <c r="M112" s="5" t="inlineStr"/>
      <c r="N112" s="5" t="inlineStr"/>
      <c r="O112" s="5" t="inlineStr"/>
      <c r="P112" s="5" t="inlineStr"/>
      <c r="Q112" s="5" t="inlineStr"/>
      <c r="R112" s="5" t="inlineStr"/>
      <c r="S112" s="5" t="inlineStr"/>
      <c r="T112" s="5" t="inlineStr">
        <is>
          <t>No</t>
        </is>
      </c>
      <c r="U112" s="5" t="inlineStr">
        <is>
          <t>Legitimate interest (B2B) - assess per campaign; PECR: corporate subscribers</t>
        </is>
      </c>
    </row>
    <row r="113">
      <c r="A113" s="10" t="inlineStr">
        <is>
          <t>WY-0035</t>
        </is>
      </c>
      <c r="B113" s="10" t="inlineStr">
        <is>
          <t>Valli Forecourts Ltd (Head Office)</t>
        </is>
      </c>
      <c r="C113" s="10" t="inlineStr">
        <is>
          <t>Leeds</t>
        </is>
      </c>
      <c r="D113" s="10" t="inlineStr">
        <is>
          <t>Petrol Station / Forecourt</t>
        </is>
      </c>
      <c r="E113" s="10" t="inlineStr">
        <is>
          <t>Medium</t>
        </is>
      </c>
      <c r="F113" s="10" t="inlineStr"/>
      <c r="G113" s="10" t="inlineStr"/>
      <c r="H113" s="10" t="inlineStr"/>
      <c r="I113" s="10" t="inlineStr"/>
      <c r="J113" s="10" t="inlineStr"/>
      <c r="K113" s="10" t="inlineStr">
        <is>
          <t>New</t>
        </is>
      </c>
      <c r="L113" s="10" t="inlineStr">
        <is>
          <t>2026-09-16</t>
        </is>
      </c>
      <c r="M113" s="10" t="inlineStr"/>
      <c r="N113" s="10" t="inlineStr"/>
      <c r="O113" s="10" t="inlineStr"/>
      <c r="P113" s="10" t="inlineStr"/>
      <c r="Q113" s="10" t="inlineStr"/>
      <c r="R113" s="10" t="inlineStr"/>
      <c r="S113" s="10" t="inlineStr"/>
      <c r="T113" s="10" t="inlineStr">
        <is>
          <t>No</t>
        </is>
      </c>
      <c r="U113" s="10" t="inlineStr">
        <is>
          <t>Legitimate interest (B2B) - assess per campaign; PECR: corporate subscribers</t>
        </is>
      </c>
    </row>
    <row r="114">
      <c r="A114" s="5" t="inlineStr">
        <is>
          <t>WY-0172</t>
        </is>
      </c>
      <c r="B114" s="5" t="inlineStr">
        <is>
          <t>Vape Dream</t>
        </is>
      </c>
      <c r="C114" s="5" t="inlineStr">
        <is>
          <t>Dewsbury</t>
        </is>
      </c>
      <c r="D114" s="5" t="inlineStr">
        <is>
          <t>Vape Shop</t>
        </is>
      </c>
      <c r="E114" s="5" t="inlineStr">
        <is>
          <t>Medium</t>
        </is>
      </c>
      <c r="F114" s="5" t="inlineStr"/>
      <c r="G114" s="5" t="inlineStr"/>
      <c r="H114" s="5" t="inlineStr"/>
      <c r="I114" s="5" t="inlineStr"/>
      <c r="J114" s="5" t="inlineStr"/>
      <c r="K114" s="5" t="inlineStr">
        <is>
          <t>New</t>
        </is>
      </c>
      <c r="L114" s="5" t="inlineStr">
        <is>
          <t>2026-09-16</t>
        </is>
      </c>
      <c r="M114" s="5" t="inlineStr"/>
      <c r="N114" s="5" t="inlineStr"/>
      <c r="O114" s="5" t="inlineStr"/>
      <c r="P114" s="5" t="inlineStr"/>
      <c r="Q114" s="5" t="inlineStr"/>
      <c r="R114" s="5" t="inlineStr"/>
      <c r="S114" s="5" t="inlineStr"/>
      <c r="T114" s="5" t="inlineStr">
        <is>
          <t>No</t>
        </is>
      </c>
      <c r="U114" s="5" t="inlineStr">
        <is>
          <t>Legitimate interest (B2B) - assess per campaign; PECR: corporate subscribers</t>
        </is>
      </c>
    </row>
    <row r="115">
      <c r="A115" s="10" t="inlineStr">
        <is>
          <t>WY-0173</t>
        </is>
      </c>
      <c r="B115" s="10" t="inlineStr">
        <is>
          <t>Vape N Go</t>
        </is>
      </c>
      <c r="C115" s="10" t="inlineStr">
        <is>
          <t>Halifax</t>
        </is>
      </c>
      <c r="D115" s="10" t="inlineStr">
        <is>
          <t>Vape Shop</t>
        </is>
      </c>
      <c r="E115" s="10" t="inlineStr">
        <is>
          <t>Medium</t>
        </is>
      </c>
      <c r="F115" s="10" t="inlineStr"/>
      <c r="G115" s="10" t="inlineStr"/>
      <c r="H115" s="10" t="inlineStr"/>
      <c r="I115" s="10" t="inlineStr"/>
      <c r="J115" s="10" t="inlineStr"/>
      <c r="K115" s="10" t="inlineStr">
        <is>
          <t>New</t>
        </is>
      </c>
      <c r="L115" s="10" t="inlineStr">
        <is>
          <t>2026-09-16</t>
        </is>
      </c>
      <c r="M115" s="10" t="inlineStr"/>
      <c r="N115" s="10" t="inlineStr"/>
      <c r="O115" s="10" t="inlineStr"/>
      <c r="P115" s="10" t="inlineStr"/>
      <c r="Q115" s="10" t="inlineStr"/>
      <c r="R115" s="10" t="inlineStr"/>
      <c r="S115" s="10" t="inlineStr"/>
      <c r="T115" s="10" t="inlineStr">
        <is>
          <t>No</t>
        </is>
      </c>
      <c r="U115" s="10" t="inlineStr">
        <is>
          <t>Legitimate interest (B2B) - assess per campaign; PECR: corporate subscribers</t>
        </is>
      </c>
    </row>
    <row r="116">
      <c r="A116" s="5" t="inlineStr">
        <is>
          <t>WY-0174</t>
        </is>
      </c>
      <c r="B116" s="5" t="inlineStr">
        <is>
          <t>Vape Nation UK</t>
        </is>
      </c>
      <c r="C116" s="5" t="inlineStr">
        <is>
          <t>Huddersfield</t>
        </is>
      </c>
      <c r="D116" s="5" t="inlineStr">
        <is>
          <t>Vape Shop</t>
        </is>
      </c>
      <c r="E116" s="5" t="inlineStr">
        <is>
          <t>Medium</t>
        </is>
      </c>
      <c r="F116" s="5" t="inlineStr">
        <is>
          <t>07809 655738</t>
        </is>
      </c>
      <c r="G116" s="5" t="inlineStr">
        <is>
          <t>info@vapenationeshop.co.uk</t>
        </is>
      </c>
      <c r="H116" s="5" t="inlineStr"/>
      <c r="I116" s="5" t="inlineStr"/>
      <c r="J116" s="5" t="inlineStr"/>
      <c r="K116" s="5" t="inlineStr">
        <is>
          <t>New</t>
        </is>
      </c>
      <c r="L116" s="5" t="inlineStr">
        <is>
          <t>2026-09-16</t>
        </is>
      </c>
      <c r="M116" s="5" t="inlineStr"/>
      <c r="N116" s="5" t="inlineStr"/>
      <c r="O116" s="5" t="inlineStr"/>
      <c r="P116" s="5" t="inlineStr"/>
      <c r="Q116" s="5" t="inlineStr"/>
      <c r="R116" s="5" t="inlineStr"/>
      <c r="S116" s="5" t="inlineStr"/>
      <c r="T116" s="5" t="inlineStr">
        <is>
          <t>No</t>
        </is>
      </c>
      <c r="U116" s="5" t="inlineStr">
        <is>
          <t>Legitimate interest (B2B) - assess per campaign; PECR: corporate subscribers</t>
        </is>
      </c>
    </row>
    <row r="117">
      <c r="A117" s="10" t="inlineStr">
        <is>
          <t>WY-0175</t>
        </is>
      </c>
      <c r="B117" s="10" t="inlineStr">
        <is>
          <t>Vape Road</t>
        </is>
      </c>
      <c r="C117" s="10" t="inlineStr">
        <is>
          <t>Brighouse</t>
        </is>
      </c>
      <c r="D117" s="10" t="inlineStr">
        <is>
          <t>Vape Shop</t>
        </is>
      </c>
      <c r="E117" s="10" t="inlineStr">
        <is>
          <t>Medium</t>
        </is>
      </c>
      <c r="F117" s="10" t="inlineStr">
        <is>
          <t>01484 917785</t>
        </is>
      </c>
      <c r="G117" s="10" t="inlineStr"/>
      <c r="H117" s="10" t="inlineStr"/>
      <c r="I117" s="10" t="inlineStr"/>
      <c r="J117" s="10" t="inlineStr"/>
      <c r="K117" s="10" t="inlineStr">
        <is>
          <t>New</t>
        </is>
      </c>
      <c r="L117" s="10" t="inlineStr">
        <is>
          <t>2026-09-16</t>
        </is>
      </c>
      <c r="M117" s="10" t="inlineStr"/>
      <c r="N117" s="10" t="inlineStr"/>
      <c r="O117" s="10" t="inlineStr"/>
      <c r="P117" s="10" t="inlineStr"/>
      <c r="Q117" s="10" t="inlineStr"/>
      <c r="R117" s="10" t="inlineStr"/>
      <c r="S117" s="10" t="inlineStr"/>
      <c r="T117" s="10" t="inlineStr">
        <is>
          <t>No</t>
        </is>
      </c>
      <c r="U117" s="10" t="inlineStr">
        <is>
          <t>Legitimate interest (B2B) - assess per campaign; PECR: corporate subscribers</t>
        </is>
      </c>
    </row>
    <row r="118">
      <c r="A118" s="5" t="inlineStr">
        <is>
          <t>WY-0176</t>
        </is>
      </c>
      <c r="B118" s="5" t="inlineStr">
        <is>
          <t>Vape Road Cleckheaton</t>
        </is>
      </c>
      <c r="C118" s="5" t="inlineStr">
        <is>
          <t>Cleckheaton</t>
        </is>
      </c>
      <c r="D118" s="5" t="inlineStr">
        <is>
          <t>Vape Shop</t>
        </is>
      </c>
      <c r="E118" s="5" t="inlineStr">
        <is>
          <t>Medium</t>
        </is>
      </c>
      <c r="F118" s="5" t="inlineStr"/>
      <c r="G118" s="5" t="inlineStr"/>
      <c r="H118" s="5" t="inlineStr"/>
      <c r="I118" s="5" t="inlineStr"/>
      <c r="J118" s="5" t="inlineStr"/>
      <c r="K118" s="5" t="inlineStr">
        <is>
          <t>New</t>
        </is>
      </c>
      <c r="L118" s="5" t="inlineStr">
        <is>
          <t>2026-09-16</t>
        </is>
      </c>
      <c r="M118" s="5" t="inlineStr"/>
      <c r="N118" s="5" t="inlineStr"/>
      <c r="O118" s="5" t="inlineStr"/>
      <c r="P118" s="5" t="inlineStr"/>
      <c r="Q118" s="5" t="inlineStr"/>
      <c r="R118" s="5" t="inlineStr"/>
      <c r="S118" s="5" t="inlineStr"/>
      <c r="T118" s="5" t="inlineStr">
        <is>
          <t>No</t>
        </is>
      </c>
      <c r="U118" s="5" t="inlineStr">
        <is>
          <t>Legitimate interest (B2B) - assess per campaign; PECR: corporate subscribers</t>
        </is>
      </c>
    </row>
    <row r="119">
      <c r="A119" s="10" t="inlineStr">
        <is>
          <t>WY-0177</t>
        </is>
      </c>
      <c r="B119" s="10" t="inlineStr">
        <is>
          <t>Vape Suite</t>
        </is>
      </c>
      <c r="C119" s="10" t="inlineStr">
        <is>
          <t>Huddersfield</t>
        </is>
      </c>
      <c r="D119" s="10" t="inlineStr">
        <is>
          <t>Vape Shop</t>
        </is>
      </c>
      <c r="E119" s="10" t="inlineStr">
        <is>
          <t>Medium</t>
        </is>
      </c>
      <c r="F119" s="10" t="inlineStr">
        <is>
          <t>01484 312366</t>
        </is>
      </c>
      <c r="G119" s="10" t="inlineStr"/>
      <c r="H119" s="10" t="inlineStr"/>
      <c r="I119" s="10" t="inlineStr"/>
      <c r="J119" s="10" t="inlineStr"/>
      <c r="K119" s="10" t="inlineStr">
        <is>
          <t>New</t>
        </is>
      </c>
      <c r="L119" s="10" t="inlineStr">
        <is>
          <t>2026-09-16</t>
        </is>
      </c>
      <c r="M119" s="10" t="inlineStr"/>
      <c r="N119" s="10" t="inlineStr"/>
      <c r="O119" s="10" t="inlineStr"/>
      <c r="P119" s="10" t="inlineStr"/>
      <c r="Q119" s="10" t="inlineStr"/>
      <c r="R119" s="10" t="inlineStr"/>
      <c r="S119" s="10" t="inlineStr"/>
      <c r="T119" s="10" t="inlineStr">
        <is>
          <t>No</t>
        </is>
      </c>
      <c r="U119" s="10" t="inlineStr">
        <is>
          <t>Legitimate interest (B2B) - assess per campaign; PECR: corporate subscribers</t>
        </is>
      </c>
    </row>
    <row r="120">
      <c r="A120" s="5" t="inlineStr">
        <is>
          <t>WY-0179</t>
        </is>
      </c>
      <c r="B120" s="5" t="inlineStr">
        <is>
          <t>VapeShop Leeds</t>
        </is>
      </c>
      <c r="C120" s="5" t="inlineStr">
        <is>
          <t>Leeds</t>
        </is>
      </c>
      <c r="D120" s="5" t="inlineStr">
        <is>
          <t>Vape Shop</t>
        </is>
      </c>
      <c r="E120" s="5" t="inlineStr">
        <is>
          <t>Medium</t>
        </is>
      </c>
      <c r="F120" s="5" t="inlineStr"/>
      <c r="G120" s="5" t="inlineStr"/>
      <c r="H120" s="5" t="inlineStr"/>
      <c r="I120" s="5" t="inlineStr"/>
      <c r="J120" s="5" t="inlineStr"/>
      <c r="K120" s="5" t="inlineStr">
        <is>
          <t>New</t>
        </is>
      </c>
      <c r="L120" s="5" t="inlineStr">
        <is>
          <t>2026-09-16</t>
        </is>
      </c>
      <c r="M120" s="5" t="inlineStr"/>
      <c r="N120" s="5" t="inlineStr"/>
      <c r="O120" s="5" t="inlineStr"/>
      <c r="P120" s="5" t="inlineStr"/>
      <c r="Q120" s="5" t="inlineStr"/>
      <c r="R120" s="5" t="inlineStr"/>
      <c r="S120" s="5" t="inlineStr"/>
      <c r="T120" s="5" t="inlineStr">
        <is>
          <t>No</t>
        </is>
      </c>
      <c r="U120" s="5" t="inlineStr">
        <is>
          <t>Legitimate interest (B2B) - assess per campaign; PECR: corporate subscribers</t>
        </is>
      </c>
    </row>
    <row r="121">
      <c r="A121" s="10" t="inlineStr">
        <is>
          <t>WY-0181</t>
        </is>
      </c>
      <c r="B121" s="10" t="inlineStr">
        <is>
          <t>Vapestation</t>
        </is>
      </c>
      <c r="C121" s="10" t="inlineStr">
        <is>
          <t>Halifax</t>
        </is>
      </c>
      <c r="D121" s="10" t="inlineStr">
        <is>
          <t>Vape Shop</t>
        </is>
      </c>
      <c r="E121" s="10" t="inlineStr">
        <is>
          <t>Medium</t>
        </is>
      </c>
      <c r="F121" s="10" t="inlineStr">
        <is>
          <t>01422 365557</t>
        </is>
      </c>
      <c r="G121" s="10" t="inlineStr"/>
      <c r="H121" s="10" t="inlineStr"/>
      <c r="I121" s="10" t="inlineStr"/>
      <c r="J121" s="10" t="inlineStr"/>
      <c r="K121" s="10" t="inlineStr">
        <is>
          <t>New</t>
        </is>
      </c>
      <c r="L121" s="10" t="inlineStr">
        <is>
          <t>2026-09-16</t>
        </is>
      </c>
      <c r="M121" s="10" t="inlineStr"/>
      <c r="N121" s="10" t="inlineStr"/>
      <c r="O121" s="10" t="inlineStr"/>
      <c r="P121" s="10" t="inlineStr"/>
      <c r="Q121" s="10" t="inlineStr"/>
      <c r="R121" s="10" t="inlineStr"/>
      <c r="S121" s="10" t="inlineStr"/>
      <c r="T121" s="10" t="inlineStr">
        <is>
          <t>No</t>
        </is>
      </c>
      <c r="U121" s="10" t="inlineStr">
        <is>
          <t>Legitimate interest (B2B) - assess per campaign; PECR: corporate subscribers</t>
        </is>
      </c>
    </row>
    <row r="122">
      <c r="A122" s="5" t="inlineStr">
        <is>
          <t>WY-0182</t>
        </is>
      </c>
      <c r="B122" s="5" t="inlineStr">
        <is>
          <t>Vaping Bar Normanton</t>
        </is>
      </c>
      <c r="C122" s="5" t="inlineStr">
        <is>
          <t>Normanton</t>
        </is>
      </c>
      <c r="D122" s="5" t="inlineStr">
        <is>
          <t>Vape Shop</t>
        </is>
      </c>
      <c r="E122" s="5" t="inlineStr">
        <is>
          <t>Medium</t>
        </is>
      </c>
      <c r="F122" s="5" t="inlineStr"/>
      <c r="G122" s="5" t="inlineStr"/>
      <c r="H122" s="5" t="inlineStr"/>
      <c r="I122" s="5" t="inlineStr"/>
      <c r="J122" s="5" t="inlineStr"/>
      <c r="K122" s="5" t="inlineStr">
        <is>
          <t>New</t>
        </is>
      </c>
      <c r="L122" s="5" t="inlineStr">
        <is>
          <t>2026-09-16</t>
        </is>
      </c>
      <c r="M122" s="5" t="inlineStr"/>
      <c r="N122" s="5" t="inlineStr"/>
      <c r="O122" s="5" t="inlineStr"/>
      <c r="P122" s="5" t="inlineStr"/>
      <c r="Q122" s="5" t="inlineStr"/>
      <c r="R122" s="5" t="inlineStr"/>
      <c r="S122" s="5" t="inlineStr"/>
      <c r="T122" s="5" t="inlineStr">
        <is>
          <t>No</t>
        </is>
      </c>
      <c r="U122" s="5" t="inlineStr">
        <is>
          <t>Legitimate interest (B2B) - assess per campaign; PECR: corporate subscribers</t>
        </is>
      </c>
    </row>
    <row r="123">
      <c r="A123" s="10" t="inlineStr">
        <is>
          <t>WY-0184</t>
        </is>
      </c>
      <c r="B123" s="10" t="inlineStr">
        <is>
          <t>Vapour Parlour</t>
        </is>
      </c>
      <c r="C123" s="10" t="inlineStr">
        <is>
          <t>Hemsworth</t>
        </is>
      </c>
      <c r="D123" s="10" t="inlineStr">
        <is>
          <t>Vape Shop</t>
        </is>
      </c>
      <c r="E123" s="10" t="inlineStr">
        <is>
          <t>Medium</t>
        </is>
      </c>
      <c r="F123" s="10" t="inlineStr"/>
      <c r="G123" s="10" t="inlineStr"/>
      <c r="H123" s="10" t="inlineStr"/>
      <c r="I123" s="10" t="inlineStr"/>
      <c r="J123" s="10" t="inlineStr"/>
      <c r="K123" s="10" t="inlineStr">
        <is>
          <t>New</t>
        </is>
      </c>
      <c r="L123" s="10" t="inlineStr">
        <is>
          <t>2026-09-16</t>
        </is>
      </c>
      <c r="M123" s="10" t="inlineStr"/>
      <c r="N123" s="10" t="inlineStr"/>
      <c r="O123" s="10" t="inlineStr"/>
      <c r="P123" s="10" t="inlineStr"/>
      <c r="Q123" s="10" t="inlineStr"/>
      <c r="R123" s="10" t="inlineStr"/>
      <c r="S123" s="10" t="inlineStr"/>
      <c r="T123" s="10" t="inlineStr">
        <is>
          <t>No</t>
        </is>
      </c>
      <c r="U123" s="10" t="inlineStr">
        <is>
          <t>Legitimate interest (B2B) - assess per campaign; PECR: corporate subscribers</t>
        </is>
      </c>
    </row>
    <row r="124">
      <c r="A124" s="5" t="inlineStr">
        <is>
          <t>WY-0185</t>
        </is>
      </c>
      <c r="B124" s="5" t="inlineStr">
        <is>
          <t>Wakefield Road Service Station (Featherstone)</t>
        </is>
      </c>
      <c r="C124" s="5" t="inlineStr">
        <is>
          <t>Featherstone</t>
        </is>
      </c>
      <c r="D124" s="5" t="inlineStr">
        <is>
          <t>Petrol Station / Forecourt</t>
        </is>
      </c>
      <c r="E124" s="5" t="inlineStr">
        <is>
          <t>Medium</t>
        </is>
      </c>
      <c r="F124" s="5" t="inlineStr"/>
      <c r="G124" s="5" t="inlineStr"/>
      <c r="H124" s="5" t="inlineStr"/>
      <c r="I124" s="5" t="inlineStr">
        <is>
          <t>Saqib Javaid; Zeeshan Ali</t>
        </is>
      </c>
      <c r="J124" s="5" t="inlineStr">
        <is>
          <t>Owners / Operators</t>
        </is>
      </c>
      <c r="K124" s="5" t="inlineStr">
        <is>
          <t>New</t>
        </is>
      </c>
      <c r="L124" s="5" t="inlineStr">
        <is>
          <t>2026-09-16</t>
        </is>
      </c>
      <c r="M124" s="5" t="inlineStr"/>
      <c r="N124" s="5" t="inlineStr"/>
      <c r="O124" s="5" t="inlineStr"/>
      <c r="P124" s="5" t="inlineStr"/>
      <c r="Q124" s="5" t="inlineStr"/>
      <c r="R124" s="5" t="inlineStr"/>
      <c r="S124" s="5" t="inlineStr"/>
      <c r="T124" s="5" t="inlineStr">
        <is>
          <t>No</t>
        </is>
      </c>
      <c r="U124" s="5" t="inlineStr">
        <is>
          <t>Legitimate interest (B2B) - assess per campaign; PECR: corporate subscribers</t>
        </is>
      </c>
    </row>
    <row r="125">
      <c r="A125" s="10" t="inlineStr">
        <is>
          <t>WY-0188</t>
        </is>
      </c>
      <c r="B125" s="10" t="inlineStr">
        <is>
          <t>White Rose Catering</t>
        </is>
      </c>
      <c r="C125" s="10" t="inlineStr">
        <is>
          <t>Dewsbury</t>
        </is>
      </c>
      <c r="D125" s="10" t="inlineStr">
        <is>
          <t>Cash &amp; Carry</t>
        </is>
      </c>
      <c r="E125" s="10" t="inlineStr">
        <is>
          <t>Medium</t>
        </is>
      </c>
      <c r="F125" s="10" t="inlineStr">
        <is>
          <t>01924 467054</t>
        </is>
      </c>
      <c r="G125" s="10" t="inlineStr"/>
      <c r="H125" s="10" t="inlineStr"/>
      <c r="I125" s="10" t="inlineStr"/>
      <c r="J125" s="10" t="inlineStr"/>
      <c r="K125" s="10" t="inlineStr">
        <is>
          <t>New</t>
        </is>
      </c>
      <c r="L125" s="10" t="inlineStr">
        <is>
          <t>2026-09-16</t>
        </is>
      </c>
      <c r="M125" s="10" t="inlineStr"/>
      <c r="N125" s="10" t="inlineStr"/>
      <c r="O125" s="10" t="inlineStr"/>
      <c r="P125" s="10" t="inlineStr"/>
      <c r="Q125" s="10" t="inlineStr"/>
      <c r="R125" s="10" t="inlineStr"/>
      <c r="S125" s="10" t="inlineStr"/>
      <c r="T125" s="10" t="inlineStr">
        <is>
          <t>No</t>
        </is>
      </c>
      <c r="U125" s="10" t="inlineStr">
        <is>
          <t>Legitimate interest (B2B) - assess per campaign; PECR: corporate subscribers</t>
        </is>
      </c>
    </row>
    <row r="126">
      <c r="A126" s="5" t="inlineStr">
        <is>
          <t>WY-0189</t>
        </is>
      </c>
      <c r="B126" s="5" t="inlineStr">
        <is>
          <t>Wigton Cash &amp; Carry (Wigton Distribution)</t>
        </is>
      </c>
      <c r="C126" s="5" t="inlineStr">
        <is>
          <t>Leeds</t>
        </is>
      </c>
      <c r="D126" s="5" t="inlineStr">
        <is>
          <t>Cash &amp; Carry</t>
        </is>
      </c>
      <c r="E126" s="5" t="inlineStr">
        <is>
          <t>Medium</t>
        </is>
      </c>
      <c r="F126" s="5" t="inlineStr">
        <is>
          <t>07833 840327</t>
        </is>
      </c>
      <c r="G126" s="5" t="inlineStr"/>
      <c r="H126" s="5" t="inlineStr"/>
      <c r="I126" s="5" t="inlineStr"/>
      <c r="J126" s="5" t="inlineStr"/>
      <c r="K126" s="5" t="inlineStr">
        <is>
          <t>New</t>
        </is>
      </c>
      <c r="L126" s="5" t="inlineStr">
        <is>
          <t>2026-09-16</t>
        </is>
      </c>
      <c r="M126" s="5" t="inlineStr"/>
      <c r="N126" s="5" t="inlineStr"/>
      <c r="O126" s="5" t="inlineStr"/>
      <c r="P126" s="5" t="inlineStr"/>
      <c r="Q126" s="5" t="inlineStr"/>
      <c r="R126" s="5" t="inlineStr"/>
      <c r="S126" s="5" t="inlineStr"/>
      <c r="T126" s="5" t="inlineStr">
        <is>
          <t>No</t>
        </is>
      </c>
      <c r="U126" s="5" t="inlineStr">
        <is>
          <t>Legitimate interest (B2B) - assess per campaign; PECR: corporate subscribers</t>
        </is>
      </c>
    </row>
    <row r="127">
      <c r="A127" s="10" t="inlineStr">
        <is>
          <t>WY-0045</t>
        </is>
      </c>
      <c r="B127" s="10" t="inlineStr">
        <is>
          <t>Worldwide Foods Bradford (Leeds Road)</t>
        </is>
      </c>
      <c r="C127" s="10" t="inlineStr">
        <is>
          <t>Bradford</t>
        </is>
      </c>
      <c r="D127" s="10" t="inlineStr">
        <is>
          <t>Independent Supermarket</t>
        </is>
      </c>
      <c r="E127" s="10" t="inlineStr">
        <is>
          <t>Medium</t>
        </is>
      </c>
      <c r="F127" s="10" t="inlineStr">
        <is>
          <t>01274 656638</t>
        </is>
      </c>
      <c r="G127" s="10" t="inlineStr"/>
      <c r="H127" s="10" t="inlineStr"/>
      <c r="I127" s="10" t="inlineStr"/>
      <c r="J127" s="10" t="inlineStr"/>
      <c r="K127" s="10" t="inlineStr">
        <is>
          <t>New</t>
        </is>
      </c>
      <c r="L127" s="10" t="inlineStr">
        <is>
          <t>2026-09-16</t>
        </is>
      </c>
      <c r="M127" s="10" t="inlineStr"/>
      <c r="N127" s="10" t="inlineStr"/>
      <c r="O127" s="10" t="inlineStr"/>
      <c r="P127" s="10" t="inlineStr"/>
      <c r="Q127" s="10" t="inlineStr"/>
      <c r="R127" s="10" t="inlineStr"/>
      <c r="S127" s="10" t="inlineStr"/>
      <c r="T127" s="10" t="inlineStr">
        <is>
          <t>No</t>
        </is>
      </c>
      <c r="U127" s="10" t="inlineStr">
        <is>
          <t>Legitimate interest (B2B) - assess per campaign; PECR: corporate subscribers</t>
        </is>
      </c>
    </row>
    <row r="128">
      <c r="A128" s="5" t="inlineStr">
        <is>
          <t>WY-0046</t>
        </is>
      </c>
      <c r="B128" s="5" t="inlineStr">
        <is>
          <t>Worldwide Foods Bradford (Woodhead Road)</t>
        </is>
      </c>
      <c r="C128" s="5" t="inlineStr">
        <is>
          <t>Bradford</t>
        </is>
      </c>
      <c r="D128" s="5" t="inlineStr">
        <is>
          <t>Independent Supermarket</t>
        </is>
      </c>
      <c r="E128" s="5" t="inlineStr">
        <is>
          <t>Medium</t>
        </is>
      </c>
      <c r="F128" s="5" t="inlineStr"/>
      <c r="G128" s="5" t="inlineStr"/>
      <c r="H128" s="5" t="inlineStr"/>
      <c r="I128" s="5" t="inlineStr"/>
      <c r="J128" s="5" t="inlineStr"/>
      <c r="K128" s="5" t="inlineStr">
        <is>
          <t>New</t>
        </is>
      </c>
      <c r="L128" s="5" t="inlineStr">
        <is>
          <t>2026-09-16</t>
        </is>
      </c>
      <c r="M128" s="5" t="inlineStr"/>
      <c r="N128" s="5" t="inlineStr"/>
      <c r="O128" s="5" t="inlineStr"/>
      <c r="P128" s="5" t="inlineStr"/>
      <c r="Q128" s="5" t="inlineStr"/>
      <c r="R128" s="5" t="inlineStr"/>
      <c r="S128" s="5" t="inlineStr"/>
      <c r="T128" s="5" t="inlineStr">
        <is>
          <t>No</t>
        </is>
      </c>
      <c r="U128" s="5" t="inlineStr">
        <is>
          <t>Legitimate interest (B2B) - assess per campaign; PECR: corporate subscribers</t>
        </is>
      </c>
    </row>
    <row r="129">
      <c r="A129" s="10" t="inlineStr">
        <is>
          <t>WY-0191</t>
        </is>
      </c>
      <c r="B129" s="10" t="inlineStr">
        <is>
          <t>Zesty Vape</t>
        </is>
      </c>
      <c r="C129" s="10" t="inlineStr">
        <is>
          <t>Brighouse</t>
        </is>
      </c>
      <c r="D129" s="10" t="inlineStr">
        <is>
          <t>Vape Shop</t>
        </is>
      </c>
      <c r="E129" s="10" t="inlineStr">
        <is>
          <t>Medium</t>
        </is>
      </c>
      <c r="F129" s="10" t="inlineStr">
        <is>
          <t>01484 722183</t>
        </is>
      </c>
      <c r="G129" s="10" t="inlineStr"/>
      <c r="H129" s="10" t="inlineStr"/>
      <c r="I129" s="10" t="inlineStr"/>
      <c r="J129" s="10" t="inlineStr"/>
      <c r="K129" s="10" t="inlineStr">
        <is>
          <t>New</t>
        </is>
      </c>
      <c r="L129" s="10" t="inlineStr">
        <is>
          <t>2026-09-16</t>
        </is>
      </c>
      <c r="M129" s="10" t="inlineStr"/>
      <c r="N129" s="10" t="inlineStr"/>
      <c r="O129" s="10" t="inlineStr"/>
      <c r="P129" s="10" t="inlineStr"/>
      <c r="Q129" s="10" t="inlineStr"/>
      <c r="R129" s="10" t="inlineStr"/>
      <c r="S129" s="10" t="inlineStr"/>
      <c r="T129" s="10" t="inlineStr">
        <is>
          <t>No</t>
        </is>
      </c>
      <c r="U129" s="10" t="inlineStr">
        <is>
          <t>Legitimate interest (B2B) - assess per campaign; PECR: corporate subscribers</t>
        </is>
      </c>
    </row>
    <row r="130">
      <c r="A130" s="5" t="inlineStr">
        <is>
          <t>WY-0192</t>
        </is>
      </c>
      <c r="B130" s="5" t="inlineStr">
        <is>
          <t>eVape Outlet</t>
        </is>
      </c>
      <c r="C130" s="5" t="inlineStr">
        <is>
          <t>Keighley</t>
        </is>
      </c>
      <c r="D130" s="5" t="inlineStr">
        <is>
          <t>Vape Shop</t>
        </is>
      </c>
      <c r="E130" s="5" t="inlineStr">
        <is>
          <t>Medium</t>
        </is>
      </c>
      <c r="F130" s="5" t="inlineStr"/>
      <c r="G130" s="5" t="inlineStr"/>
      <c r="H130" s="5" t="inlineStr"/>
      <c r="I130" s="5" t="inlineStr"/>
      <c r="J130" s="5" t="inlineStr"/>
      <c r="K130" s="5" t="inlineStr">
        <is>
          <t>New</t>
        </is>
      </c>
      <c r="L130" s="5" t="inlineStr">
        <is>
          <t>2026-09-16</t>
        </is>
      </c>
      <c r="M130" s="5" t="inlineStr"/>
      <c r="N130" s="5" t="inlineStr"/>
      <c r="O130" s="5" t="inlineStr"/>
      <c r="P130" s="5" t="inlineStr"/>
      <c r="Q130" s="5" t="inlineStr"/>
      <c r="R130" s="5" t="inlineStr"/>
      <c r="S130" s="5" t="inlineStr"/>
      <c r="T130" s="5" t="inlineStr">
        <is>
          <t>No</t>
        </is>
      </c>
      <c r="U130" s="5" t="inlineStr">
        <is>
          <t>Legitimate interest (B2B) - assess per campaign; PECR: corporate subscribers</t>
        </is>
      </c>
    </row>
    <row r="131">
      <c r="A131" s="10" t="inlineStr">
        <is>
          <t>WY-0193</t>
        </is>
      </c>
      <c r="B131" s="10" t="inlineStr">
        <is>
          <t>iVape Lounge</t>
        </is>
      </c>
      <c r="C131" s="10" t="inlineStr">
        <is>
          <t>Todmorden</t>
        </is>
      </c>
      <c r="D131" s="10" t="inlineStr">
        <is>
          <t>Vape Shop</t>
        </is>
      </c>
      <c r="E131" s="10" t="inlineStr">
        <is>
          <t>Medium</t>
        </is>
      </c>
      <c r="F131" s="10" t="inlineStr"/>
      <c r="G131" s="10" t="inlineStr"/>
      <c r="H131" s="10" t="inlineStr"/>
      <c r="I131" s="10" t="inlineStr"/>
      <c r="J131" s="10" t="inlineStr"/>
      <c r="K131" s="10" t="inlineStr">
        <is>
          <t>New</t>
        </is>
      </c>
      <c r="L131" s="10" t="inlineStr">
        <is>
          <t>2026-09-16</t>
        </is>
      </c>
      <c r="M131" s="10" t="inlineStr"/>
      <c r="N131" s="10" t="inlineStr"/>
      <c r="O131" s="10" t="inlineStr"/>
      <c r="P131" s="10" t="inlineStr"/>
      <c r="Q131" s="10" t="inlineStr"/>
      <c r="R131" s="10" t="inlineStr"/>
      <c r="S131" s="10" t="inlineStr"/>
      <c r="T131" s="10" t="inlineStr">
        <is>
          <t>No</t>
        </is>
      </c>
      <c r="U131" s="10" t="inlineStr">
        <is>
          <t>Legitimate interest (B2B) - assess per campaign; PECR: corporate subscribers</t>
        </is>
      </c>
    </row>
    <row r="132">
      <c r="A132" s="5" t="inlineStr">
        <is>
          <t>WY-0047</t>
        </is>
      </c>
      <c r="B132" s="5" t="inlineStr">
        <is>
          <t>A &amp; B Stores</t>
        </is>
      </c>
      <c r="C132" s="5" t="inlineStr">
        <is>
          <t>Bingley</t>
        </is>
      </c>
      <c r="D132" s="5" t="inlineStr">
        <is>
          <t>Off-Licence</t>
        </is>
      </c>
      <c r="E132" s="5" t="inlineStr">
        <is>
          <t>Low</t>
        </is>
      </c>
      <c r="F132" s="5" t="inlineStr"/>
      <c r="G132" s="5" t="inlineStr"/>
      <c r="H132" s="5" t="inlineStr"/>
      <c r="I132" s="5" t="inlineStr"/>
      <c r="J132" s="5" t="inlineStr"/>
      <c r="K132" s="5" t="inlineStr">
        <is>
          <t>New</t>
        </is>
      </c>
      <c r="L132" s="5" t="inlineStr">
        <is>
          <t>2026-09-16</t>
        </is>
      </c>
      <c r="M132" s="5" t="inlineStr"/>
      <c r="N132" s="5" t="inlineStr"/>
      <c r="O132" s="5" t="inlineStr"/>
      <c r="P132" s="5" t="inlineStr"/>
      <c r="Q132" s="5" t="inlineStr"/>
      <c r="R132" s="5" t="inlineStr"/>
      <c r="S132" s="5" t="inlineStr"/>
      <c r="T132" s="5" t="inlineStr">
        <is>
          <t>No</t>
        </is>
      </c>
      <c r="U132" s="5" t="inlineStr">
        <is>
          <t>Legitimate interest (B2B) - assess per campaign; PECR: corporate subscribers</t>
        </is>
      </c>
    </row>
    <row r="133">
      <c r="A133" s="10" t="inlineStr">
        <is>
          <t>WY-0050</t>
        </is>
      </c>
      <c r="B133" s="10" t="inlineStr">
        <is>
          <t>Anwarsons Newsagency</t>
        </is>
      </c>
      <c r="C133" s="10" t="inlineStr">
        <is>
          <t>Brighouse</t>
        </is>
      </c>
      <c r="D133" s="10" t="inlineStr">
        <is>
          <t>Newsagent</t>
        </is>
      </c>
      <c r="E133" s="10" t="inlineStr">
        <is>
          <t>Low</t>
        </is>
      </c>
      <c r="F133" s="10" t="inlineStr">
        <is>
          <t>01484 717622</t>
        </is>
      </c>
      <c r="G133" s="10" t="inlineStr"/>
      <c r="H133" s="10" t="inlineStr"/>
      <c r="I133" s="10" t="inlineStr"/>
      <c r="J133" s="10" t="inlineStr"/>
      <c r="K133" s="10" t="inlineStr">
        <is>
          <t>New</t>
        </is>
      </c>
      <c r="L133" s="10" t="inlineStr">
        <is>
          <t>2026-09-16</t>
        </is>
      </c>
      <c r="M133" s="10" t="inlineStr"/>
      <c r="N133" s="10" t="inlineStr"/>
      <c r="O133" s="10" t="inlineStr"/>
      <c r="P133" s="10" t="inlineStr"/>
      <c r="Q133" s="10" t="inlineStr"/>
      <c r="R133" s="10" t="inlineStr"/>
      <c r="S133" s="10" t="inlineStr"/>
      <c r="T133" s="10" t="inlineStr">
        <is>
          <t>No</t>
        </is>
      </c>
      <c r="U133" s="10" t="inlineStr">
        <is>
          <t>Legitimate interest (B2B) - assess per campaign; PECR: corporate subscribers</t>
        </is>
      </c>
    </row>
    <row r="134">
      <c r="A134" s="5" t="inlineStr">
        <is>
          <t>WY-0052</t>
        </is>
      </c>
      <c r="B134" s="5" t="inlineStr">
        <is>
          <t>Asia Foods</t>
        </is>
      </c>
      <c r="C134" s="5" t="inlineStr">
        <is>
          <t>Huddersfield</t>
        </is>
      </c>
      <c r="D134" s="5" t="inlineStr">
        <is>
          <t>Independent Supermarket</t>
        </is>
      </c>
      <c r="E134" s="5" t="inlineStr">
        <is>
          <t>Low</t>
        </is>
      </c>
      <c r="F134" s="5" t="inlineStr">
        <is>
          <t>01484 514828</t>
        </is>
      </c>
      <c r="G134" s="5" t="inlineStr"/>
      <c r="H134" s="5" t="inlineStr"/>
      <c r="I134" s="5" t="inlineStr"/>
      <c r="J134" s="5" t="inlineStr"/>
      <c r="K134" s="5" t="inlineStr">
        <is>
          <t>New</t>
        </is>
      </c>
      <c r="L134" s="5" t="inlineStr">
        <is>
          <t>2026-09-16</t>
        </is>
      </c>
      <c r="M134" s="5" t="inlineStr"/>
      <c r="N134" s="5" t="inlineStr"/>
      <c r="O134" s="5" t="inlineStr"/>
      <c r="P134" s="5" t="inlineStr"/>
      <c r="Q134" s="5" t="inlineStr"/>
      <c r="R134" s="5" t="inlineStr"/>
      <c r="S134" s="5" t="inlineStr"/>
      <c r="T134" s="5" t="inlineStr">
        <is>
          <t>No</t>
        </is>
      </c>
      <c r="U134" s="5" t="inlineStr">
        <is>
          <t>Legitimate interest (B2B) - assess per campaign; PECR: corporate subscribers</t>
        </is>
      </c>
    </row>
    <row r="135">
      <c r="A135" s="10" t="inlineStr">
        <is>
          <t>WY-0056</t>
        </is>
      </c>
      <c r="B135" s="10" t="inlineStr">
        <is>
          <t>Baildon Green Convenience Store</t>
        </is>
      </c>
      <c r="C135" s="10" t="inlineStr">
        <is>
          <t>Shipley</t>
        </is>
      </c>
      <c r="D135" s="10" t="inlineStr">
        <is>
          <t>Convenience Store</t>
        </is>
      </c>
      <c r="E135" s="10" t="inlineStr">
        <is>
          <t>Low</t>
        </is>
      </c>
      <c r="F135" s="10" t="inlineStr"/>
      <c r="G135" s="10" t="inlineStr"/>
      <c r="H135" s="10" t="inlineStr"/>
      <c r="I135" s="10" t="inlineStr"/>
      <c r="J135" s="10" t="inlineStr"/>
      <c r="K135" s="10" t="inlineStr">
        <is>
          <t>New</t>
        </is>
      </c>
      <c r="L135" s="10" t="inlineStr">
        <is>
          <t>2026-09-16</t>
        </is>
      </c>
      <c r="M135" s="10" t="inlineStr"/>
      <c r="N135" s="10" t="inlineStr"/>
      <c r="O135" s="10" t="inlineStr"/>
      <c r="P135" s="10" t="inlineStr"/>
      <c r="Q135" s="10" t="inlineStr"/>
      <c r="R135" s="10" t="inlineStr"/>
      <c r="S135" s="10" t="inlineStr"/>
      <c r="T135" s="10" t="inlineStr">
        <is>
          <t>No</t>
        </is>
      </c>
      <c r="U135" s="10" t="inlineStr">
        <is>
          <t>Legitimate interest (B2B) - assess per campaign; PECR: corporate subscribers</t>
        </is>
      </c>
    </row>
    <row r="136">
      <c r="A136" s="5" t="inlineStr">
        <is>
          <t>WY-0057</t>
        </is>
      </c>
      <c r="B136" s="5" t="inlineStr">
        <is>
          <t>Baildon Off Licence</t>
        </is>
      </c>
      <c r="C136" s="5" t="inlineStr">
        <is>
          <t>Shipley</t>
        </is>
      </c>
      <c r="D136" s="5" t="inlineStr">
        <is>
          <t>Off-Licence</t>
        </is>
      </c>
      <c r="E136" s="5" t="inlineStr">
        <is>
          <t>Low</t>
        </is>
      </c>
      <c r="F136" s="5" t="inlineStr"/>
      <c r="G136" s="5" t="inlineStr"/>
      <c r="H136" s="5" t="inlineStr"/>
      <c r="I136" s="5" t="inlineStr"/>
      <c r="J136" s="5" t="inlineStr"/>
      <c r="K136" s="5" t="inlineStr">
        <is>
          <t>New</t>
        </is>
      </c>
      <c r="L136" s="5" t="inlineStr">
        <is>
          <t>2026-09-16</t>
        </is>
      </c>
      <c r="M136" s="5" t="inlineStr"/>
      <c r="N136" s="5" t="inlineStr"/>
      <c r="O136" s="5" t="inlineStr"/>
      <c r="P136" s="5" t="inlineStr"/>
      <c r="Q136" s="5" t="inlineStr"/>
      <c r="R136" s="5" t="inlineStr"/>
      <c r="S136" s="5" t="inlineStr"/>
      <c r="T136" s="5" t="inlineStr">
        <is>
          <t>No</t>
        </is>
      </c>
      <c r="U136" s="5" t="inlineStr">
        <is>
          <t>Legitimate interest (B2B) - assess per campaign; PECR: corporate subscribers</t>
        </is>
      </c>
    </row>
    <row r="137">
      <c r="A137" s="10" t="inlineStr">
        <is>
          <t>WY-0058</t>
        </is>
      </c>
      <c r="B137" s="10" t="inlineStr">
        <is>
          <t>Bar Market</t>
        </is>
      </c>
      <c r="C137" s="10" t="inlineStr">
        <is>
          <t>Halifax</t>
        </is>
      </c>
      <c r="D137" s="10" t="inlineStr">
        <is>
          <t>Off-Licence</t>
        </is>
      </c>
      <c r="E137" s="10" t="inlineStr">
        <is>
          <t>Low</t>
        </is>
      </c>
      <c r="F137" s="10" t="inlineStr"/>
      <c r="G137" s="10" t="inlineStr"/>
      <c r="H137" s="10" t="inlineStr"/>
      <c r="I137" s="10" t="inlineStr"/>
      <c r="J137" s="10" t="inlineStr"/>
      <c r="K137" s="10" t="inlineStr">
        <is>
          <t>New</t>
        </is>
      </c>
      <c r="L137" s="10" t="inlineStr">
        <is>
          <t>2026-09-16</t>
        </is>
      </c>
      <c r="M137" s="10" t="inlineStr"/>
      <c r="N137" s="10" t="inlineStr"/>
      <c r="O137" s="10" t="inlineStr"/>
      <c r="P137" s="10" t="inlineStr"/>
      <c r="Q137" s="10" t="inlineStr"/>
      <c r="R137" s="10" t="inlineStr"/>
      <c r="S137" s="10" t="inlineStr"/>
      <c r="T137" s="10" t="inlineStr">
        <is>
          <t>No</t>
        </is>
      </c>
      <c r="U137" s="10" t="inlineStr">
        <is>
          <t>Legitimate interest (B2B) - assess per campaign; PECR: corporate subscribers</t>
        </is>
      </c>
    </row>
    <row r="138">
      <c r="A138" s="5" t="inlineStr">
        <is>
          <t>WY-0066</t>
        </is>
      </c>
      <c r="B138" s="5" t="inlineStr">
        <is>
          <t>Boothtown Post Office &amp; Off-Licence</t>
        </is>
      </c>
      <c r="C138" s="5" t="inlineStr">
        <is>
          <t>Halifax</t>
        </is>
      </c>
      <c r="D138" s="5" t="inlineStr">
        <is>
          <t>Off-Licence</t>
        </is>
      </c>
      <c r="E138" s="5" t="inlineStr">
        <is>
          <t>Low</t>
        </is>
      </c>
      <c r="F138" s="5" t="inlineStr"/>
      <c r="G138" s="5" t="inlineStr"/>
      <c r="H138" s="5" t="inlineStr"/>
      <c r="I138" s="5" t="inlineStr"/>
      <c r="J138" s="5" t="inlineStr"/>
      <c r="K138" s="5" t="inlineStr">
        <is>
          <t>New</t>
        </is>
      </c>
      <c r="L138" s="5" t="inlineStr">
        <is>
          <t>2026-09-16</t>
        </is>
      </c>
      <c r="M138" s="5" t="inlineStr"/>
      <c r="N138" s="5" t="inlineStr"/>
      <c r="O138" s="5" t="inlineStr"/>
      <c r="P138" s="5" t="inlineStr"/>
      <c r="Q138" s="5" t="inlineStr"/>
      <c r="R138" s="5" t="inlineStr"/>
      <c r="S138" s="5" t="inlineStr"/>
      <c r="T138" s="5" t="inlineStr">
        <is>
          <t>No</t>
        </is>
      </c>
      <c r="U138" s="5" t="inlineStr">
        <is>
          <t>Legitimate interest (B2B) - assess per campaign; PECR: corporate subscribers</t>
        </is>
      </c>
    </row>
    <row r="139">
      <c r="A139" s="10" t="inlineStr">
        <is>
          <t>WY-0068</t>
        </is>
      </c>
      <c r="B139" s="10" t="inlineStr">
        <is>
          <t>Bottle and Bean</t>
        </is>
      </c>
      <c r="C139" s="10" t="inlineStr">
        <is>
          <t>Wetherby</t>
        </is>
      </c>
      <c r="D139" s="10" t="inlineStr">
        <is>
          <t>Off-Licence</t>
        </is>
      </c>
      <c r="E139" s="10" t="inlineStr">
        <is>
          <t>Low</t>
        </is>
      </c>
      <c r="F139" s="10" t="inlineStr"/>
      <c r="G139" s="10" t="inlineStr"/>
      <c r="H139" s="10" t="inlineStr"/>
      <c r="I139" s="10" t="inlineStr"/>
      <c r="J139" s="10" t="inlineStr"/>
      <c r="K139" s="10" t="inlineStr">
        <is>
          <t>New</t>
        </is>
      </c>
      <c r="L139" s="10" t="inlineStr">
        <is>
          <t>2026-09-16</t>
        </is>
      </c>
      <c r="M139" s="10" t="inlineStr"/>
      <c r="N139" s="10" t="inlineStr"/>
      <c r="O139" s="10" t="inlineStr"/>
      <c r="P139" s="10" t="inlineStr"/>
      <c r="Q139" s="10" t="inlineStr"/>
      <c r="R139" s="10" t="inlineStr"/>
      <c r="S139" s="10" t="inlineStr"/>
      <c r="T139" s="10" t="inlineStr">
        <is>
          <t>No</t>
        </is>
      </c>
      <c r="U139" s="10" t="inlineStr">
        <is>
          <t>Legitimate interest (B2B) - assess per campaign; PECR: corporate subscribers</t>
        </is>
      </c>
    </row>
    <row r="140">
      <c r="A140" s="5" t="inlineStr">
        <is>
          <t>WY-0069</t>
        </is>
      </c>
      <c r="B140" s="5" t="inlineStr">
        <is>
          <t>Bridge Off Licence Convenience Store</t>
        </is>
      </c>
      <c r="C140" s="5" t="inlineStr">
        <is>
          <t>Sowerby Bridge</t>
        </is>
      </c>
      <c r="D140" s="5" t="inlineStr">
        <is>
          <t>Off-Licence</t>
        </is>
      </c>
      <c r="E140" s="5" t="inlineStr">
        <is>
          <t>Low</t>
        </is>
      </c>
      <c r="F140" s="5" t="inlineStr"/>
      <c r="G140" s="5" t="inlineStr"/>
      <c r="H140" s="5" t="inlineStr"/>
      <c r="I140" s="5" t="inlineStr"/>
      <c r="J140" s="5" t="inlineStr"/>
      <c r="K140" s="5" t="inlineStr">
        <is>
          <t>New</t>
        </is>
      </c>
      <c r="L140" s="5" t="inlineStr">
        <is>
          <t>2026-09-16</t>
        </is>
      </c>
      <c r="M140" s="5" t="inlineStr"/>
      <c r="N140" s="5" t="inlineStr"/>
      <c r="O140" s="5" t="inlineStr"/>
      <c r="P140" s="5" t="inlineStr"/>
      <c r="Q140" s="5" t="inlineStr"/>
      <c r="R140" s="5" t="inlineStr"/>
      <c r="S140" s="5" t="inlineStr"/>
      <c r="T140" s="5" t="inlineStr">
        <is>
          <t>No</t>
        </is>
      </c>
      <c r="U140" s="5" t="inlineStr">
        <is>
          <t>Legitimate interest (B2B) - assess per campaign; PECR: corporate subscribers</t>
        </is>
      </c>
    </row>
    <row r="141">
      <c r="A141" s="10" t="inlineStr">
        <is>
          <t>WY-0070</t>
        </is>
      </c>
      <c r="B141" s="10" t="inlineStr">
        <is>
          <t>Brooks News</t>
        </is>
      </c>
      <c r="C141" s="10" t="inlineStr">
        <is>
          <t>Pudsey</t>
        </is>
      </c>
      <c r="D141" s="10" t="inlineStr">
        <is>
          <t>Newsagent</t>
        </is>
      </c>
      <c r="E141" s="10" t="inlineStr">
        <is>
          <t>Low</t>
        </is>
      </c>
      <c r="F141" s="10" t="inlineStr">
        <is>
          <t>0113 257 3382</t>
        </is>
      </c>
      <c r="G141" s="10" t="inlineStr"/>
      <c r="H141" s="10" t="inlineStr"/>
      <c r="I141" s="10" t="inlineStr"/>
      <c r="J141" s="10" t="inlineStr"/>
      <c r="K141" s="10" t="inlineStr">
        <is>
          <t>New</t>
        </is>
      </c>
      <c r="L141" s="10" t="inlineStr">
        <is>
          <t>2026-09-16</t>
        </is>
      </c>
      <c r="M141" s="10" t="inlineStr"/>
      <c r="N141" s="10" t="inlineStr"/>
      <c r="O141" s="10" t="inlineStr"/>
      <c r="P141" s="10" t="inlineStr"/>
      <c r="Q141" s="10" t="inlineStr"/>
      <c r="R141" s="10" t="inlineStr"/>
      <c r="S141" s="10" t="inlineStr"/>
      <c r="T141" s="10" t="inlineStr">
        <is>
          <t>No</t>
        </is>
      </c>
      <c r="U141" s="10" t="inlineStr">
        <is>
          <t>Legitimate interest (B2B) - assess per campaign; PECR: corporate subscribers</t>
        </is>
      </c>
    </row>
    <row r="142">
      <c r="A142" s="5" t="inlineStr">
        <is>
          <t>WY-0072</t>
        </is>
      </c>
      <c r="B142" s="5" t="inlineStr">
        <is>
          <t>Carlton Self Service</t>
        </is>
      </c>
      <c r="C142" s="5" t="inlineStr">
        <is>
          <t>Pontefract</t>
        </is>
      </c>
      <c r="D142" s="5" t="inlineStr">
        <is>
          <t>Newsagent</t>
        </is>
      </c>
      <c r="E142" s="5" t="inlineStr">
        <is>
          <t>Low</t>
        </is>
      </c>
      <c r="F142" s="5" t="inlineStr">
        <is>
          <t>01977 780317</t>
        </is>
      </c>
      <c r="G142" s="5" t="inlineStr"/>
      <c r="H142" s="5" t="inlineStr"/>
      <c r="I142" s="5" t="inlineStr"/>
      <c r="J142" s="5" t="inlineStr"/>
      <c r="K142" s="5" t="inlineStr">
        <is>
          <t>New</t>
        </is>
      </c>
      <c r="L142" s="5" t="inlineStr">
        <is>
          <t>2026-09-16</t>
        </is>
      </c>
      <c r="M142" s="5" t="inlineStr"/>
      <c r="N142" s="5" t="inlineStr"/>
      <c r="O142" s="5" t="inlineStr"/>
      <c r="P142" s="5" t="inlineStr"/>
      <c r="Q142" s="5" t="inlineStr"/>
      <c r="R142" s="5" t="inlineStr"/>
      <c r="S142" s="5" t="inlineStr"/>
      <c r="T142" s="5" t="inlineStr">
        <is>
          <t>No</t>
        </is>
      </c>
      <c r="U142" s="5" t="inlineStr">
        <is>
          <t>Legitimate interest (B2B) - assess per campaign; PECR: corporate subscribers</t>
        </is>
      </c>
    </row>
    <row r="143">
      <c r="A143" s="10" t="inlineStr">
        <is>
          <t>WY-0074</t>
        </is>
      </c>
      <c r="B143" s="10" t="inlineStr">
        <is>
          <t>Castleford Road Off Licence</t>
        </is>
      </c>
      <c r="C143" s="10" t="inlineStr">
        <is>
          <t>Normanton</t>
        </is>
      </c>
      <c r="D143" s="10" t="inlineStr">
        <is>
          <t>Off-Licence</t>
        </is>
      </c>
      <c r="E143" s="10" t="inlineStr">
        <is>
          <t>Low</t>
        </is>
      </c>
      <c r="F143" s="10" t="inlineStr">
        <is>
          <t>01924 223984</t>
        </is>
      </c>
      <c r="G143" s="10" t="inlineStr"/>
      <c r="H143" s="10" t="inlineStr"/>
      <c r="I143" s="10" t="inlineStr"/>
      <c r="J143" s="10" t="inlineStr"/>
      <c r="K143" s="10" t="inlineStr">
        <is>
          <t>New</t>
        </is>
      </c>
      <c r="L143" s="10" t="inlineStr">
        <is>
          <t>2026-09-16</t>
        </is>
      </c>
      <c r="M143" s="10" t="inlineStr"/>
      <c r="N143" s="10" t="inlineStr"/>
      <c r="O143" s="10" t="inlineStr"/>
      <c r="P143" s="10" t="inlineStr"/>
      <c r="Q143" s="10" t="inlineStr"/>
      <c r="R143" s="10" t="inlineStr"/>
      <c r="S143" s="10" t="inlineStr"/>
      <c r="T143" s="10" t="inlineStr">
        <is>
          <t>No</t>
        </is>
      </c>
      <c r="U143" s="10" t="inlineStr">
        <is>
          <t>Legitimate interest (B2B) - assess per campaign; PECR: corporate subscribers</t>
        </is>
      </c>
    </row>
    <row r="144">
      <c r="A144" s="5" t="inlineStr">
        <is>
          <t>WY-0075</t>
        </is>
      </c>
      <c r="B144" s="5" t="inlineStr">
        <is>
          <t>Charlesworths</t>
        </is>
      </c>
      <c r="C144" s="5" t="inlineStr">
        <is>
          <t>Holmfirth</t>
        </is>
      </c>
      <c r="D144" s="5" t="inlineStr">
        <is>
          <t>Newsagent</t>
        </is>
      </c>
      <c r="E144" s="5" t="inlineStr">
        <is>
          <t>Low</t>
        </is>
      </c>
      <c r="F144" s="5" t="inlineStr">
        <is>
          <t>01484 681111</t>
        </is>
      </c>
      <c r="G144" s="5" t="inlineStr"/>
      <c r="H144" s="5" t="inlineStr"/>
      <c r="I144" s="5" t="inlineStr"/>
      <c r="J144" s="5" t="inlineStr"/>
      <c r="K144" s="5" t="inlineStr">
        <is>
          <t>New</t>
        </is>
      </c>
      <c r="L144" s="5" t="inlineStr">
        <is>
          <t>2026-09-16</t>
        </is>
      </c>
      <c r="M144" s="5" t="inlineStr"/>
      <c r="N144" s="5" t="inlineStr"/>
      <c r="O144" s="5" t="inlineStr"/>
      <c r="P144" s="5" t="inlineStr"/>
      <c r="Q144" s="5" t="inlineStr"/>
      <c r="R144" s="5" t="inlineStr"/>
      <c r="S144" s="5" t="inlineStr"/>
      <c r="T144" s="5" t="inlineStr">
        <is>
          <t>No</t>
        </is>
      </c>
      <c r="U144" s="5" t="inlineStr">
        <is>
          <t>Legitimate interest (B2B) - assess per campaign; PECR: corporate subscribers</t>
        </is>
      </c>
    </row>
    <row r="145">
      <c r="A145" s="10" t="inlineStr">
        <is>
          <t>WY-0079</t>
        </is>
      </c>
      <c r="B145" s="10" t="inlineStr">
        <is>
          <t>Crossroads Off Licence &amp; Newsagent</t>
        </is>
      </c>
      <c r="C145" s="10" t="inlineStr">
        <is>
          <t>Wakefield</t>
        </is>
      </c>
      <c r="D145" s="10" t="inlineStr">
        <is>
          <t>Off-Licence</t>
        </is>
      </c>
      <c r="E145" s="10" t="inlineStr">
        <is>
          <t>Low</t>
        </is>
      </c>
      <c r="F145" s="10" t="inlineStr"/>
      <c r="G145" s="10" t="inlineStr"/>
      <c r="H145" s="10" t="inlineStr"/>
      <c r="I145" s="10" t="inlineStr"/>
      <c r="J145" s="10" t="inlineStr"/>
      <c r="K145" s="10" t="inlineStr">
        <is>
          <t>New</t>
        </is>
      </c>
      <c r="L145" s="10" t="inlineStr">
        <is>
          <t>2026-09-16</t>
        </is>
      </c>
      <c r="M145" s="10" t="inlineStr"/>
      <c r="N145" s="10" t="inlineStr"/>
      <c r="O145" s="10" t="inlineStr"/>
      <c r="P145" s="10" t="inlineStr"/>
      <c r="Q145" s="10" t="inlineStr"/>
      <c r="R145" s="10" t="inlineStr"/>
      <c r="S145" s="10" t="inlineStr"/>
      <c r="T145" s="10" t="inlineStr">
        <is>
          <t>No</t>
        </is>
      </c>
      <c r="U145" s="10" t="inlineStr">
        <is>
          <t>Legitimate interest (B2B) - assess per campaign; PECR: corporate subscribers</t>
        </is>
      </c>
    </row>
    <row r="146">
      <c r="A146" s="5" t="inlineStr">
        <is>
          <t>WY-0080</t>
        </is>
      </c>
      <c r="B146" s="5" t="inlineStr">
        <is>
          <t>Dhillon's Newsagents</t>
        </is>
      </c>
      <c r="C146" s="5" t="inlineStr">
        <is>
          <t>Leeds</t>
        </is>
      </c>
      <c r="D146" s="5" t="inlineStr">
        <is>
          <t>Newsagent</t>
        </is>
      </c>
      <c r="E146" s="5" t="inlineStr">
        <is>
          <t>Low</t>
        </is>
      </c>
      <c r="F146" s="5" t="inlineStr">
        <is>
          <t>0113 257 8085</t>
        </is>
      </c>
      <c r="G146" s="5" t="inlineStr"/>
      <c r="H146" s="5" t="inlineStr"/>
      <c r="I146" s="5" t="inlineStr"/>
      <c r="J146" s="5" t="inlineStr"/>
      <c r="K146" s="5" t="inlineStr">
        <is>
          <t>New</t>
        </is>
      </c>
      <c r="L146" s="5" t="inlineStr">
        <is>
          <t>2026-09-16</t>
        </is>
      </c>
      <c r="M146" s="5" t="inlineStr"/>
      <c r="N146" s="5" t="inlineStr"/>
      <c r="O146" s="5" t="inlineStr"/>
      <c r="P146" s="5" t="inlineStr"/>
      <c r="Q146" s="5" t="inlineStr"/>
      <c r="R146" s="5" t="inlineStr"/>
      <c r="S146" s="5" t="inlineStr"/>
      <c r="T146" s="5" t="inlineStr">
        <is>
          <t>No</t>
        </is>
      </c>
      <c r="U146" s="5" t="inlineStr">
        <is>
          <t>Legitimate interest (B2B) - assess per campaign; PECR: corporate subscribers</t>
        </is>
      </c>
    </row>
    <row r="147">
      <c r="A147" s="10" t="inlineStr">
        <is>
          <t>WY-0087</t>
        </is>
      </c>
      <c r="B147" s="10" t="inlineStr">
        <is>
          <t>Freshco UK</t>
        </is>
      </c>
      <c r="C147" s="10" t="inlineStr">
        <is>
          <t>Bradford</t>
        </is>
      </c>
      <c r="D147" s="10" t="inlineStr">
        <is>
          <t>Convenience Store</t>
        </is>
      </c>
      <c r="E147" s="10" t="inlineStr">
        <is>
          <t>Low</t>
        </is>
      </c>
      <c r="F147" s="10" t="inlineStr"/>
      <c r="G147" s="10" t="inlineStr"/>
      <c r="H147" s="10" t="inlineStr"/>
      <c r="I147" s="10" t="inlineStr"/>
      <c r="J147" s="10" t="inlineStr"/>
      <c r="K147" s="10" t="inlineStr">
        <is>
          <t>New</t>
        </is>
      </c>
      <c r="L147" s="10" t="inlineStr">
        <is>
          <t>2026-09-16</t>
        </is>
      </c>
      <c r="M147" s="10" t="inlineStr"/>
      <c r="N147" s="10" t="inlineStr"/>
      <c r="O147" s="10" t="inlineStr"/>
      <c r="P147" s="10" t="inlineStr"/>
      <c r="Q147" s="10" t="inlineStr"/>
      <c r="R147" s="10" t="inlineStr"/>
      <c r="S147" s="10" t="inlineStr"/>
      <c r="T147" s="10" t="inlineStr">
        <is>
          <t>No</t>
        </is>
      </c>
      <c r="U147" s="10" t="inlineStr">
        <is>
          <t>Legitimate interest (B2B) - assess per campaign; PECR: corporate subscribers</t>
        </is>
      </c>
    </row>
    <row r="148">
      <c r="A148" s="5" t="inlineStr">
        <is>
          <t>WY-0089</t>
        </is>
      </c>
      <c r="B148" s="5" t="inlineStr">
        <is>
          <t>Gibraltar Mini Mart</t>
        </is>
      </c>
      <c r="C148" s="5" t="inlineStr">
        <is>
          <t>Halifax</t>
        </is>
      </c>
      <c r="D148" s="5" t="inlineStr">
        <is>
          <t>Convenience Store</t>
        </is>
      </c>
      <c r="E148" s="5" t="inlineStr">
        <is>
          <t>Low</t>
        </is>
      </c>
      <c r="F148" s="5" t="inlineStr"/>
      <c r="G148" s="5" t="inlineStr"/>
      <c r="H148" s="5" t="inlineStr"/>
      <c r="I148" s="5" t="inlineStr"/>
      <c r="J148" s="5" t="inlineStr"/>
      <c r="K148" s="5" t="inlineStr">
        <is>
          <t>New</t>
        </is>
      </c>
      <c r="L148" s="5" t="inlineStr">
        <is>
          <t>2026-09-16</t>
        </is>
      </c>
      <c r="M148" s="5" t="inlineStr"/>
      <c r="N148" s="5" t="inlineStr"/>
      <c r="O148" s="5" t="inlineStr"/>
      <c r="P148" s="5" t="inlineStr"/>
      <c r="Q148" s="5" t="inlineStr"/>
      <c r="R148" s="5" t="inlineStr"/>
      <c r="S148" s="5" t="inlineStr"/>
      <c r="T148" s="5" t="inlineStr">
        <is>
          <t>No</t>
        </is>
      </c>
      <c r="U148" s="5" t="inlineStr">
        <is>
          <t>Legitimate interest (B2B) - assess per campaign; PECR: corporate subscribers</t>
        </is>
      </c>
    </row>
    <row r="149">
      <c r="A149" s="10" t="inlineStr">
        <is>
          <t>WY-0090</t>
        </is>
      </c>
      <c r="B149" s="10" t="inlineStr">
        <is>
          <t>Global Mini Market 2</t>
        </is>
      </c>
      <c r="C149" s="10" t="inlineStr">
        <is>
          <t>Bingley</t>
        </is>
      </c>
      <c r="D149" s="10" t="inlineStr">
        <is>
          <t>Convenience Store</t>
        </is>
      </c>
      <c r="E149" s="10" t="inlineStr">
        <is>
          <t>Low</t>
        </is>
      </c>
      <c r="F149" s="10" t="inlineStr"/>
      <c r="G149" s="10" t="inlineStr"/>
      <c r="H149" s="10" t="inlineStr"/>
      <c r="I149" s="10" t="inlineStr"/>
      <c r="J149" s="10" t="inlineStr"/>
      <c r="K149" s="10" t="inlineStr">
        <is>
          <t>New</t>
        </is>
      </c>
      <c r="L149" s="10" t="inlineStr">
        <is>
          <t>2026-09-16</t>
        </is>
      </c>
      <c r="M149" s="10" t="inlineStr"/>
      <c r="N149" s="10" t="inlineStr"/>
      <c r="O149" s="10" t="inlineStr"/>
      <c r="P149" s="10" t="inlineStr"/>
      <c r="Q149" s="10" t="inlineStr"/>
      <c r="R149" s="10" t="inlineStr"/>
      <c r="S149" s="10" t="inlineStr"/>
      <c r="T149" s="10" t="inlineStr">
        <is>
          <t>No</t>
        </is>
      </c>
      <c r="U149" s="10" t="inlineStr">
        <is>
          <t>Legitimate interest (B2B) - assess per campaign; PECR: corporate subscribers</t>
        </is>
      </c>
    </row>
    <row r="150">
      <c r="A150" s="5" t="inlineStr">
        <is>
          <t>WY-0091</t>
        </is>
      </c>
      <c r="B150" s="5" t="inlineStr">
        <is>
          <t>Greengates Service Station</t>
        </is>
      </c>
      <c r="C150" s="5" t="inlineStr">
        <is>
          <t>Bradford</t>
        </is>
      </c>
      <c r="D150" s="5" t="inlineStr">
        <is>
          <t>Petrol Station / Forecourt</t>
        </is>
      </c>
      <c r="E150" s="5" t="inlineStr">
        <is>
          <t>Low</t>
        </is>
      </c>
      <c r="F150" s="5" t="inlineStr"/>
      <c r="G150" s="5" t="inlineStr"/>
      <c r="H150" s="5" t="inlineStr"/>
      <c r="I150" s="5" t="inlineStr"/>
      <c r="J150" s="5" t="inlineStr"/>
      <c r="K150" s="5" t="inlineStr">
        <is>
          <t>New</t>
        </is>
      </c>
      <c r="L150" s="5" t="inlineStr">
        <is>
          <t>2026-09-16</t>
        </is>
      </c>
      <c r="M150" s="5" t="inlineStr"/>
      <c r="N150" s="5" t="inlineStr"/>
      <c r="O150" s="5" t="inlineStr"/>
      <c r="P150" s="5" t="inlineStr"/>
      <c r="Q150" s="5" t="inlineStr"/>
      <c r="R150" s="5" t="inlineStr"/>
      <c r="S150" s="5" t="inlineStr"/>
      <c r="T150" s="5" t="inlineStr">
        <is>
          <t>No</t>
        </is>
      </c>
      <c r="U150" s="5" t="inlineStr">
        <is>
          <t>Legitimate interest (B2B) - assess per campaign; PECR: corporate subscribers</t>
        </is>
      </c>
    </row>
    <row r="151">
      <c r="A151" s="10" t="inlineStr">
        <is>
          <t>WY-0092</t>
        </is>
      </c>
      <c r="B151" s="10" t="inlineStr">
        <is>
          <t>Gulf Service Station Featherstone</t>
        </is>
      </c>
      <c r="C151" s="10" t="inlineStr">
        <is>
          <t>Featherstone</t>
        </is>
      </c>
      <c r="D151" s="10" t="inlineStr">
        <is>
          <t>Petrol Station / Forecourt</t>
        </is>
      </c>
      <c r="E151" s="10" t="inlineStr">
        <is>
          <t>Low</t>
        </is>
      </c>
      <c r="F151" s="10" t="inlineStr"/>
      <c r="G151" s="10" t="inlineStr"/>
      <c r="H151" s="10" t="inlineStr"/>
      <c r="I151" s="10" t="inlineStr"/>
      <c r="J151" s="10" t="inlineStr"/>
      <c r="K151" s="10" t="inlineStr">
        <is>
          <t>New</t>
        </is>
      </c>
      <c r="L151" s="10" t="inlineStr">
        <is>
          <t>2026-09-16</t>
        </is>
      </c>
      <c r="M151" s="10" t="inlineStr"/>
      <c r="N151" s="10" t="inlineStr"/>
      <c r="O151" s="10" t="inlineStr"/>
      <c r="P151" s="10" t="inlineStr"/>
      <c r="Q151" s="10" t="inlineStr"/>
      <c r="R151" s="10" t="inlineStr"/>
      <c r="S151" s="10" t="inlineStr"/>
      <c r="T151" s="10" t="inlineStr">
        <is>
          <t>No</t>
        </is>
      </c>
      <c r="U151" s="10" t="inlineStr">
        <is>
          <t>Legitimate interest (B2B) - assess per campaign; PECR: corporate subscribers</t>
        </is>
      </c>
    </row>
    <row r="152">
      <c r="A152" s="5" t="inlineStr">
        <is>
          <t>WY-0094</t>
        </is>
      </c>
      <c r="B152" s="5" t="inlineStr">
        <is>
          <t>Hang Sing Hong</t>
        </is>
      </c>
      <c r="C152" s="5" t="inlineStr">
        <is>
          <t>Leeds</t>
        </is>
      </c>
      <c r="D152" s="5" t="inlineStr">
        <is>
          <t>Independent Supermarket</t>
        </is>
      </c>
      <c r="E152" s="5" t="inlineStr">
        <is>
          <t>Low</t>
        </is>
      </c>
      <c r="F152" s="5" t="inlineStr"/>
      <c r="G152" s="5" t="inlineStr"/>
      <c r="H152" s="5" t="inlineStr"/>
      <c r="I152" s="5" t="inlineStr"/>
      <c r="J152" s="5" t="inlineStr"/>
      <c r="K152" s="5" t="inlineStr">
        <is>
          <t>New</t>
        </is>
      </c>
      <c r="L152" s="5" t="inlineStr">
        <is>
          <t>2026-09-16</t>
        </is>
      </c>
      <c r="M152" s="5" t="inlineStr"/>
      <c r="N152" s="5" t="inlineStr"/>
      <c r="O152" s="5" t="inlineStr"/>
      <c r="P152" s="5" t="inlineStr"/>
      <c r="Q152" s="5" t="inlineStr"/>
      <c r="R152" s="5" t="inlineStr"/>
      <c r="S152" s="5" t="inlineStr"/>
      <c r="T152" s="5" t="inlineStr">
        <is>
          <t>No</t>
        </is>
      </c>
      <c r="U152" s="5" t="inlineStr">
        <is>
          <t>Legitimate interest (B2B) - assess per campaign; PECR: corporate subscribers</t>
        </is>
      </c>
    </row>
    <row r="153">
      <c r="A153" s="10" t="inlineStr">
        <is>
          <t>WY-0095</t>
        </is>
      </c>
      <c r="B153" s="10" t="inlineStr">
        <is>
          <t>Heckmondwike Service Station</t>
        </is>
      </c>
      <c r="C153" s="10" t="inlineStr">
        <is>
          <t>Heckmondwike</t>
        </is>
      </c>
      <c r="D153" s="10" t="inlineStr">
        <is>
          <t>Petrol Station / Forecourt</t>
        </is>
      </c>
      <c r="E153" s="10" t="inlineStr">
        <is>
          <t>Low</t>
        </is>
      </c>
      <c r="F153" s="10" t="inlineStr"/>
      <c r="G153" s="10" t="inlineStr"/>
      <c r="H153" s="10" t="inlineStr"/>
      <c r="I153" s="10" t="inlineStr"/>
      <c r="J153" s="10" t="inlineStr"/>
      <c r="K153" s="10" t="inlineStr">
        <is>
          <t>New</t>
        </is>
      </c>
      <c r="L153" s="10" t="inlineStr">
        <is>
          <t>2026-09-16</t>
        </is>
      </c>
      <c r="M153" s="10" t="inlineStr"/>
      <c r="N153" s="10" t="inlineStr"/>
      <c r="O153" s="10" t="inlineStr"/>
      <c r="P153" s="10" t="inlineStr"/>
      <c r="Q153" s="10" t="inlineStr"/>
      <c r="R153" s="10" t="inlineStr"/>
      <c r="S153" s="10" t="inlineStr"/>
      <c r="T153" s="10" t="inlineStr">
        <is>
          <t>No</t>
        </is>
      </c>
      <c r="U153" s="10" t="inlineStr">
        <is>
          <t>Legitimate interest (B2B) - assess per campaign; PECR: corporate subscribers</t>
        </is>
      </c>
    </row>
    <row r="154">
      <c r="A154" s="5" t="inlineStr">
        <is>
          <t>WY-0096</t>
        </is>
      </c>
      <c r="B154" s="5" t="inlineStr">
        <is>
          <t>Hopes News</t>
        </is>
      </c>
      <c r="C154" s="5" t="inlineStr">
        <is>
          <t>Shipley</t>
        </is>
      </c>
      <c r="D154" s="5" t="inlineStr">
        <is>
          <t>Newsagent</t>
        </is>
      </c>
      <c r="E154" s="5" t="inlineStr">
        <is>
          <t>Low</t>
        </is>
      </c>
      <c r="F154" s="5" t="inlineStr"/>
      <c r="G154" s="5" t="inlineStr"/>
      <c r="H154" s="5" t="inlineStr"/>
      <c r="I154" s="5" t="inlineStr"/>
      <c r="J154" s="5" t="inlineStr"/>
      <c r="K154" s="5" t="inlineStr">
        <is>
          <t>New</t>
        </is>
      </c>
      <c r="L154" s="5" t="inlineStr">
        <is>
          <t>2026-09-16</t>
        </is>
      </c>
      <c r="M154" s="5" t="inlineStr"/>
      <c r="N154" s="5" t="inlineStr"/>
      <c r="O154" s="5" t="inlineStr"/>
      <c r="P154" s="5" t="inlineStr"/>
      <c r="Q154" s="5" t="inlineStr"/>
      <c r="R154" s="5" t="inlineStr"/>
      <c r="S154" s="5" t="inlineStr"/>
      <c r="T154" s="5" t="inlineStr">
        <is>
          <t>No</t>
        </is>
      </c>
      <c r="U154" s="5" t="inlineStr">
        <is>
          <t>Legitimate interest (B2B) - assess per campaign; PECR: corporate subscribers</t>
        </is>
      </c>
    </row>
    <row r="155">
      <c r="A155" s="10" t="inlineStr">
        <is>
          <t>WY-0098</t>
        </is>
      </c>
      <c r="B155" s="10" t="inlineStr">
        <is>
          <t>Ilkley Convenience Store</t>
        </is>
      </c>
      <c r="C155" s="10" t="inlineStr">
        <is>
          <t>Ilkley</t>
        </is>
      </c>
      <c r="D155" s="10" t="inlineStr">
        <is>
          <t>Convenience Store</t>
        </is>
      </c>
      <c r="E155" s="10" t="inlineStr">
        <is>
          <t>Low</t>
        </is>
      </c>
      <c r="F155" s="10" t="inlineStr"/>
      <c r="G155" s="10" t="inlineStr"/>
      <c r="H155" s="10" t="inlineStr"/>
      <c r="I155" s="10" t="inlineStr"/>
      <c r="J155" s="10" t="inlineStr"/>
      <c r="K155" s="10" t="inlineStr">
        <is>
          <t>New</t>
        </is>
      </c>
      <c r="L155" s="10" t="inlineStr">
        <is>
          <t>2026-09-16</t>
        </is>
      </c>
      <c r="M155" s="10" t="inlineStr"/>
      <c r="N155" s="10" t="inlineStr"/>
      <c r="O155" s="10" t="inlineStr"/>
      <c r="P155" s="10" t="inlineStr"/>
      <c r="Q155" s="10" t="inlineStr"/>
      <c r="R155" s="10" t="inlineStr"/>
      <c r="S155" s="10" t="inlineStr"/>
      <c r="T155" s="10" t="inlineStr">
        <is>
          <t>No</t>
        </is>
      </c>
      <c r="U155" s="10" t="inlineStr">
        <is>
          <t>Legitimate interest (B2B) - assess per campaign; PECR: corporate subscribers</t>
        </is>
      </c>
    </row>
    <row r="156">
      <c r="A156" s="5" t="inlineStr">
        <is>
          <t>WY-0099</t>
        </is>
      </c>
      <c r="B156" s="5" t="inlineStr">
        <is>
          <t>International Foods</t>
        </is>
      </c>
      <c r="C156" s="5" t="inlineStr">
        <is>
          <t>Leeds</t>
        </is>
      </c>
      <c r="D156" s="5" t="inlineStr">
        <is>
          <t>Independent Supermarket</t>
        </is>
      </c>
      <c r="E156" s="5" t="inlineStr">
        <is>
          <t>Low</t>
        </is>
      </c>
      <c r="F156" s="5" t="inlineStr"/>
      <c r="G156" s="5" t="inlineStr"/>
      <c r="H156" s="5" t="inlineStr"/>
      <c r="I156" s="5" t="inlineStr"/>
      <c r="J156" s="5" t="inlineStr"/>
      <c r="K156" s="5" t="inlineStr">
        <is>
          <t>New</t>
        </is>
      </c>
      <c r="L156" s="5" t="inlineStr">
        <is>
          <t>2026-09-16</t>
        </is>
      </c>
      <c r="M156" s="5" t="inlineStr"/>
      <c r="N156" s="5" t="inlineStr"/>
      <c r="O156" s="5" t="inlineStr"/>
      <c r="P156" s="5" t="inlineStr"/>
      <c r="Q156" s="5" t="inlineStr"/>
      <c r="R156" s="5" t="inlineStr"/>
      <c r="S156" s="5" t="inlineStr"/>
      <c r="T156" s="5" t="inlineStr">
        <is>
          <t>No</t>
        </is>
      </c>
      <c r="U156" s="5" t="inlineStr">
        <is>
          <t>Legitimate interest (B2B) - assess per campaign; PECR: corporate subscribers</t>
        </is>
      </c>
    </row>
    <row r="157">
      <c r="A157" s="10" t="inlineStr">
        <is>
          <t>WY-0101</t>
        </is>
      </c>
      <c r="B157" s="10" t="inlineStr">
        <is>
          <t>KV Convenience &amp; Off Licence</t>
        </is>
      </c>
      <c r="C157" s="10" t="inlineStr">
        <is>
          <t>Huddersfield</t>
        </is>
      </c>
      <c r="D157" s="10" t="inlineStr">
        <is>
          <t>Convenience Store</t>
        </is>
      </c>
      <c r="E157" s="10" t="inlineStr">
        <is>
          <t>Low</t>
        </is>
      </c>
      <c r="F157" s="10" t="inlineStr">
        <is>
          <t>01484 644192</t>
        </is>
      </c>
      <c r="G157" s="10" t="inlineStr"/>
      <c r="H157" s="10" t="inlineStr"/>
      <c r="I157" s="10" t="inlineStr"/>
      <c r="J157" s="10" t="inlineStr"/>
      <c r="K157" s="10" t="inlineStr">
        <is>
          <t>New</t>
        </is>
      </c>
      <c r="L157" s="10" t="inlineStr">
        <is>
          <t>2026-09-16</t>
        </is>
      </c>
      <c r="M157" s="10" t="inlineStr"/>
      <c r="N157" s="10" t="inlineStr"/>
      <c r="O157" s="10" t="inlineStr"/>
      <c r="P157" s="10" t="inlineStr"/>
      <c r="Q157" s="10" t="inlineStr"/>
      <c r="R157" s="10" t="inlineStr"/>
      <c r="S157" s="10" t="inlineStr"/>
      <c r="T157" s="10" t="inlineStr">
        <is>
          <t>No</t>
        </is>
      </c>
      <c r="U157" s="10" t="inlineStr">
        <is>
          <t>Legitimate interest (B2B) - assess per campaign; PECR: corporate subscribers</t>
        </is>
      </c>
    </row>
    <row r="158">
      <c r="A158" s="5" t="inlineStr">
        <is>
          <t>WY-0103</t>
        </is>
      </c>
      <c r="B158" s="5" t="inlineStr">
        <is>
          <t>Kash News &amp; Gifts</t>
        </is>
      </c>
      <c r="C158" s="5" t="inlineStr">
        <is>
          <t>Brighouse</t>
        </is>
      </c>
      <c r="D158" s="5" t="inlineStr">
        <is>
          <t>Newsagent</t>
        </is>
      </c>
      <c r="E158" s="5" t="inlineStr">
        <is>
          <t>Low</t>
        </is>
      </c>
      <c r="F158" s="5" t="inlineStr">
        <is>
          <t>01484 400405</t>
        </is>
      </c>
      <c r="G158" s="5" t="inlineStr"/>
      <c r="H158" s="5" t="inlineStr"/>
      <c r="I158" s="5" t="inlineStr"/>
      <c r="J158" s="5" t="inlineStr"/>
      <c r="K158" s="5" t="inlineStr">
        <is>
          <t>New</t>
        </is>
      </c>
      <c r="L158" s="5" t="inlineStr">
        <is>
          <t>2026-09-16</t>
        </is>
      </c>
      <c r="M158" s="5" t="inlineStr"/>
      <c r="N158" s="5" t="inlineStr"/>
      <c r="O158" s="5" t="inlineStr"/>
      <c r="P158" s="5" t="inlineStr"/>
      <c r="Q158" s="5" t="inlineStr"/>
      <c r="R158" s="5" t="inlineStr"/>
      <c r="S158" s="5" t="inlineStr"/>
      <c r="T158" s="5" t="inlineStr">
        <is>
          <t>No</t>
        </is>
      </c>
      <c r="U158" s="5" t="inlineStr">
        <is>
          <t>Legitimate interest (B2B) - assess per campaign; PECR: corporate subscribers</t>
        </is>
      </c>
    </row>
    <row r="159">
      <c r="A159" s="10" t="inlineStr">
        <is>
          <t>WY-0104</t>
        </is>
      </c>
      <c r="B159" s="10" t="inlineStr">
        <is>
          <t>Keep In Touch</t>
        </is>
      </c>
      <c r="C159" s="10" t="inlineStr">
        <is>
          <t>Castleford</t>
        </is>
      </c>
      <c r="D159" s="10" t="inlineStr">
        <is>
          <t>Newsagent</t>
        </is>
      </c>
      <c r="E159" s="10" t="inlineStr">
        <is>
          <t>Low</t>
        </is>
      </c>
      <c r="F159" s="10" t="inlineStr"/>
      <c r="G159" s="10" t="inlineStr"/>
      <c r="H159" s="10" t="inlineStr"/>
      <c r="I159" s="10" t="inlineStr"/>
      <c r="J159" s="10" t="inlineStr"/>
      <c r="K159" s="10" t="inlineStr">
        <is>
          <t>New</t>
        </is>
      </c>
      <c r="L159" s="10" t="inlineStr">
        <is>
          <t>2026-09-16</t>
        </is>
      </c>
      <c r="M159" s="10" t="inlineStr"/>
      <c r="N159" s="10" t="inlineStr"/>
      <c r="O159" s="10" t="inlineStr"/>
      <c r="P159" s="10" t="inlineStr"/>
      <c r="Q159" s="10" t="inlineStr"/>
      <c r="R159" s="10" t="inlineStr"/>
      <c r="S159" s="10" t="inlineStr"/>
      <c r="T159" s="10" t="inlineStr">
        <is>
          <t>No</t>
        </is>
      </c>
      <c r="U159" s="10" t="inlineStr">
        <is>
          <t>Legitimate interest (B2B) - assess per campaign; PECR: corporate subscribers</t>
        </is>
      </c>
    </row>
    <row r="160">
      <c r="A160" s="5" t="inlineStr">
        <is>
          <t>WY-0105</t>
        </is>
      </c>
      <c r="B160" s="5" t="inlineStr">
        <is>
          <t>Keighley Newsagent</t>
        </is>
      </c>
      <c r="C160" s="5" t="inlineStr">
        <is>
          <t>Keighley</t>
        </is>
      </c>
      <c r="D160" s="5" t="inlineStr">
        <is>
          <t>Newsagent</t>
        </is>
      </c>
      <c r="E160" s="5" t="inlineStr">
        <is>
          <t>Low</t>
        </is>
      </c>
      <c r="F160" s="5" t="inlineStr"/>
      <c r="G160" s="5" t="inlineStr"/>
      <c r="H160" s="5" t="inlineStr"/>
      <c r="I160" s="5" t="inlineStr"/>
      <c r="J160" s="5" t="inlineStr"/>
      <c r="K160" s="5" t="inlineStr">
        <is>
          <t>New</t>
        </is>
      </c>
      <c r="L160" s="5" t="inlineStr">
        <is>
          <t>2026-09-16</t>
        </is>
      </c>
      <c r="M160" s="5" t="inlineStr"/>
      <c r="N160" s="5" t="inlineStr"/>
      <c r="O160" s="5" t="inlineStr"/>
      <c r="P160" s="5" t="inlineStr"/>
      <c r="Q160" s="5" t="inlineStr"/>
      <c r="R160" s="5" t="inlineStr"/>
      <c r="S160" s="5" t="inlineStr"/>
      <c r="T160" s="5" t="inlineStr">
        <is>
          <t>No</t>
        </is>
      </c>
      <c r="U160" s="5" t="inlineStr">
        <is>
          <t>Legitimate interest (B2B) - assess per campaign; PECR: corporate subscribers</t>
        </is>
      </c>
    </row>
    <row r="161">
      <c r="A161" s="10" t="inlineStr">
        <is>
          <t>WY-0106</t>
        </is>
      </c>
      <c r="B161" s="10" t="inlineStr">
        <is>
          <t>Khadim Supersave</t>
        </is>
      </c>
      <c r="C161" s="10" t="inlineStr">
        <is>
          <t>Huddersfield</t>
        </is>
      </c>
      <c r="D161" s="10" t="inlineStr">
        <is>
          <t>Independent Supermarket</t>
        </is>
      </c>
      <c r="E161" s="10" t="inlineStr">
        <is>
          <t>Low</t>
        </is>
      </c>
      <c r="F161" s="10" t="inlineStr">
        <is>
          <t>01484 360513</t>
        </is>
      </c>
      <c r="G161" s="10" t="inlineStr"/>
      <c r="H161" s="10" t="inlineStr"/>
      <c r="I161" s="10" t="inlineStr"/>
      <c r="J161" s="10" t="inlineStr"/>
      <c r="K161" s="10" t="inlineStr">
        <is>
          <t>New</t>
        </is>
      </c>
      <c r="L161" s="10" t="inlineStr">
        <is>
          <t>2026-09-16</t>
        </is>
      </c>
      <c r="M161" s="10" t="inlineStr"/>
      <c r="N161" s="10" t="inlineStr"/>
      <c r="O161" s="10" t="inlineStr"/>
      <c r="P161" s="10" t="inlineStr"/>
      <c r="Q161" s="10" t="inlineStr"/>
      <c r="R161" s="10" t="inlineStr"/>
      <c r="S161" s="10" t="inlineStr"/>
      <c r="T161" s="10" t="inlineStr">
        <is>
          <t>No</t>
        </is>
      </c>
      <c r="U161" s="10" t="inlineStr">
        <is>
          <t>Legitimate interest (B2B) - assess per campaign; PECR: corporate subscribers</t>
        </is>
      </c>
    </row>
    <row r="162">
      <c r="A162" s="5" t="inlineStr">
        <is>
          <t>WY-0107</t>
        </is>
      </c>
      <c r="B162" s="5" t="inlineStr">
        <is>
          <t>Kubus International Food</t>
        </is>
      </c>
      <c r="C162" s="5" t="inlineStr">
        <is>
          <t>Wakefield</t>
        </is>
      </c>
      <c r="D162" s="5" t="inlineStr">
        <is>
          <t>Convenience Store</t>
        </is>
      </c>
      <c r="E162" s="5" t="inlineStr">
        <is>
          <t>Low</t>
        </is>
      </c>
      <c r="F162" s="5" t="inlineStr"/>
      <c r="G162" s="5" t="inlineStr"/>
      <c r="H162" s="5" t="inlineStr"/>
      <c r="I162" s="5" t="inlineStr"/>
      <c r="J162" s="5" t="inlineStr"/>
      <c r="K162" s="5" t="inlineStr">
        <is>
          <t>New</t>
        </is>
      </c>
      <c r="L162" s="5" t="inlineStr">
        <is>
          <t>2026-09-16</t>
        </is>
      </c>
      <c r="M162" s="5" t="inlineStr"/>
      <c r="N162" s="5" t="inlineStr"/>
      <c r="O162" s="5" t="inlineStr"/>
      <c r="P162" s="5" t="inlineStr"/>
      <c r="Q162" s="5" t="inlineStr"/>
      <c r="R162" s="5" t="inlineStr"/>
      <c r="S162" s="5" t="inlineStr"/>
      <c r="T162" s="5" t="inlineStr">
        <is>
          <t>No</t>
        </is>
      </c>
      <c r="U162" s="5" t="inlineStr">
        <is>
          <t>Legitimate interest (B2B) - assess per campaign; PECR: corporate subscribers</t>
        </is>
      </c>
    </row>
    <row r="163">
      <c r="A163" s="10" t="inlineStr">
        <is>
          <t>WY-0111</t>
        </is>
      </c>
      <c r="B163" s="10" t="inlineStr">
        <is>
          <t>Local Convenience Store (Elsinore Avenue)</t>
        </is>
      </c>
      <c r="C163" s="10" t="inlineStr">
        <is>
          <t>Elland</t>
        </is>
      </c>
      <c r="D163" s="10" t="inlineStr">
        <is>
          <t>Convenience Store</t>
        </is>
      </c>
      <c r="E163" s="10" t="inlineStr">
        <is>
          <t>Low</t>
        </is>
      </c>
      <c r="F163" s="10" t="inlineStr"/>
      <c r="G163" s="10" t="inlineStr"/>
      <c r="H163" s="10" t="inlineStr"/>
      <c r="I163" s="10" t="inlineStr"/>
      <c r="J163" s="10" t="inlineStr"/>
      <c r="K163" s="10" t="inlineStr">
        <is>
          <t>New</t>
        </is>
      </c>
      <c r="L163" s="10" t="inlineStr">
        <is>
          <t>2026-09-16</t>
        </is>
      </c>
      <c r="M163" s="10" t="inlineStr"/>
      <c r="N163" s="10" t="inlineStr"/>
      <c r="O163" s="10" t="inlineStr"/>
      <c r="P163" s="10" t="inlineStr"/>
      <c r="Q163" s="10" t="inlineStr"/>
      <c r="R163" s="10" t="inlineStr"/>
      <c r="S163" s="10" t="inlineStr"/>
      <c r="T163" s="10" t="inlineStr">
        <is>
          <t>No</t>
        </is>
      </c>
      <c r="U163" s="10" t="inlineStr">
        <is>
          <t>Legitimate interest (B2B) - assess per campaign; PECR: corporate subscribers</t>
        </is>
      </c>
    </row>
    <row r="164">
      <c r="A164" s="5" t="inlineStr">
        <is>
          <t>WY-0112</t>
        </is>
      </c>
      <c r="B164" s="5" t="inlineStr">
        <is>
          <t>Local Express Off Licence</t>
        </is>
      </c>
      <c r="C164" s="5" t="inlineStr">
        <is>
          <t>Batley</t>
        </is>
      </c>
      <c r="D164" s="5" t="inlineStr">
        <is>
          <t>Off-Licence</t>
        </is>
      </c>
      <c r="E164" s="5" t="inlineStr">
        <is>
          <t>Low</t>
        </is>
      </c>
      <c r="F164" s="5" t="inlineStr"/>
      <c r="G164" s="5" t="inlineStr"/>
      <c r="H164" s="5" t="inlineStr"/>
      <c r="I164" s="5" t="inlineStr"/>
      <c r="J164" s="5" t="inlineStr"/>
      <c r="K164" s="5" t="inlineStr">
        <is>
          <t>New</t>
        </is>
      </c>
      <c r="L164" s="5" t="inlineStr">
        <is>
          <t>2026-09-16</t>
        </is>
      </c>
      <c r="M164" s="5" t="inlineStr"/>
      <c r="N164" s="5" t="inlineStr"/>
      <c r="O164" s="5" t="inlineStr"/>
      <c r="P164" s="5" t="inlineStr"/>
      <c r="Q164" s="5" t="inlineStr"/>
      <c r="R164" s="5" t="inlineStr"/>
      <c r="S164" s="5" t="inlineStr"/>
      <c r="T164" s="5" t="inlineStr">
        <is>
          <t>No</t>
        </is>
      </c>
      <c r="U164" s="5" t="inlineStr">
        <is>
          <t>Legitimate interest (B2B) - assess per campaign; PECR: corporate subscribers</t>
        </is>
      </c>
    </row>
    <row r="165">
      <c r="A165" s="10" t="inlineStr">
        <is>
          <t>WY-0117</t>
        </is>
      </c>
      <c r="B165" s="10" t="inlineStr">
        <is>
          <t>Mace News &amp; Off Licence</t>
        </is>
      </c>
      <c r="C165" s="10" t="inlineStr">
        <is>
          <t>Shipley</t>
        </is>
      </c>
      <c r="D165" s="10" t="inlineStr">
        <is>
          <t>Newsagent</t>
        </is>
      </c>
      <c r="E165" s="10" t="inlineStr">
        <is>
          <t>Low</t>
        </is>
      </c>
      <c r="F165" s="10" t="inlineStr"/>
      <c r="G165" s="10" t="inlineStr"/>
      <c r="H165" s="10" t="inlineStr"/>
      <c r="I165" s="10" t="inlineStr"/>
      <c r="J165" s="10" t="inlineStr"/>
      <c r="K165" s="10" t="inlineStr">
        <is>
          <t>New</t>
        </is>
      </c>
      <c r="L165" s="10" t="inlineStr">
        <is>
          <t>2026-09-16</t>
        </is>
      </c>
      <c r="M165" s="10" t="inlineStr"/>
      <c r="N165" s="10" t="inlineStr"/>
      <c r="O165" s="10" t="inlineStr"/>
      <c r="P165" s="10" t="inlineStr"/>
      <c r="Q165" s="10" t="inlineStr"/>
      <c r="R165" s="10" t="inlineStr"/>
      <c r="S165" s="10" t="inlineStr"/>
      <c r="T165" s="10" t="inlineStr">
        <is>
          <t>No</t>
        </is>
      </c>
      <c r="U165" s="10" t="inlineStr">
        <is>
          <t>Legitimate interest (B2B) - assess per campaign; PECR: corporate subscribers</t>
        </is>
      </c>
    </row>
    <row r="166">
      <c r="A166" s="5" t="inlineStr">
        <is>
          <t>WY-0119</t>
        </is>
      </c>
      <c r="B166" s="5" t="inlineStr">
        <is>
          <t>Matharu Newsagents</t>
        </is>
      </c>
      <c r="C166" s="5" t="inlineStr">
        <is>
          <t>Leeds</t>
        </is>
      </c>
      <c r="D166" s="5" t="inlineStr">
        <is>
          <t>Newsagent</t>
        </is>
      </c>
      <c r="E166" s="5" t="inlineStr">
        <is>
          <t>Low</t>
        </is>
      </c>
      <c r="F166" s="5" t="inlineStr">
        <is>
          <t>0113 275 1851</t>
        </is>
      </c>
      <c r="G166" s="5" t="inlineStr"/>
      <c r="H166" s="5" t="inlineStr"/>
      <c r="I166" s="5" t="inlineStr"/>
      <c r="J166" s="5" t="inlineStr"/>
      <c r="K166" s="5" t="inlineStr">
        <is>
          <t>New</t>
        </is>
      </c>
      <c r="L166" s="5" t="inlineStr">
        <is>
          <t>2026-09-16</t>
        </is>
      </c>
      <c r="M166" s="5" t="inlineStr"/>
      <c r="N166" s="5" t="inlineStr"/>
      <c r="O166" s="5" t="inlineStr"/>
      <c r="P166" s="5" t="inlineStr"/>
      <c r="Q166" s="5" t="inlineStr"/>
      <c r="R166" s="5" t="inlineStr"/>
      <c r="S166" s="5" t="inlineStr"/>
      <c r="T166" s="5" t="inlineStr">
        <is>
          <t>No</t>
        </is>
      </c>
      <c r="U166" s="5" t="inlineStr">
        <is>
          <t>Legitimate interest (B2B) - assess per campaign; PECR: corporate subscribers</t>
        </is>
      </c>
    </row>
    <row r="167">
      <c r="A167" s="10" t="inlineStr">
        <is>
          <t>WY-0120</t>
        </is>
      </c>
      <c r="B167" s="10" t="inlineStr">
        <is>
          <t>Meltham Convenience Store</t>
        </is>
      </c>
      <c r="C167" s="10" t="inlineStr">
        <is>
          <t>Meltham</t>
        </is>
      </c>
      <c r="D167" s="10" t="inlineStr">
        <is>
          <t>Convenience Store</t>
        </is>
      </c>
      <c r="E167" s="10" t="inlineStr">
        <is>
          <t>Low</t>
        </is>
      </c>
      <c r="F167" s="10" t="inlineStr">
        <is>
          <t>01484 618211</t>
        </is>
      </c>
      <c r="G167" s="10" t="inlineStr"/>
      <c r="H167" s="10" t="inlineStr"/>
      <c r="I167" s="10" t="inlineStr"/>
      <c r="J167" s="10" t="inlineStr"/>
      <c r="K167" s="10" t="inlineStr">
        <is>
          <t>New</t>
        </is>
      </c>
      <c r="L167" s="10" t="inlineStr">
        <is>
          <t>2026-09-16</t>
        </is>
      </c>
      <c r="M167" s="10" t="inlineStr"/>
      <c r="N167" s="10" t="inlineStr"/>
      <c r="O167" s="10" t="inlineStr"/>
      <c r="P167" s="10" t="inlineStr"/>
      <c r="Q167" s="10" t="inlineStr"/>
      <c r="R167" s="10" t="inlineStr"/>
      <c r="S167" s="10" t="inlineStr"/>
      <c r="T167" s="10" t="inlineStr">
        <is>
          <t>No</t>
        </is>
      </c>
      <c r="U167" s="10" t="inlineStr">
        <is>
          <t>Legitimate interest (B2B) - assess per campaign; PECR: corporate subscribers</t>
        </is>
      </c>
    </row>
    <row r="168">
      <c r="A168" s="5" t="inlineStr">
        <is>
          <t>WY-0122</t>
        </is>
      </c>
      <c r="B168" s="5" t="inlineStr">
        <is>
          <t>Mount Pellon Newsagent</t>
        </is>
      </c>
      <c r="C168" s="5" t="inlineStr">
        <is>
          <t>Halifax</t>
        </is>
      </c>
      <c r="D168" s="5" t="inlineStr">
        <is>
          <t>Newsagent</t>
        </is>
      </c>
      <c r="E168" s="5" t="inlineStr">
        <is>
          <t>Low</t>
        </is>
      </c>
      <c r="F168" s="5" t="inlineStr">
        <is>
          <t>01422 361609</t>
        </is>
      </c>
      <c r="G168" s="5" t="inlineStr"/>
      <c r="H168" s="5" t="inlineStr"/>
      <c r="I168" s="5" t="inlineStr"/>
      <c r="J168" s="5" t="inlineStr"/>
      <c r="K168" s="5" t="inlineStr">
        <is>
          <t>New</t>
        </is>
      </c>
      <c r="L168" s="5" t="inlineStr">
        <is>
          <t>2026-09-16</t>
        </is>
      </c>
      <c r="M168" s="5" t="inlineStr"/>
      <c r="N168" s="5" t="inlineStr"/>
      <c r="O168" s="5" t="inlineStr"/>
      <c r="P168" s="5" t="inlineStr"/>
      <c r="Q168" s="5" t="inlineStr"/>
      <c r="R168" s="5" t="inlineStr"/>
      <c r="S168" s="5" t="inlineStr"/>
      <c r="T168" s="5" t="inlineStr">
        <is>
          <t>No</t>
        </is>
      </c>
      <c r="U168" s="5" t="inlineStr">
        <is>
          <t>Legitimate interest (B2B) - assess per campaign; PECR: corporate subscribers</t>
        </is>
      </c>
    </row>
    <row r="169">
      <c r="A169" s="10" t="inlineStr">
        <is>
          <t>WY-0124</t>
        </is>
      </c>
      <c r="B169" s="10" t="inlineStr">
        <is>
          <t>Mytholmroyd Post Office</t>
        </is>
      </c>
      <c r="C169" s="10" t="inlineStr">
        <is>
          <t>Mytholmroyd</t>
        </is>
      </c>
      <c r="D169" s="10" t="inlineStr">
        <is>
          <t>Convenience Store</t>
        </is>
      </c>
      <c r="E169" s="10" t="inlineStr">
        <is>
          <t>Low</t>
        </is>
      </c>
      <c r="F169" s="10" t="inlineStr"/>
      <c r="G169" s="10" t="inlineStr"/>
      <c r="H169" s="10" t="inlineStr"/>
      <c r="I169" s="10" t="inlineStr"/>
      <c r="J169" s="10" t="inlineStr"/>
      <c r="K169" s="10" t="inlineStr">
        <is>
          <t>New</t>
        </is>
      </c>
      <c r="L169" s="10" t="inlineStr">
        <is>
          <t>2026-09-16</t>
        </is>
      </c>
      <c r="M169" s="10" t="inlineStr"/>
      <c r="N169" s="10" t="inlineStr"/>
      <c r="O169" s="10" t="inlineStr"/>
      <c r="P169" s="10" t="inlineStr"/>
      <c r="Q169" s="10" t="inlineStr"/>
      <c r="R169" s="10" t="inlineStr"/>
      <c r="S169" s="10" t="inlineStr"/>
      <c r="T169" s="10" t="inlineStr">
        <is>
          <t>No</t>
        </is>
      </c>
      <c r="U169" s="10" t="inlineStr">
        <is>
          <t>Legitimate interest (B2B) - assess per campaign; PECR: corporate subscribers</t>
        </is>
      </c>
    </row>
    <row r="170">
      <c r="A170" s="5" t="inlineStr">
        <is>
          <t>WY-0126</t>
        </is>
      </c>
      <c r="B170" s="5" t="inlineStr">
        <is>
          <t>Northowram Post Office</t>
        </is>
      </c>
      <c r="C170" s="5" t="inlineStr">
        <is>
          <t>Halifax</t>
        </is>
      </c>
      <c r="D170" s="5" t="inlineStr">
        <is>
          <t>Convenience Store</t>
        </is>
      </c>
      <c r="E170" s="5" t="inlineStr">
        <is>
          <t>Low</t>
        </is>
      </c>
      <c r="F170" s="5" t="inlineStr"/>
      <c r="G170" s="5" t="inlineStr"/>
      <c r="H170" s="5" t="inlineStr"/>
      <c r="I170" s="5" t="inlineStr"/>
      <c r="J170" s="5" t="inlineStr"/>
      <c r="K170" s="5" t="inlineStr">
        <is>
          <t>New</t>
        </is>
      </c>
      <c r="L170" s="5" t="inlineStr">
        <is>
          <t>2026-09-16</t>
        </is>
      </c>
      <c r="M170" s="5" t="inlineStr"/>
      <c r="N170" s="5" t="inlineStr"/>
      <c r="O170" s="5" t="inlineStr"/>
      <c r="P170" s="5" t="inlineStr"/>
      <c r="Q170" s="5" t="inlineStr"/>
      <c r="R170" s="5" t="inlineStr"/>
      <c r="S170" s="5" t="inlineStr"/>
      <c r="T170" s="5" t="inlineStr">
        <is>
          <t>No</t>
        </is>
      </c>
      <c r="U170" s="5" t="inlineStr">
        <is>
          <t>Legitimate interest (B2B) - assess per campaign; PECR: corporate subscribers</t>
        </is>
      </c>
    </row>
    <row r="171">
      <c r="A171" s="10" t="inlineStr">
        <is>
          <t>WY-0128</t>
        </is>
      </c>
      <c r="B171" s="10" t="inlineStr">
        <is>
          <t>Off Licence and Convenience Store (Cutsyke)</t>
        </is>
      </c>
      <c r="C171" s="10" t="inlineStr">
        <is>
          <t>Castleford</t>
        </is>
      </c>
      <c r="D171" s="10" t="inlineStr">
        <is>
          <t>Off-Licence</t>
        </is>
      </c>
      <c r="E171" s="10" t="inlineStr">
        <is>
          <t>Low</t>
        </is>
      </c>
      <c r="F171" s="10" t="inlineStr"/>
      <c r="G171" s="10" t="inlineStr"/>
      <c r="H171" s="10" t="inlineStr"/>
      <c r="I171" s="10" t="inlineStr"/>
      <c r="J171" s="10" t="inlineStr"/>
      <c r="K171" s="10" t="inlineStr">
        <is>
          <t>New</t>
        </is>
      </c>
      <c r="L171" s="10" t="inlineStr">
        <is>
          <t>2026-09-16</t>
        </is>
      </c>
      <c r="M171" s="10" t="inlineStr"/>
      <c r="N171" s="10" t="inlineStr"/>
      <c r="O171" s="10" t="inlineStr"/>
      <c r="P171" s="10" t="inlineStr"/>
      <c r="Q171" s="10" t="inlineStr"/>
      <c r="R171" s="10" t="inlineStr"/>
      <c r="S171" s="10" t="inlineStr"/>
      <c r="T171" s="10" t="inlineStr">
        <is>
          <t>No</t>
        </is>
      </c>
      <c r="U171" s="10" t="inlineStr">
        <is>
          <t>Legitimate interest (B2B) - assess per campaign; PECR: corporate subscribers</t>
        </is>
      </c>
    </row>
    <row r="172">
      <c r="A172" s="5" t="inlineStr">
        <is>
          <t>WY-0129</t>
        </is>
      </c>
      <c r="B172" s="5" t="inlineStr">
        <is>
          <t>Outwood Express</t>
        </is>
      </c>
      <c r="C172" s="5" t="inlineStr">
        <is>
          <t>Wakefield</t>
        </is>
      </c>
      <c r="D172" s="5" t="inlineStr">
        <is>
          <t>Convenience Store</t>
        </is>
      </c>
      <c r="E172" s="5" t="inlineStr">
        <is>
          <t>Low</t>
        </is>
      </c>
      <c r="F172" s="5" t="inlineStr"/>
      <c r="G172" s="5" t="inlineStr"/>
      <c r="H172" s="5" t="inlineStr"/>
      <c r="I172" s="5" t="inlineStr"/>
      <c r="J172" s="5" t="inlineStr"/>
      <c r="K172" s="5" t="inlineStr">
        <is>
          <t>New</t>
        </is>
      </c>
      <c r="L172" s="5" t="inlineStr">
        <is>
          <t>2026-09-16</t>
        </is>
      </c>
      <c r="M172" s="5" t="inlineStr"/>
      <c r="N172" s="5" t="inlineStr"/>
      <c r="O172" s="5" t="inlineStr"/>
      <c r="P172" s="5" t="inlineStr"/>
      <c r="Q172" s="5" t="inlineStr"/>
      <c r="R172" s="5" t="inlineStr"/>
      <c r="S172" s="5" t="inlineStr"/>
      <c r="T172" s="5" t="inlineStr">
        <is>
          <t>No</t>
        </is>
      </c>
      <c r="U172" s="5" t="inlineStr">
        <is>
          <t>Legitimate interest (B2B) - assess per campaign; PECR: corporate subscribers</t>
        </is>
      </c>
    </row>
    <row r="173">
      <c r="A173" s="10" t="inlineStr">
        <is>
          <t>WY-0133</t>
        </is>
      </c>
      <c r="B173" s="10" t="inlineStr">
        <is>
          <t>Premier (Bingley Convenience Store)</t>
        </is>
      </c>
      <c r="C173" s="10" t="inlineStr">
        <is>
          <t>Bingley</t>
        </is>
      </c>
      <c r="D173" s="10" t="inlineStr">
        <is>
          <t>Convenience Store</t>
        </is>
      </c>
      <c r="E173" s="10" t="inlineStr">
        <is>
          <t>Low</t>
        </is>
      </c>
      <c r="F173" s="10" t="inlineStr"/>
      <c r="G173" s="10" t="inlineStr"/>
      <c r="H173" s="10" t="inlineStr"/>
      <c r="I173" s="10" t="inlineStr"/>
      <c r="J173" s="10" t="inlineStr"/>
      <c r="K173" s="10" t="inlineStr">
        <is>
          <t>New</t>
        </is>
      </c>
      <c r="L173" s="10" t="inlineStr">
        <is>
          <t>2026-09-16</t>
        </is>
      </c>
      <c r="M173" s="10" t="inlineStr"/>
      <c r="N173" s="10" t="inlineStr"/>
      <c r="O173" s="10" t="inlineStr"/>
      <c r="P173" s="10" t="inlineStr"/>
      <c r="Q173" s="10" t="inlineStr"/>
      <c r="R173" s="10" t="inlineStr"/>
      <c r="S173" s="10" t="inlineStr"/>
      <c r="T173" s="10" t="inlineStr">
        <is>
          <t>No</t>
        </is>
      </c>
      <c r="U173" s="10" t="inlineStr">
        <is>
          <t>Legitimate interest (B2B) - assess per campaign; PECR: corporate subscribers</t>
        </is>
      </c>
    </row>
    <row r="174">
      <c r="A174" s="5" t="inlineStr">
        <is>
          <t>WY-0134</t>
        </is>
      </c>
      <c r="B174" s="5" t="inlineStr">
        <is>
          <t>Premier Hemsworth</t>
        </is>
      </c>
      <c r="C174" s="5" t="inlineStr">
        <is>
          <t>Hemsworth</t>
        </is>
      </c>
      <c r="D174" s="5" t="inlineStr">
        <is>
          <t>Convenience Store</t>
        </is>
      </c>
      <c r="E174" s="5" t="inlineStr">
        <is>
          <t>Low</t>
        </is>
      </c>
      <c r="F174" s="5" t="inlineStr"/>
      <c r="G174" s="5" t="inlineStr"/>
      <c r="H174" s="5" t="inlineStr"/>
      <c r="I174" s="5" t="inlineStr"/>
      <c r="J174" s="5" t="inlineStr"/>
      <c r="K174" s="5" t="inlineStr">
        <is>
          <t>New</t>
        </is>
      </c>
      <c r="L174" s="5" t="inlineStr">
        <is>
          <t>2026-09-16</t>
        </is>
      </c>
      <c r="M174" s="5" t="inlineStr"/>
      <c r="N174" s="5" t="inlineStr"/>
      <c r="O174" s="5" t="inlineStr"/>
      <c r="P174" s="5" t="inlineStr"/>
      <c r="Q174" s="5" t="inlineStr"/>
      <c r="R174" s="5" t="inlineStr"/>
      <c r="S174" s="5" t="inlineStr"/>
      <c r="T174" s="5" t="inlineStr">
        <is>
          <t>No</t>
        </is>
      </c>
      <c r="U174" s="5" t="inlineStr">
        <is>
          <t>Legitimate interest (B2B) - assess per campaign; PECR: corporate subscribers</t>
        </is>
      </c>
    </row>
    <row r="175">
      <c r="A175" s="10" t="inlineStr">
        <is>
          <t>WY-0136</t>
        </is>
      </c>
      <c r="B175" s="10" t="inlineStr">
        <is>
          <t>Quix Newsagents, Off Licence &amp; Convenience Store</t>
        </is>
      </c>
      <c r="C175" s="10" t="inlineStr">
        <is>
          <t>Shipley</t>
        </is>
      </c>
      <c r="D175" s="10" t="inlineStr">
        <is>
          <t>Convenience Store</t>
        </is>
      </c>
      <c r="E175" s="10" t="inlineStr">
        <is>
          <t>Low</t>
        </is>
      </c>
      <c r="F175" s="10" t="inlineStr"/>
      <c r="G175" s="10" t="inlineStr"/>
      <c r="H175" s="10" t="inlineStr"/>
      <c r="I175" s="10" t="inlineStr"/>
      <c r="J175" s="10" t="inlineStr"/>
      <c r="K175" s="10" t="inlineStr">
        <is>
          <t>New</t>
        </is>
      </c>
      <c r="L175" s="10" t="inlineStr">
        <is>
          <t>2026-09-16</t>
        </is>
      </c>
      <c r="M175" s="10" t="inlineStr"/>
      <c r="N175" s="10" t="inlineStr"/>
      <c r="O175" s="10" t="inlineStr"/>
      <c r="P175" s="10" t="inlineStr"/>
      <c r="Q175" s="10" t="inlineStr"/>
      <c r="R175" s="10" t="inlineStr"/>
      <c r="S175" s="10" t="inlineStr"/>
      <c r="T175" s="10" t="inlineStr">
        <is>
          <t>No</t>
        </is>
      </c>
      <c r="U175" s="10" t="inlineStr">
        <is>
          <t>Legitimate interest (B2B) - assess per campaign; PECR: corporate subscribers</t>
        </is>
      </c>
    </row>
    <row r="176">
      <c r="A176" s="5" t="inlineStr">
        <is>
          <t>WY-0137</t>
        </is>
      </c>
      <c r="B176" s="5" t="inlineStr">
        <is>
          <t>Rahien Mini Market</t>
        </is>
      </c>
      <c r="C176" s="5" t="inlineStr">
        <is>
          <t>Leeds</t>
        </is>
      </c>
      <c r="D176" s="5" t="inlineStr">
        <is>
          <t>Convenience Store</t>
        </is>
      </c>
      <c r="E176" s="5" t="inlineStr">
        <is>
          <t>Low</t>
        </is>
      </c>
      <c r="F176" s="5" t="inlineStr"/>
      <c r="G176" s="5" t="inlineStr"/>
      <c r="H176" s="5" t="inlineStr"/>
      <c r="I176" s="5" t="inlineStr"/>
      <c r="J176" s="5" t="inlineStr"/>
      <c r="K176" s="5" t="inlineStr">
        <is>
          <t>New</t>
        </is>
      </c>
      <c r="L176" s="5" t="inlineStr">
        <is>
          <t>2026-09-16</t>
        </is>
      </c>
      <c r="M176" s="5" t="inlineStr"/>
      <c r="N176" s="5" t="inlineStr"/>
      <c r="O176" s="5" t="inlineStr"/>
      <c r="P176" s="5" t="inlineStr"/>
      <c r="Q176" s="5" t="inlineStr"/>
      <c r="R176" s="5" t="inlineStr"/>
      <c r="S176" s="5" t="inlineStr"/>
      <c r="T176" s="5" t="inlineStr">
        <is>
          <t>No</t>
        </is>
      </c>
      <c r="U176" s="5" t="inlineStr">
        <is>
          <t>Legitimate interest (B2B) - assess per campaign; PECR: corporate subscribers</t>
        </is>
      </c>
    </row>
    <row r="177">
      <c r="A177" s="10" t="inlineStr">
        <is>
          <t>WY-0144</t>
        </is>
      </c>
      <c r="B177" s="10" t="inlineStr">
        <is>
          <t>Select Newsagent</t>
        </is>
      </c>
      <c r="C177" s="10" t="inlineStr">
        <is>
          <t>Mirfield</t>
        </is>
      </c>
      <c r="D177" s="10" t="inlineStr">
        <is>
          <t>Newsagent</t>
        </is>
      </c>
      <c r="E177" s="10" t="inlineStr">
        <is>
          <t>Low</t>
        </is>
      </c>
      <c r="F177" s="10" t="inlineStr">
        <is>
          <t>01924 695779</t>
        </is>
      </c>
      <c r="G177" s="10" t="inlineStr"/>
      <c r="H177" s="10" t="inlineStr"/>
      <c r="I177" s="10" t="inlineStr"/>
      <c r="J177" s="10" t="inlineStr"/>
      <c r="K177" s="10" t="inlineStr">
        <is>
          <t>New</t>
        </is>
      </c>
      <c r="L177" s="10" t="inlineStr">
        <is>
          <t>2026-09-16</t>
        </is>
      </c>
      <c r="M177" s="10" t="inlineStr"/>
      <c r="N177" s="10" t="inlineStr"/>
      <c r="O177" s="10" t="inlineStr"/>
      <c r="P177" s="10" t="inlineStr"/>
      <c r="Q177" s="10" t="inlineStr"/>
      <c r="R177" s="10" t="inlineStr"/>
      <c r="S177" s="10" t="inlineStr"/>
      <c r="T177" s="10" t="inlineStr">
        <is>
          <t>No</t>
        </is>
      </c>
      <c r="U177" s="10" t="inlineStr">
        <is>
          <t>Legitimate interest (B2B) - assess per campaign; PECR: corporate subscribers</t>
        </is>
      </c>
    </row>
    <row r="178">
      <c r="A178" s="5" t="inlineStr">
        <is>
          <t>WY-0146</t>
        </is>
      </c>
      <c r="B178" s="5" t="inlineStr">
        <is>
          <t>Sheepridge Off Licence</t>
        </is>
      </c>
      <c r="C178" s="5" t="inlineStr">
        <is>
          <t>Huddersfield</t>
        </is>
      </c>
      <c r="D178" s="5" t="inlineStr">
        <is>
          <t>Off-Licence</t>
        </is>
      </c>
      <c r="E178" s="5" t="inlineStr">
        <is>
          <t>Low</t>
        </is>
      </c>
      <c r="F178" s="5" t="inlineStr"/>
      <c r="G178" s="5" t="inlineStr"/>
      <c r="H178" s="5" t="inlineStr"/>
      <c r="I178" s="5" t="inlineStr"/>
      <c r="J178" s="5" t="inlineStr"/>
      <c r="K178" s="5" t="inlineStr">
        <is>
          <t>New</t>
        </is>
      </c>
      <c r="L178" s="5" t="inlineStr">
        <is>
          <t>2026-09-16</t>
        </is>
      </c>
      <c r="M178" s="5" t="inlineStr"/>
      <c r="N178" s="5" t="inlineStr"/>
      <c r="O178" s="5" t="inlineStr"/>
      <c r="P178" s="5" t="inlineStr"/>
      <c r="Q178" s="5" t="inlineStr"/>
      <c r="R178" s="5" t="inlineStr"/>
      <c r="S178" s="5" t="inlineStr"/>
      <c r="T178" s="5" t="inlineStr">
        <is>
          <t>No</t>
        </is>
      </c>
      <c r="U178" s="5" t="inlineStr">
        <is>
          <t>Legitimate interest (B2B) - assess per campaign; PECR: corporate subscribers</t>
        </is>
      </c>
    </row>
    <row r="179">
      <c r="A179" s="10" t="inlineStr">
        <is>
          <t>WY-0151</t>
        </is>
      </c>
      <c r="B179" s="10" t="inlineStr">
        <is>
          <t>Soothill Convenience Store &amp; Off Licence</t>
        </is>
      </c>
      <c r="C179" s="10" t="inlineStr">
        <is>
          <t>Batley</t>
        </is>
      </c>
      <c r="D179" s="10" t="inlineStr">
        <is>
          <t>Convenience Store</t>
        </is>
      </c>
      <c r="E179" s="10" t="inlineStr">
        <is>
          <t>Low</t>
        </is>
      </c>
      <c r="F179" s="10" t="inlineStr"/>
      <c r="G179" s="10" t="inlineStr"/>
      <c r="H179" s="10" t="inlineStr"/>
      <c r="I179" s="10" t="inlineStr"/>
      <c r="J179" s="10" t="inlineStr"/>
      <c r="K179" s="10" t="inlineStr">
        <is>
          <t>New</t>
        </is>
      </c>
      <c r="L179" s="10" t="inlineStr">
        <is>
          <t>2026-09-16</t>
        </is>
      </c>
      <c r="M179" s="10" t="inlineStr"/>
      <c r="N179" s="10" t="inlineStr"/>
      <c r="O179" s="10" t="inlineStr"/>
      <c r="P179" s="10" t="inlineStr"/>
      <c r="Q179" s="10" t="inlineStr"/>
      <c r="R179" s="10" t="inlineStr"/>
      <c r="S179" s="10" t="inlineStr"/>
      <c r="T179" s="10" t="inlineStr">
        <is>
          <t>No</t>
        </is>
      </c>
      <c r="U179" s="10" t="inlineStr">
        <is>
          <t>Legitimate interest (B2B) - assess per campaign; PECR: corporate subscribers</t>
        </is>
      </c>
    </row>
    <row r="180">
      <c r="A180" s="5" t="inlineStr">
        <is>
          <t>WY-0152</t>
        </is>
      </c>
      <c r="B180" s="5" t="inlineStr">
        <is>
          <t>Springfield Garage (Keighley)</t>
        </is>
      </c>
      <c r="C180" s="5" t="inlineStr">
        <is>
          <t>Keighley</t>
        </is>
      </c>
      <c r="D180" s="5" t="inlineStr">
        <is>
          <t>Petrol Station / Forecourt</t>
        </is>
      </c>
      <c r="E180" s="5" t="inlineStr">
        <is>
          <t>Low</t>
        </is>
      </c>
      <c r="F180" s="5" t="inlineStr">
        <is>
          <t>01535 604629</t>
        </is>
      </c>
      <c r="G180" s="5" t="inlineStr"/>
      <c r="H180" s="5" t="inlineStr"/>
      <c r="I180" s="5" t="inlineStr"/>
      <c r="J180" s="5" t="inlineStr"/>
      <c r="K180" s="5" t="inlineStr">
        <is>
          <t>New</t>
        </is>
      </c>
      <c r="L180" s="5" t="inlineStr">
        <is>
          <t>2026-09-16</t>
        </is>
      </c>
      <c r="M180" s="5" t="inlineStr"/>
      <c r="N180" s="5" t="inlineStr"/>
      <c r="O180" s="5" t="inlineStr"/>
      <c r="P180" s="5" t="inlineStr"/>
      <c r="Q180" s="5" t="inlineStr"/>
      <c r="R180" s="5" t="inlineStr"/>
      <c r="S180" s="5" t="inlineStr"/>
      <c r="T180" s="5" t="inlineStr">
        <is>
          <t>No</t>
        </is>
      </c>
      <c r="U180" s="5" t="inlineStr">
        <is>
          <t>Legitimate interest (B2B) - assess per campaign; PECR: corporate subscribers</t>
        </is>
      </c>
    </row>
    <row r="181">
      <c r="A181" s="10" t="inlineStr">
        <is>
          <t>WY-0153</t>
        </is>
      </c>
      <c r="B181" s="10" t="inlineStr">
        <is>
          <t>Stainbeck Off Licence (Best-one)</t>
        </is>
      </c>
      <c r="C181" s="10" t="inlineStr">
        <is>
          <t>Leeds</t>
        </is>
      </c>
      <c r="D181" s="10" t="inlineStr">
        <is>
          <t>Off-Licence</t>
        </is>
      </c>
      <c r="E181" s="10" t="inlineStr">
        <is>
          <t>Low</t>
        </is>
      </c>
      <c r="F181" s="10" t="inlineStr"/>
      <c r="G181" s="10" t="inlineStr"/>
      <c r="H181" s="10" t="inlineStr"/>
      <c r="I181" s="10" t="inlineStr"/>
      <c r="J181" s="10" t="inlineStr"/>
      <c r="K181" s="10" t="inlineStr">
        <is>
          <t>New</t>
        </is>
      </c>
      <c r="L181" s="10" t="inlineStr">
        <is>
          <t>2026-09-16</t>
        </is>
      </c>
      <c r="M181" s="10" t="inlineStr"/>
      <c r="N181" s="10" t="inlineStr"/>
      <c r="O181" s="10" t="inlineStr"/>
      <c r="P181" s="10" t="inlineStr"/>
      <c r="Q181" s="10" t="inlineStr"/>
      <c r="R181" s="10" t="inlineStr"/>
      <c r="S181" s="10" t="inlineStr"/>
      <c r="T181" s="10" t="inlineStr">
        <is>
          <t>No</t>
        </is>
      </c>
      <c r="U181" s="10" t="inlineStr">
        <is>
          <t>Legitimate interest (B2B) - assess per campaign; PECR: corporate subscribers</t>
        </is>
      </c>
    </row>
    <row r="182">
      <c r="A182" s="5" t="inlineStr">
        <is>
          <t>WY-0154</t>
        </is>
      </c>
      <c r="B182" s="5" t="inlineStr">
        <is>
          <t>Star Express Off-Licence &amp; Convenience Store</t>
        </is>
      </c>
      <c r="C182" s="5" t="inlineStr">
        <is>
          <t>Huddersfield</t>
        </is>
      </c>
      <c r="D182" s="5" t="inlineStr">
        <is>
          <t>Off-Licence</t>
        </is>
      </c>
      <c r="E182" s="5" t="inlineStr">
        <is>
          <t>Low</t>
        </is>
      </c>
      <c r="F182" s="5" t="inlineStr"/>
      <c r="G182" s="5" t="inlineStr"/>
      <c r="H182" s="5" t="inlineStr"/>
      <c r="I182" s="5" t="inlineStr"/>
      <c r="J182" s="5" t="inlineStr"/>
      <c r="K182" s="5" t="inlineStr">
        <is>
          <t>New</t>
        </is>
      </c>
      <c r="L182" s="5" t="inlineStr">
        <is>
          <t>2026-09-16</t>
        </is>
      </c>
      <c r="M182" s="5" t="inlineStr"/>
      <c r="N182" s="5" t="inlineStr"/>
      <c r="O182" s="5" t="inlineStr"/>
      <c r="P182" s="5" t="inlineStr"/>
      <c r="Q182" s="5" t="inlineStr"/>
      <c r="R182" s="5" t="inlineStr"/>
      <c r="S182" s="5" t="inlineStr"/>
      <c r="T182" s="5" t="inlineStr">
        <is>
          <t>No</t>
        </is>
      </c>
      <c r="U182" s="5" t="inlineStr">
        <is>
          <t>Legitimate interest (B2B) - assess per campaign; PECR: corporate subscribers</t>
        </is>
      </c>
    </row>
    <row r="183">
      <c r="A183" s="10" t="inlineStr">
        <is>
          <t>WY-0155</t>
        </is>
      </c>
      <c r="B183" s="10" t="inlineStr">
        <is>
          <t>Stringers Service Station</t>
        </is>
      </c>
      <c r="C183" s="10" t="inlineStr">
        <is>
          <t>Pontefract</t>
        </is>
      </c>
      <c r="D183" s="10" t="inlineStr">
        <is>
          <t>Petrol Station / Forecourt</t>
        </is>
      </c>
      <c r="E183" s="10" t="inlineStr">
        <is>
          <t>Low</t>
        </is>
      </c>
      <c r="F183" s="10" t="inlineStr"/>
      <c r="G183" s="10" t="inlineStr"/>
      <c r="H183" s="10" t="inlineStr"/>
      <c r="I183" s="10" t="inlineStr"/>
      <c r="J183" s="10" t="inlineStr"/>
      <c r="K183" s="10" t="inlineStr">
        <is>
          <t>New</t>
        </is>
      </c>
      <c r="L183" s="10" t="inlineStr">
        <is>
          <t>2026-09-16</t>
        </is>
      </c>
      <c r="M183" s="10" t="inlineStr"/>
      <c r="N183" s="10" t="inlineStr"/>
      <c r="O183" s="10" t="inlineStr"/>
      <c r="P183" s="10" t="inlineStr"/>
      <c r="Q183" s="10" t="inlineStr"/>
      <c r="R183" s="10" t="inlineStr"/>
      <c r="S183" s="10" t="inlineStr"/>
      <c r="T183" s="10" t="inlineStr">
        <is>
          <t>No</t>
        </is>
      </c>
      <c r="U183" s="10" t="inlineStr">
        <is>
          <t>Legitimate interest (B2B) - assess per campaign; PECR: corporate subscribers</t>
        </is>
      </c>
    </row>
    <row r="184">
      <c r="A184" s="5" t="inlineStr">
        <is>
          <t>WY-0159</t>
        </is>
      </c>
      <c r="B184" s="5" t="inlineStr">
        <is>
          <t>The Local: Elland</t>
        </is>
      </c>
      <c r="C184" s="5" t="inlineStr">
        <is>
          <t>Elland</t>
        </is>
      </c>
      <c r="D184" s="5" t="inlineStr">
        <is>
          <t>Off-Licence</t>
        </is>
      </c>
      <c r="E184" s="5" t="inlineStr">
        <is>
          <t>Low</t>
        </is>
      </c>
      <c r="F184" s="5" t="inlineStr"/>
      <c r="G184" s="5" t="inlineStr"/>
      <c r="H184" s="5" t="inlineStr"/>
      <c r="I184" s="5" t="inlineStr"/>
      <c r="J184" s="5" t="inlineStr"/>
      <c r="K184" s="5" t="inlineStr">
        <is>
          <t>New</t>
        </is>
      </c>
      <c r="L184" s="5" t="inlineStr">
        <is>
          <t>2026-09-16</t>
        </is>
      </c>
      <c r="M184" s="5" t="inlineStr"/>
      <c r="N184" s="5" t="inlineStr"/>
      <c r="O184" s="5" t="inlineStr"/>
      <c r="P184" s="5" t="inlineStr"/>
      <c r="Q184" s="5" t="inlineStr"/>
      <c r="R184" s="5" t="inlineStr"/>
      <c r="S184" s="5" t="inlineStr"/>
      <c r="T184" s="5" t="inlineStr">
        <is>
          <t>No</t>
        </is>
      </c>
      <c r="U184" s="5" t="inlineStr">
        <is>
          <t>Legitimate interest (B2B) - assess per campaign; PECR: corporate subscribers</t>
        </is>
      </c>
    </row>
    <row r="185">
      <c r="A185" s="10" t="inlineStr">
        <is>
          <t>WY-0164</t>
        </is>
      </c>
      <c r="B185" s="10" t="inlineStr">
        <is>
          <t>Thornhill Convenience Store</t>
        </is>
      </c>
      <c r="C185" s="10" t="inlineStr">
        <is>
          <t>Dewsbury</t>
        </is>
      </c>
      <c r="D185" s="10" t="inlineStr">
        <is>
          <t>Convenience Store</t>
        </is>
      </c>
      <c r="E185" s="10" t="inlineStr">
        <is>
          <t>Low</t>
        </is>
      </c>
      <c r="F185" s="10" t="inlineStr">
        <is>
          <t>01924 462478</t>
        </is>
      </c>
      <c r="G185" s="10" t="inlineStr"/>
      <c r="H185" s="10" t="inlineStr"/>
      <c r="I185" s="10" t="inlineStr"/>
      <c r="J185" s="10" t="inlineStr"/>
      <c r="K185" s="10" t="inlineStr">
        <is>
          <t>New</t>
        </is>
      </c>
      <c r="L185" s="10" t="inlineStr">
        <is>
          <t>2026-09-16</t>
        </is>
      </c>
      <c r="M185" s="10" t="inlineStr"/>
      <c r="N185" s="10" t="inlineStr"/>
      <c r="O185" s="10" t="inlineStr"/>
      <c r="P185" s="10" t="inlineStr"/>
      <c r="Q185" s="10" t="inlineStr"/>
      <c r="R185" s="10" t="inlineStr"/>
      <c r="S185" s="10" t="inlineStr"/>
      <c r="T185" s="10" t="inlineStr">
        <is>
          <t>No</t>
        </is>
      </c>
      <c r="U185" s="10" t="inlineStr">
        <is>
          <t>Legitimate interest (B2B) - assess per campaign; PECR: corporate subscribers</t>
        </is>
      </c>
    </row>
    <row r="186">
      <c r="A186" s="5" t="inlineStr">
        <is>
          <t>WY-0165</t>
        </is>
      </c>
      <c r="B186" s="5" t="inlineStr">
        <is>
          <t>Todmorden Newscentre</t>
        </is>
      </c>
      <c r="C186" s="5" t="inlineStr">
        <is>
          <t>Todmorden</t>
        </is>
      </c>
      <c r="D186" s="5" t="inlineStr">
        <is>
          <t>Newsagent</t>
        </is>
      </c>
      <c r="E186" s="5" t="inlineStr">
        <is>
          <t>Low</t>
        </is>
      </c>
      <c r="F186" s="5" t="inlineStr">
        <is>
          <t>01706 819889</t>
        </is>
      </c>
      <c r="G186" s="5" t="inlineStr"/>
      <c r="H186" s="5" t="inlineStr"/>
      <c r="I186" s="5" t="inlineStr"/>
      <c r="J186" s="5" t="inlineStr"/>
      <c r="K186" s="5" t="inlineStr">
        <is>
          <t>New</t>
        </is>
      </c>
      <c r="L186" s="5" t="inlineStr">
        <is>
          <t>2026-09-16</t>
        </is>
      </c>
      <c r="M186" s="5" t="inlineStr"/>
      <c r="N186" s="5" t="inlineStr"/>
      <c r="O186" s="5" t="inlineStr"/>
      <c r="P186" s="5" t="inlineStr"/>
      <c r="Q186" s="5" t="inlineStr"/>
      <c r="R186" s="5" t="inlineStr"/>
      <c r="S186" s="5" t="inlineStr"/>
      <c r="T186" s="5" t="inlineStr">
        <is>
          <t>No</t>
        </is>
      </c>
      <c r="U186" s="5" t="inlineStr">
        <is>
          <t>Legitimate interest (B2B) - assess per campaign; PECR: corporate subscribers</t>
        </is>
      </c>
    </row>
    <row r="187">
      <c r="A187" s="10" t="inlineStr">
        <is>
          <t>WY-0167</t>
        </is>
      </c>
      <c r="B187" s="10" t="inlineStr">
        <is>
          <t>Top Shelf Off Licence</t>
        </is>
      </c>
      <c r="C187" s="10" t="inlineStr">
        <is>
          <t>Wakefield</t>
        </is>
      </c>
      <c r="D187" s="10" t="inlineStr">
        <is>
          <t>Off-Licence</t>
        </is>
      </c>
      <c r="E187" s="10" t="inlineStr">
        <is>
          <t>Low</t>
        </is>
      </c>
      <c r="F187" s="10" t="inlineStr"/>
      <c r="G187" s="10" t="inlineStr"/>
      <c r="H187" s="10" t="inlineStr"/>
      <c r="I187" s="10" t="inlineStr"/>
      <c r="J187" s="10" t="inlineStr"/>
      <c r="K187" s="10" t="inlineStr">
        <is>
          <t>New</t>
        </is>
      </c>
      <c r="L187" s="10" t="inlineStr">
        <is>
          <t>2026-09-16</t>
        </is>
      </c>
      <c r="M187" s="10" t="inlineStr"/>
      <c r="N187" s="10" t="inlineStr"/>
      <c r="O187" s="10" t="inlineStr"/>
      <c r="P187" s="10" t="inlineStr"/>
      <c r="Q187" s="10" t="inlineStr"/>
      <c r="R187" s="10" t="inlineStr"/>
      <c r="S187" s="10" t="inlineStr"/>
      <c r="T187" s="10" t="inlineStr">
        <is>
          <t>No</t>
        </is>
      </c>
      <c r="U187" s="10" t="inlineStr">
        <is>
          <t>Legitimate interest (B2B) - assess per campaign; PECR: corporate subscribers</t>
        </is>
      </c>
    </row>
    <row r="188">
      <c r="A188" s="5" t="inlineStr">
        <is>
          <t>WY-0168</t>
        </is>
      </c>
      <c r="B188" s="5" t="inlineStr">
        <is>
          <t>Turners Food &amp; Wine</t>
        </is>
      </c>
      <c r="C188" s="5" t="inlineStr">
        <is>
          <t>Leeds</t>
        </is>
      </c>
      <c r="D188" s="5" t="inlineStr">
        <is>
          <t>Convenience Store</t>
        </is>
      </c>
      <c r="E188" s="5" t="inlineStr">
        <is>
          <t>Low</t>
        </is>
      </c>
      <c r="F188" s="5" t="inlineStr"/>
      <c r="G188" s="5" t="inlineStr"/>
      <c r="H188" s="5" t="inlineStr"/>
      <c r="I188" s="5" t="inlineStr"/>
      <c r="J188" s="5" t="inlineStr"/>
      <c r="K188" s="5" t="inlineStr">
        <is>
          <t>New</t>
        </is>
      </c>
      <c r="L188" s="5" t="inlineStr">
        <is>
          <t>2026-09-16</t>
        </is>
      </c>
      <c r="M188" s="5" t="inlineStr"/>
      <c r="N188" s="5" t="inlineStr"/>
      <c r="O188" s="5" t="inlineStr"/>
      <c r="P188" s="5" t="inlineStr"/>
      <c r="Q188" s="5" t="inlineStr"/>
      <c r="R188" s="5" t="inlineStr"/>
      <c r="S188" s="5" t="inlineStr"/>
      <c r="T188" s="5" t="inlineStr">
        <is>
          <t>No</t>
        </is>
      </c>
      <c r="U188" s="5" t="inlineStr">
        <is>
          <t>Legitimate interest (B2B) - assess per campaign; PECR: corporate subscribers</t>
        </is>
      </c>
    </row>
    <row r="189">
      <c r="A189" s="10" t="inlineStr">
        <is>
          <t>WY-0169</t>
        </is>
      </c>
      <c r="B189" s="10" t="inlineStr">
        <is>
          <t>Tylor's Booze</t>
        </is>
      </c>
      <c r="C189" s="10" t="inlineStr">
        <is>
          <t>Castleford</t>
        </is>
      </c>
      <c r="D189" s="10" t="inlineStr">
        <is>
          <t>Off-Licence</t>
        </is>
      </c>
      <c r="E189" s="10" t="inlineStr">
        <is>
          <t>Low</t>
        </is>
      </c>
      <c r="F189" s="10" t="inlineStr"/>
      <c r="G189" s="10" t="inlineStr"/>
      <c r="H189" s="10" t="inlineStr"/>
      <c r="I189" s="10" t="inlineStr"/>
      <c r="J189" s="10" t="inlineStr"/>
      <c r="K189" s="10" t="inlineStr">
        <is>
          <t>New</t>
        </is>
      </c>
      <c r="L189" s="10" t="inlineStr">
        <is>
          <t>2026-09-16</t>
        </is>
      </c>
      <c r="M189" s="10" t="inlineStr"/>
      <c r="N189" s="10" t="inlineStr"/>
      <c r="O189" s="10" t="inlineStr"/>
      <c r="P189" s="10" t="inlineStr"/>
      <c r="Q189" s="10" t="inlineStr"/>
      <c r="R189" s="10" t="inlineStr"/>
      <c r="S189" s="10" t="inlineStr"/>
      <c r="T189" s="10" t="inlineStr">
        <is>
          <t>No</t>
        </is>
      </c>
      <c r="U189" s="10" t="inlineStr">
        <is>
          <t>Legitimate interest (B2B) - assess per campaign; PECR: corporate subscribers</t>
        </is>
      </c>
    </row>
    <row r="190">
      <c r="A190" s="5" t="inlineStr">
        <is>
          <t>WY-0178</t>
        </is>
      </c>
      <c r="B190" s="5" t="inlineStr">
        <is>
          <t>Vape and Wine Village</t>
        </is>
      </c>
      <c r="C190" s="5" t="inlineStr">
        <is>
          <t>Leeds</t>
        </is>
      </c>
      <c r="D190" s="5" t="inlineStr">
        <is>
          <t>Off-Licence</t>
        </is>
      </c>
      <c r="E190" s="5" t="inlineStr">
        <is>
          <t>Low</t>
        </is>
      </c>
      <c r="F190" s="5" t="inlineStr"/>
      <c r="G190" s="5" t="inlineStr"/>
      <c r="H190" s="5" t="inlineStr"/>
      <c r="I190" s="5" t="inlineStr"/>
      <c r="J190" s="5" t="inlineStr"/>
      <c r="K190" s="5" t="inlineStr">
        <is>
          <t>New</t>
        </is>
      </c>
      <c r="L190" s="5" t="inlineStr">
        <is>
          <t>2026-09-16</t>
        </is>
      </c>
      <c r="M190" s="5" t="inlineStr"/>
      <c r="N190" s="5" t="inlineStr"/>
      <c r="O190" s="5" t="inlineStr"/>
      <c r="P190" s="5" t="inlineStr"/>
      <c r="Q190" s="5" t="inlineStr"/>
      <c r="R190" s="5" t="inlineStr"/>
      <c r="S190" s="5" t="inlineStr"/>
      <c r="T190" s="5" t="inlineStr">
        <is>
          <t>No</t>
        </is>
      </c>
      <c r="U190" s="5" t="inlineStr">
        <is>
          <t>Legitimate interest (B2B) - assess per campaign; PECR: corporate subscribers</t>
        </is>
      </c>
    </row>
    <row r="191">
      <c r="A191" s="10" t="inlineStr">
        <is>
          <t>WY-0183</t>
        </is>
      </c>
      <c r="B191" s="10" t="inlineStr">
        <is>
          <t>Vaporized Meanwood</t>
        </is>
      </c>
      <c r="C191" s="10" t="inlineStr">
        <is>
          <t>Leeds</t>
        </is>
      </c>
      <c r="D191" s="10" t="inlineStr">
        <is>
          <t>Vape Shop</t>
        </is>
      </c>
      <c r="E191" s="10" t="inlineStr">
        <is>
          <t>Low</t>
        </is>
      </c>
      <c r="F191" s="10" t="inlineStr">
        <is>
          <t>0113 274 8997</t>
        </is>
      </c>
      <c r="G191" s="10" t="inlineStr"/>
      <c r="H191" s="10" t="inlineStr"/>
      <c r="I191" s="10" t="inlineStr"/>
      <c r="J191" s="10" t="inlineStr"/>
      <c r="K191" s="10" t="inlineStr">
        <is>
          <t>New</t>
        </is>
      </c>
      <c r="L191" s="10" t="inlineStr">
        <is>
          <t>2026-09-16</t>
        </is>
      </c>
      <c r="M191" s="10" t="inlineStr"/>
      <c r="N191" s="10" t="inlineStr"/>
      <c r="O191" s="10" t="inlineStr"/>
      <c r="P191" s="10" t="inlineStr"/>
      <c r="Q191" s="10" t="inlineStr"/>
      <c r="R191" s="10" t="inlineStr"/>
      <c r="S191" s="10" t="inlineStr"/>
      <c r="T191" s="10" t="inlineStr">
        <is>
          <t>No</t>
        </is>
      </c>
      <c r="U191" s="10" t="inlineStr">
        <is>
          <t>Legitimate interest (B2B) - assess per campaign; PECR: corporate subscribers</t>
        </is>
      </c>
    </row>
    <row r="192">
      <c r="A192" s="5" t="inlineStr">
        <is>
          <t>WY-0186</t>
        </is>
      </c>
      <c r="B192" s="5" t="inlineStr">
        <is>
          <t>Wayward Wines</t>
        </is>
      </c>
      <c r="C192" s="5" t="inlineStr">
        <is>
          <t>Leeds</t>
        </is>
      </c>
      <c r="D192" s="5" t="inlineStr">
        <is>
          <t>Off-Licence</t>
        </is>
      </c>
      <c r="E192" s="5" t="inlineStr">
        <is>
          <t>Low</t>
        </is>
      </c>
      <c r="F192" s="5" t="inlineStr"/>
      <c r="G192" s="5" t="inlineStr"/>
      <c r="H192" s="5" t="inlineStr"/>
      <c r="I192" s="5" t="inlineStr"/>
      <c r="J192" s="5" t="inlineStr"/>
      <c r="K192" s="5" t="inlineStr">
        <is>
          <t>New</t>
        </is>
      </c>
      <c r="L192" s="5" t="inlineStr">
        <is>
          <t>2026-09-16</t>
        </is>
      </c>
      <c r="M192" s="5" t="inlineStr"/>
      <c r="N192" s="5" t="inlineStr"/>
      <c r="O192" s="5" t="inlineStr"/>
      <c r="P192" s="5" t="inlineStr"/>
      <c r="Q192" s="5" t="inlineStr"/>
      <c r="R192" s="5" t="inlineStr"/>
      <c r="S192" s="5" t="inlineStr"/>
      <c r="T192" s="5" t="inlineStr">
        <is>
          <t>No</t>
        </is>
      </c>
      <c r="U192" s="5" t="inlineStr">
        <is>
          <t>Legitimate interest (B2B) - assess per campaign; PECR: corporate subscribers</t>
        </is>
      </c>
    </row>
    <row r="193">
      <c r="A193" s="10" t="inlineStr">
        <is>
          <t>WY-0187</t>
        </is>
      </c>
      <c r="B193" s="10" t="inlineStr">
        <is>
          <t>West End Off Licence</t>
        </is>
      </c>
      <c r="C193" s="10" t="inlineStr">
        <is>
          <t>Halifax</t>
        </is>
      </c>
      <c r="D193" s="10" t="inlineStr">
        <is>
          <t>Off-Licence</t>
        </is>
      </c>
      <c r="E193" s="10" t="inlineStr">
        <is>
          <t>Low</t>
        </is>
      </c>
      <c r="F193" s="10" t="inlineStr"/>
      <c r="G193" s="10" t="inlineStr"/>
      <c r="H193" s="10" t="inlineStr"/>
      <c r="I193" s="10" t="inlineStr"/>
      <c r="J193" s="10" t="inlineStr"/>
      <c r="K193" s="10" t="inlineStr">
        <is>
          <t>New</t>
        </is>
      </c>
      <c r="L193" s="10" t="inlineStr">
        <is>
          <t>2026-09-16</t>
        </is>
      </c>
      <c r="M193" s="10" t="inlineStr"/>
      <c r="N193" s="10" t="inlineStr"/>
      <c r="O193" s="10" t="inlineStr"/>
      <c r="P193" s="10" t="inlineStr"/>
      <c r="Q193" s="10" t="inlineStr"/>
      <c r="R193" s="10" t="inlineStr"/>
      <c r="S193" s="10" t="inlineStr"/>
      <c r="T193" s="10" t="inlineStr">
        <is>
          <t>No</t>
        </is>
      </c>
      <c r="U193" s="10" t="inlineStr">
        <is>
          <t>Legitimate interest (B2B) - assess per campaign; PECR: corporate subscribers</t>
        </is>
      </c>
    </row>
    <row r="194">
      <c r="A194" s="5" t="inlineStr">
        <is>
          <t>WY-0190</t>
        </is>
      </c>
      <c r="B194" s="5" t="inlineStr">
        <is>
          <t>Yorkshire Fuels (Green Lane Service Station)</t>
        </is>
      </c>
      <c r="C194" s="5" t="inlineStr">
        <is>
          <t>Yeadon</t>
        </is>
      </c>
      <c r="D194" s="5" t="inlineStr">
        <is>
          <t>Petrol Station / Forecourt</t>
        </is>
      </c>
      <c r="E194" s="5" t="inlineStr">
        <is>
          <t>Low</t>
        </is>
      </c>
      <c r="F194" s="5" t="inlineStr"/>
      <c r="G194" s="5" t="inlineStr"/>
      <c r="H194" s="5" t="inlineStr"/>
      <c r="I194" s="5" t="inlineStr"/>
      <c r="J194" s="5" t="inlineStr"/>
      <c r="K194" s="5" t="inlineStr">
        <is>
          <t>New</t>
        </is>
      </c>
      <c r="L194" s="5" t="inlineStr">
        <is>
          <t>2026-09-16</t>
        </is>
      </c>
      <c r="M194" s="5" t="inlineStr"/>
      <c r="N194" s="5" t="inlineStr"/>
      <c r="O194" s="5" t="inlineStr"/>
      <c r="P194" s="5" t="inlineStr"/>
      <c r="Q194" s="5" t="inlineStr"/>
      <c r="R194" s="5" t="inlineStr"/>
      <c r="S194" s="5" t="inlineStr"/>
      <c r="T194" s="5" t="inlineStr">
        <is>
          <t>No</t>
        </is>
      </c>
      <c r="U194" s="5" t="inlineStr">
        <is>
          <t>Legitimate interest (B2B) - assess per campaign; PECR: corporate subscribers</t>
        </is>
      </c>
    </row>
    <row r="196">
      <c r="A196" s="15" t="inlineStr">
        <is>
          <t>Editable CRM columns: Lead Status, Last Contact, Next Follow-Up, Contact Method, Salesperson, Outcome, CRM Notes, Opt-Out Status, Do Not Contact. Never delete a row with Opt-Out/Do Not Contact set - suppression must survive re-imports.</t>
        </is>
      </c>
    </row>
  </sheetData>
  <autoFilter ref="A1:U19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2026-09-16T20:36:27Z</dcterms:created>
  <dcterms:modified xsi:type="dcterms:W3CDTF">2026-09-16T20:36:28Z</dcterms:modified>
</cp:coreProperties>
</file>